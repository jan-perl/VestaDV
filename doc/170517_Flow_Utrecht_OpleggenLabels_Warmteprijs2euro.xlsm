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drawings/drawing16.xml" ContentType="application/vnd.openxmlformats-officedocument.drawing+xml"/>
  <Override PartName="/xl/charts/chart23.xml" ContentType="application/vnd.openxmlformats-officedocument.drawingml.chart+xml"/>
  <Override PartName="/xl/drawings/drawing17.xml" ContentType="application/vnd.openxmlformats-officedocument.drawing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data\Vesta\v3\model_uit (verwerking)\Case Utrecht\05_May\"/>
    </mc:Choice>
  </mc:AlternateContent>
  <bookViews>
    <workbookView xWindow="-15" yWindow="-15" windowWidth="19320" windowHeight="6480" tabRatio="892"/>
  </bookViews>
  <sheets>
    <sheet name="ReadMe" sheetId="1" r:id="rId1"/>
    <sheet name="Modeloutput" sheetId="25" r:id="rId2"/>
    <sheet name="Cost_Flow" sheetId="3" r:id="rId3"/>
    <sheet name="Energy_Flow" sheetId="9" r:id="rId4"/>
    <sheet name="CO2_Flow" sheetId="10" r:id="rId5"/>
    <sheet name="Vergelijking per zichtjaar" sheetId="22" r:id="rId6"/>
    <sheet name="Vergelijking per scenario" sheetId="23" r:id="rId7"/>
    <sheet name="Nationale Kosten" sheetId="41" r:id="rId8"/>
    <sheet name="Uitgaven" sheetId="27" r:id="rId9"/>
    <sheet name="W&amp;E vraag" sheetId="28" r:id="rId10"/>
    <sheet name="CO2-emissie" sheetId="29" r:id="rId11"/>
    <sheet name="Uitgaven2050" sheetId="30" r:id="rId12"/>
    <sheet name="Energie2050" sheetId="31" r:id="rId13"/>
    <sheet name="CO2 2050" sheetId="32" r:id="rId14"/>
    <sheet name="WarmteWoning" sheetId="35" r:id="rId15"/>
    <sheet name="WarmteBestaandWoning" sheetId="38" r:id="rId16"/>
    <sheet name="GasWoning" sheetId="33" r:id="rId17"/>
    <sheet name="WarmtenetWoning" sheetId="34" r:id="rId18"/>
    <sheet name="WarmteWoning Variant" sheetId="39" r:id="rId19"/>
    <sheet name="WarmtenetOptieWoning Variant" sheetId="37" r:id="rId20"/>
    <sheet name="WarmteAanbodWoning Var 1" sheetId="36" r:id="rId21"/>
    <sheet name="WarmteAanbodWoning Var 2" sheetId="40" r:id="rId22"/>
    <sheet name="Sheet1" sheetId="42" r:id="rId23"/>
  </sheets>
  <calcPr calcId="162913"/>
  <customWorkbookViews>
    <customWorkbookView name="Compleet scherm" guid="{FE9E7DEF-61E7-497F-AA37-E5D7A2E31674}" includePrintSettings="0" includeHiddenRowCol="0" maximized="1" windowWidth="1916" windowHeight="919" activeSheetId="24"/>
  </customWorkbookViews>
</workbook>
</file>

<file path=xl/calcChain.xml><?xml version="1.0" encoding="utf-8"?>
<calcChain xmlns="http://schemas.openxmlformats.org/spreadsheetml/2006/main">
  <c r="N19" i="1" l="1"/>
  <c r="N18" i="1"/>
  <c r="N17" i="1"/>
  <c r="D3" i="1" l="1"/>
  <c r="N7" i="1" l="1"/>
  <c r="G71" i="1" l="1"/>
  <c r="G70" i="1"/>
  <c r="G69" i="1"/>
  <c r="G68" i="1"/>
  <c r="G65" i="1"/>
  <c r="G64" i="1"/>
  <c r="G63" i="1"/>
  <c r="G62" i="1"/>
  <c r="G59" i="1"/>
  <c r="G58" i="1"/>
  <c r="G57" i="1"/>
  <c r="G56" i="1"/>
  <c r="G53" i="1"/>
  <c r="G52" i="1"/>
  <c r="G51" i="1"/>
  <c r="G50" i="1"/>
  <c r="G47" i="1"/>
  <c r="G46" i="1"/>
  <c r="G45" i="1"/>
  <c r="G44" i="1"/>
  <c r="D71" i="1"/>
  <c r="D70" i="1"/>
  <c r="D69" i="1"/>
  <c r="D68" i="1"/>
  <c r="D65" i="1"/>
  <c r="D64" i="1"/>
  <c r="D63" i="1"/>
  <c r="D62" i="1"/>
  <c r="D59" i="1"/>
  <c r="D58" i="1"/>
  <c r="D57" i="1"/>
  <c r="D56" i="1"/>
  <c r="D53" i="1"/>
  <c r="D52" i="1"/>
  <c r="D51" i="1"/>
  <c r="D50" i="1"/>
  <c r="D47" i="1"/>
  <c r="D46" i="1"/>
  <c r="D45" i="1"/>
  <c r="D44" i="1"/>
  <c r="F71" i="1"/>
  <c r="F70" i="1"/>
  <c r="F69" i="1"/>
  <c r="F68" i="1"/>
  <c r="F65" i="1"/>
  <c r="F64" i="1"/>
  <c r="F63" i="1"/>
  <c r="F62" i="1"/>
  <c r="F59" i="1"/>
  <c r="F58" i="1"/>
  <c r="F57" i="1"/>
  <c r="F56" i="1"/>
  <c r="F53" i="1"/>
  <c r="F52" i="1"/>
  <c r="F51" i="1"/>
  <c r="F50" i="1"/>
  <c r="F47" i="1"/>
  <c r="F46" i="1"/>
  <c r="F45" i="1"/>
  <c r="F44" i="1"/>
  <c r="E71" i="1"/>
  <c r="E70" i="1"/>
  <c r="E69" i="1"/>
  <c r="E68" i="1"/>
  <c r="E65" i="1"/>
  <c r="E64" i="1"/>
  <c r="E63" i="1"/>
  <c r="E62" i="1"/>
  <c r="E59" i="1"/>
  <c r="E58" i="1"/>
  <c r="E57" i="1"/>
  <c r="E56" i="1"/>
  <c r="E53" i="1"/>
  <c r="E52" i="1"/>
  <c r="E51" i="1"/>
  <c r="E50" i="1"/>
  <c r="E47" i="1"/>
  <c r="E46" i="1"/>
  <c r="E45" i="1"/>
  <c r="E44" i="1"/>
  <c r="E3" i="1" l="1"/>
  <c r="F3" i="1"/>
  <c r="G3" i="1"/>
  <c r="C3" i="1"/>
  <c r="I161" i="22" l="1"/>
  <c r="H161" i="22"/>
  <c r="G161" i="22"/>
  <c r="F161" i="22"/>
  <c r="E161" i="22"/>
  <c r="G159" i="22"/>
  <c r="G164" i="22" s="1"/>
  <c r="I158" i="22"/>
  <c r="I163" i="22" s="1"/>
  <c r="H158" i="22"/>
  <c r="H159" i="22" s="1"/>
  <c r="H164" i="22" s="1"/>
  <c r="G158" i="22"/>
  <c r="F158" i="22"/>
  <c r="F159" i="22" s="1"/>
  <c r="F164" i="22" s="1"/>
  <c r="E158" i="22"/>
  <c r="E159" i="22" s="1"/>
  <c r="E164" i="22" s="1"/>
  <c r="G163" i="22" l="1"/>
  <c r="H163" i="22"/>
  <c r="E163" i="22"/>
  <c r="I159" i="22"/>
  <c r="I164" i="22" s="1"/>
  <c r="F163" i="22"/>
  <c r="N5" i="1" l="1"/>
  <c r="N6" i="1"/>
  <c r="BS11" i="10" l="1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BS13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BS15" i="10"/>
  <c r="BT15" i="10"/>
  <c r="BU15" i="10"/>
  <c r="BV15" i="10"/>
  <c r="BW15" i="10"/>
  <c r="BX15" i="10"/>
  <c r="BY15" i="10"/>
  <c r="BZ15" i="10"/>
  <c r="CA15" i="10"/>
  <c r="CB15" i="10"/>
  <c r="CC15" i="10"/>
  <c r="CD15" i="10"/>
  <c r="CE15" i="10"/>
  <c r="CF15" i="10"/>
  <c r="CG15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BS17" i="10"/>
  <c r="BT17" i="10"/>
  <c r="BU17" i="10"/>
  <c r="BV17" i="10"/>
  <c r="BW17" i="10"/>
  <c r="BX17" i="10"/>
  <c r="BY17" i="10"/>
  <c r="BZ17" i="10"/>
  <c r="CA17" i="10"/>
  <c r="CB17" i="10"/>
  <c r="CC17" i="10"/>
  <c r="CD17" i="10"/>
  <c r="CE17" i="10"/>
  <c r="CF17" i="10"/>
  <c r="CG17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BS19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BS21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BS36" i="10"/>
  <c r="BT36" i="10"/>
  <c r="BU36" i="10"/>
  <c r="BV36" i="10"/>
  <c r="BW36" i="10"/>
  <c r="BX36" i="10"/>
  <c r="BY36" i="10"/>
  <c r="BZ36" i="10"/>
  <c r="CA36" i="10"/>
  <c r="CB36" i="10"/>
  <c r="CC36" i="10"/>
  <c r="CD36" i="10"/>
  <c r="CE36" i="10"/>
  <c r="CF36" i="10"/>
  <c r="CG36" i="10"/>
  <c r="BS37" i="10"/>
  <c r="BT37" i="10"/>
  <c r="BU37" i="10"/>
  <c r="BV37" i="10"/>
  <c r="BW37" i="10"/>
  <c r="BX37" i="10"/>
  <c r="BY37" i="10"/>
  <c r="BZ37" i="10"/>
  <c r="CA37" i="10"/>
  <c r="CB37" i="10"/>
  <c r="CC37" i="10"/>
  <c r="CD37" i="10"/>
  <c r="CE37" i="10"/>
  <c r="CF37" i="10"/>
  <c r="CG37" i="10"/>
  <c r="BS38" i="10"/>
  <c r="BT38" i="10"/>
  <c r="BU38" i="10"/>
  <c r="BV38" i="10"/>
  <c r="BW38" i="10"/>
  <c r="BX38" i="10"/>
  <c r="BY38" i="10"/>
  <c r="BZ38" i="10"/>
  <c r="CA38" i="10"/>
  <c r="CB38" i="10"/>
  <c r="CC38" i="10"/>
  <c r="CD38" i="10"/>
  <c r="CE38" i="10"/>
  <c r="CF38" i="10"/>
  <c r="CG38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BS43" i="10"/>
  <c r="BT43" i="10"/>
  <c r="BU43" i="10"/>
  <c r="BV43" i="10"/>
  <c r="BW43" i="10"/>
  <c r="BX43" i="10"/>
  <c r="BY43" i="10"/>
  <c r="BZ43" i="10"/>
  <c r="CA43" i="10"/>
  <c r="CB43" i="10"/>
  <c r="CC43" i="10"/>
  <c r="CD43" i="10"/>
  <c r="CE43" i="10"/>
  <c r="CF43" i="10"/>
  <c r="CG43" i="10"/>
  <c r="BS44" i="10"/>
  <c r="BT44" i="10"/>
  <c r="BU44" i="10"/>
  <c r="BV44" i="10"/>
  <c r="BW44" i="10"/>
  <c r="BX44" i="10"/>
  <c r="BY44" i="10"/>
  <c r="BZ44" i="10"/>
  <c r="CA44" i="10"/>
  <c r="CB44" i="10"/>
  <c r="CC44" i="10"/>
  <c r="CD44" i="10"/>
  <c r="CE44" i="10"/>
  <c r="CF44" i="10"/>
  <c r="CG44" i="10"/>
  <c r="BS45" i="10"/>
  <c r="BT45" i="10"/>
  <c r="BU45" i="10"/>
  <c r="BV45" i="10"/>
  <c r="BW45" i="10"/>
  <c r="BX45" i="10"/>
  <c r="BY45" i="10"/>
  <c r="BZ45" i="10"/>
  <c r="CA45" i="10"/>
  <c r="CB45" i="10"/>
  <c r="CC45" i="10"/>
  <c r="CD45" i="10"/>
  <c r="CE45" i="10"/>
  <c r="CF45" i="10"/>
  <c r="CG45" i="10"/>
  <c r="BS46" i="10"/>
  <c r="BT46" i="10"/>
  <c r="BU46" i="10"/>
  <c r="BV46" i="10"/>
  <c r="BW46" i="10"/>
  <c r="BX46" i="10"/>
  <c r="BY46" i="10"/>
  <c r="BZ46" i="10"/>
  <c r="CA46" i="10"/>
  <c r="CB46" i="10"/>
  <c r="CC46" i="10"/>
  <c r="CD46" i="10"/>
  <c r="CE46" i="10"/>
  <c r="CF46" i="10"/>
  <c r="CG46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BS61" i="10"/>
  <c r="BT61" i="10"/>
  <c r="BU61" i="10"/>
  <c r="BV61" i="10"/>
  <c r="BW61" i="10"/>
  <c r="BX61" i="10"/>
  <c r="BY61" i="10"/>
  <c r="BZ61" i="10"/>
  <c r="CA61" i="10"/>
  <c r="CB61" i="10"/>
  <c r="CC61" i="10"/>
  <c r="CD61" i="10"/>
  <c r="CE61" i="10"/>
  <c r="CF61" i="10"/>
  <c r="CG61" i="10"/>
  <c r="BS62" i="10"/>
  <c r="BT62" i="10"/>
  <c r="BU62" i="10"/>
  <c r="BV62" i="10"/>
  <c r="BW62" i="10"/>
  <c r="BX62" i="10"/>
  <c r="BY62" i="10"/>
  <c r="BZ62" i="10"/>
  <c r="CA62" i="10"/>
  <c r="CB62" i="10"/>
  <c r="CC62" i="10"/>
  <c r="CD62" i="10"/>
  <c r="CE62" i="10"/>
  <c r="CF62" i="10"/>
  <c r="CG62" i="10"/>
  <c r="BS63" i="10"/>
  <c r="BT63" i="10"/>
  <c r="BU63" i="10"/>
  <c r="BV63" i="10"/>
  <c r="BW63" i="10"/>
  <c r="BX63" i="10"/>
  <c r="BY63" i="10"/>
  <c r="BZ63" i="10"/>
  <c r="CA63" i="10"/>
  <c r="CB63" i="10"/>
  <c r="CC63" i="10"/>
  <c r="CD63" i="10"/>
  <c r="CE63" i="10"/>
  <c r="CF63" i="10"/>
  <c r="CG63" i="10"/>
  <c r="BS64" i="10"/>
  <c r="BT64" i="10"/>
  <c r="BU64" i="10"/>
  <c r="BV64" i="10"/>
  <c r="BW64" i="10"/>
  <c r="BX64" i="10"/>
  <c r="BY64" i="10"/>
  <c r="BZ64" i="10"/>
  <c r="CA64" i="10"/>
  <c r="CB64" i="10"/>
  <c r="CC64" i="10"/>
  <c r="CD64" i="10"/>
  <c r="CE64" i="10"/>
  <c r="CF64" i="10"/>
  <c r="CG64" i="10"/>
  <c r="BS65" i="10"/>
  <c r="BT65" i="10"/>
  <c r="BU65" i="10"/>
  <c r="BV65" i="10"/>
  <c r="BW65" i="10"/>
  <c r="BX65" i="10"/>
  <c r="BY65" i="10"/>
  <c r="BZ65" i="10"/>
  <c r="CA65" i="10"/>
  <c r="CB65" i="10"/>
  <c r="CC65" i="10"/>
  <c r="CD65" i="10"/>
  <c r="CE65" i="10"/>
  <c r="CF65" i="10"/>
  <c r="CG65" i="10"/>
  <c r="BS66" i="10"/>
  <c r="BT66" i="10"/>
  <c r="BU66" i="10"/>
  <c r="BV66" i="10"/>
  <c r="BW66" i="10"/>
  <c r="BX66" i="10"/>
  <c r="BY66" i="10"/>
  <c r="BZ66" i="10"/>
  <c r="CA66" i="10"/>
  <c r="CB66" i="10"/>
  <c r="CC66" i="10"/>
  <c r="CD66" i="10"/>
  <c r="CE66" i="10"/>
  <c r="CF66" i="10"/>
  <c r="CG66" i="10"/>
  <c r="BS67" i="10"/>
  <c r="BT67" i="10"/>
  <c r="BU67" i="10"/>
  <c r="BV67" i="10"/>
  <c r="BW67" i="10"/>
  <c r="BX67" i="10"/>
  <c r="BY67" i="10"/>
  <c r="BZ67" i="10"/>
  <c r="CA67" i="10"/>
  <c r="CB67" i="10"/>
  <c r="CC67" i="10"/>
  <c r="CD67" i="10"/>
  <c r="CE67" i="10"/>
  <c r="CF67" i="10"/>
  <c r="CG67" i="10"/>
  <c r="BS68" i="10"/>
  <c r="BT68" i="10"/>
  <c r="BU68" i="10"/>
  <c r="BV68" i="10"/>
  <c r="BW68" i="10"/>
  <c r="BX68" i="10"/>
  <c r="BY68" i="10"/>
  <c r="BZ68" i="10"/>
  <c r="CA68" i="10"/>
  <c r="CB68" i="10"/>
  <c r="CC68" i="10"/>
  <c r="CD68" i="10"/>
  <c r="CE68" i="10"/>
  <c r="CF68" i="10"/>
  <c r="CG68" i="10"/>
  <c r="BS69" i="10"/>
  <c r="BT69" i="10"/>
  <c r="BU69" i="10"/>
  <c r="BV69" i="10"/>
  <c r="BW69" i="10"/>
  <c r="BX69" i="10"/>
  <c r="BY69" i="10"/>
  <c r="BZ69" i="10"/>
  <c r="CA69" i="10"/>
  <c r="CB69" i="10"/>
  <c r="CC69" i="10"/>
  <c r="CD69" i="10"/>
  <c r="CE69" i="10"/>
  <c r="CF69" i="10"/>
  <c r="CG69" i="10"/>
  <c r="BS70" i="10"/>
  <c r="BT70" i="10"/>
  <c r="BU70" i="10"/>
  <c r="BV70" i="10"/>
  <c r="BW70" i="10"/>
  <c r="BX70" i="10"/>
  <c r="BY70" i="10"/>
  <c r="BZ70" i="10"/>
  <c r="CA70" i="10"/>
  <c r="CB70" i="10"/>
  <c r="CC70" i="10"/>
  <c r="CD70" i="10"/>
  <c r="CE70" i="10"/>
  <c r="CF70" i="10"/>
  <c r="CG70" i="10"/>
  <c r="BS71" i="10"/>
  <c r="BT71" i="10"/>
  <c r="BU71" i="10"/>
  <c r="BV71" i="10"/>
  <c r="BW71" i="10"/>
  <c r="BX71" i="10"/>
  <c r="BY71" i="10"/>
  <c r="BZ71" i="10"/>
  <c r="CA71" i="10"/>
  <c r="CB71" i="10"/>
  <c r="CC71" i="10"/>
  <c r="CD71" i="10"/>
  <c r="CE71" i="10"/>
  <c r="CF71" i="10"/>
  <c r="CG71" i="10"/>
  <c r="BS72" i="10"/>
  <c r="BT72" i="10"/>
  <c r="BU72" i="10"/>
  <c r="BV72" i="10"/>
  <c r="BW72" i="10"/>
  <c r="BX72" i="10"/>
  <c r="BY72" i="10"/>
  <c r="BZ72" i="10"/>
  <c r="CA72" i="10"/>
  <c r="CB72" i="10"/>
  <c r="CC72" i="10"/>
  <c r="CD72" i="10"/>
  <c r="CE72" i="10"/>
  <c r="CF72" i="10"/>
  <c r="CG72" i="10"/>
  <c r="BS73" i="10"/>
  <c r="BT73" i="10"/>
  <c r="BU73" i="10"/>
  <c r="BV73" i="10"/>
  <c r="BW73" i="10"/>
  <c r="BX73" i="10"/>
  <c r="BY73" i="10"/>
  <c r="BZ73" i="10"/>
  <c r="CA73" i="10"/>
  <c r="CB73" i="10"/>
  <c r="CC73" i="10"/>
  <c r="CD73" i="10"/>
  <c r="CE73" i="10"/>
  <c r="CF73" i="10"/>
  <c r="CG73" i="10"/>
  <c r="BS74" i="10"/>
  <c r="BT74" i="10"/>
  <c r="BU74" i="10"/>
  <c r="BV74" i="10"/>
  <c r="BW74" i="10"/>
  <c r="BX74" i="10"/>
  <c r="BY74" i="10"/>
  <c r="BZ74" i="10"/>
  <c r="CA74" i="10"/>
  <c r="CB74" i="10"/>
  <c r="CC74" i="10"/>
  <c r="CD74" i="10"/>
  <c r="CE74" i="10"/>
  <c r="CF74" i="10"/>
  <c r="CG74" i="10"/>
  <c r="BS86" i="10"/>
  <c r="BT86" i="10"/>
  <c r="BU86" i="10"/>
  <c r="BV86" i="10"/>
  <c r="BW86" i="10"/>
  <c r="BX86" i="10"/>
  <c r="BY86" i="10"/>
  <c r="BZ86" i="10"/>
  <c r="CA86" i="10"/>
  <c r="CB86" i="10"/>
  <c r="CC86" i="10"/>
  <c r="CD86" i="10"/>
  <c r="CE86" i="10"/>
  <c r="CF86" i="10"/>
  <c r="CG86" i="10"/>
  <c r="BS87" i="10"/>
  <c r="BT87" i="10"/>
  <c r="BU87" i="10"/>
  <c r="BV87" i="10"/>
  <c r="BW87" i="10"/>
  <c r="BX87" i="10"/>
  <c r="BY87" i="10"/>
  <c r="BZ87" i="10"/>
  <c r="CA87" i="10"/>
  <c r="CB87" i="10"/>
  <c r="CC87" i="10"/>
  <c r="CD87" i="10"/>
  <c r="CE87" i="10"/>
  <c r="CF87" i="10"/>
  <c r="CG87" i="10"/>
  <c r="BS88" i="10"/>
  <c r="BT88" i="10"/>
  <c r="BU88" i="10"/>
  <c r="BV88" i="10"/>
  <c r="BW88" i="10"/>
  <c r="BX88" i="10"/>
  <c r="BY88" i="10"/>
  <c r="BZ88" i="10"/>
  <c r="CA88" i="10"/>
  <c r="CB88" i="10"/>
  <c r="CC88" i="10"/>
  <c r="CD88" i="10"/>
  <c r="CE88" i="10"/>
  <c r="CF88" i="10"/>
  <c r="CG88" i="10"/>
  <c r="BS89" i="10"/>
  <c r="BT89" i="10"/>
  <c r="BU89" i="10"/>
  <c r="BV89" i="10"/>
  <c r="BW89" i="10"/>
  <c r="BX89" i="10"/>
  <c r="BY89" i="10"/>
  <c r="BZ89" i="10"/>
  <c r="CA89" i="10"/>
  <c r="CB89" i="10"/>
  <c r="CC89" i="10"/>
  <c r="CD89" i="10"/>
  <c r="CE89" i="10"/>
  <c r="CF89" i="10"/>
  <c r="CG89" i="10"/>
  <c r="BS90" i="10"/>
  <c r="BT90" i="10"/>
  <c r="BU90" i="10"/>
  <c r="BV90" i="10"/>
  <c r="BW90" i="10"/>
  <c r="BX90" i="10"/>
  <c r="BY90" i="10"/>
  <c r="BZ90" i="10"/>
  <c r="CA90" i="10"/>
  <c r="CB90" i="10"/>
  <c r="CC90" i="10"/>
  <c r="CD90" i="10"/>
  <c r="CE90" i="10"/>
  <c r="CF90" i="10"/>
  <c r="CG90" i="10"/>
  <c r="BS91" i="10"/>
  <c r="BT91" i="10"/>
  <c r="BU91" i="10"/>
  <c r="BV91" i="10"/>
  <c r="BW91" i="10"/>
  <c r="BX91" i="10"/>
  <c r="BY91" i="10"/>
  <c r="BZ91" i="10"/>
  <c r="CA91" i="10"/>
  <c r="CB91" i="10"/>
  <c r="CC91" i="10"/>
  <c r="CD91" i="10"/>
  <c r="CE91" i="10"/>
  <c r="CF91" i="10"/>
  <c r="CG91" i="10"/>
  <c r="BS92" i="10"/>
  <c r="BT92" i="10"/>
  <c r="BU92" i="10"/>
  <c r="BV92" i="10"/>
  <c r="BW92" i="10"/>
  <c r="BX92" i="10"/>
  <c r="BY92" i="10"/>
  <c r="BZ92" i="10"/>
  <c r="CA92" i="10"/>
  <c r="CB92" i="10"/>
  <c r="CC92" i="10"/>
  <c r="CD92" i="10"/>
  <c r="CE92" i="10"/>
  <c r="CF92" i="10"/>
  <c r="CG92" i="10"/>
  <c r="BS93" i="10"/>
  <c r="BT93" i="10"/>
  <c r="BU93" i="10"/>
  <c r="BV93" i="10"/>
  <c r="BW93" i="10"/>
  <c r="BX93" i="10"/>
  <c r="BY93" i="10"/>
  <c r="BZ93" i="10"/>
  <c r="CA93" i="10"/>
  <c r="CB93" i="10"/>
  <c r="CC93" i="10"/>
  <c r="CD93" i="10"/>
  <c r="CE93" i="10"/>
  <c r="CF93" i="10"/>
  <c r="CG93" i="10"/>
  <c r="BS94" i="10"/>
  <c r="BT94" i="10"/>
  <c r="BU94" i="10"/>
  <c r="BV94" i="10"/>
  <c r="BW94" i="10"/>
  <c r="BX94" i="10"/>
  <c r="BY94" i="10"/>
  <c r="BZ94" i="10"/>
  <c r="CA94" i="10"/>
  <c r="CB94" i="10"/>
  <c r="CC94" i="10"/>
  <c r="CD94" i="10"/>
  <c r="CE94" i="10"/>
  <c r="CF94" i="10"/>
  <c r="CG94" i="10"/>
  <c r="BS95" i="10"/>
  <c r="BT95" i="10"/>
  <c r="BU95" i="10"/>
  <c r="BV95" i="10"/>
  <c r="BW95" i="10"/>
  <c r="BX95" i="10"/>
  <c r="BY95" i="10"/>
  <c r="BZ95" i="10"/>
  <c r="CA95" i="10"/>
  <c r="CB95" i="10"/>
  <c r="CC95" i="10"/>
  <c r="CD95" i="10"/>
  <c r="CE95" i="10"/>
  <c r="CF95" i="10"/>
  <c r="CG95" i="10"/>
  <c r="BS96" i="10"/>
  <c r="BT96" i="10"/>
  <c r="BU96" i="10"/>
  <c r="BV96" i="10"/>
  <c r="BW96" i="10"/>
  <c r="BX96" i="10"/>
  <c r="BY96" i="10"/>
  <c r="BZ96" i="10"/>
  <c r="CA96" i="10"/>
  <c r="CB96" i="10"/>
  <c r="CC96" i="10"/>
  <c r="CD96" i="10"/>
  <c r="CE96" i="10"/>
  <c r="CF96" i="10"/>
  <c r="CG96" i="10"/>
  <c r="BS97" i="10"/>
  <c r="BT97" i="10"/>
  <c r="BU97" i="10"/>
  <c r="BV97" i="10"/>
  <c r="BW97" i="10"/>
  <c r="BX97" i="10"/>
  <c r="BY97" i="10"/>
  <c r="BZ97" i="10"/>
  <c r="CA97" i="10"/>
  <c r="CB97" i="10"/>
  <c r="CC97" i="10"/>
  <c r="CD97" i="10"/>
  <c r="CE97" i="10"/>
  <c r="CF97" i="10"/>
  <c r="CG97" i="10"/>
  <c r="BS98" i="10"/>
  <c r="BT98" i="10"/>
  <c r="BU98" i="10"/>
  <c r="BV98" i="10"/>
  <c r="BW98" i="10"/>
  <c r="BX98" i="10"/>
  <c r="BY98" i="10"/>
  <c r="BZ98" i="10"/>
  <c r="CA98" i="10"/>
  <c r="CB98" i="10"/>
  <c r="CC98" i="10"/>
  <c r="CD98" i="10"/>
  <c r="CE98" i="10"/>
  <c r="CF98" i="10"/>
  <c r="CG98" i="10"/>
  <c r="BS99" i="10"/>
  <c r="BT99" i="10"/>
  <c r="BU99" i="10"/>
  <c r="BV99" i="10"/>
  <c r="BW99" i="10"/>
  <c r="BX99" i="10"/>
  <c r="BY99" i="10"/>
  <c r="BZ99" i="10"/>
  <c r="CA99" i="10"/>
  <c r="CB99" i="10"/>
  <c r="CC99" i="10"/>
  <c r="CD99" i="10"/>
  <c r="CE99" i="10"/>
  <c r="CF99" i="10"/>
  <c r="CG99" i="10"/>
  <c r="BS111" i="10"/>
  <c r="BT111" i="10"/>
  <c r="BU111" i="10"/>
  <c r="BV111" i="10"/>
  <c r="BW111" i="10"/>
  <c r="BX111" i="10"/>
  <c r="BY111" i="10"/>
  <c r="BZ111" i="10"/>
  <c r="CA111" i="10"/>
  <c r="CB111" i="10"/>
  <c r="CC111" i="10"/>
  <c r="CD111" i="10"/>
  <c r="CE111" i="10"/>
  <c r="CF111" i="10"/>
  <c r="CG111" i="10"/>
  <c r="BS112" i="10"/>
  <c r="BT112" i="10"/>
  <c r="BU112" i="10"/>
  <c r="BV112" i="10"/>
  <c r="BW112" i="10"/>
  <c r="BX112" i="10"/>
  <c r="BY112" i="10"/>
  <c r="BZ112" i="10"/>
  <c r="CA112" i="10"/>
  <c r="CB112" i="10"/>
  <c r="CC112" i="10"/>
  <c r="CD112" i="10"/>
  <c r="CE112" i="10"/>
  <c r="CF112" i="10"/>
  <c r="CG112" i="10"/>
  <c r="BS113" i="10"/>
  <c r="BT113" i="10"/>
  <c r="BU113" i="10"/>
  <c r="BV113" i="10"/>
  <c r="BW113" i="10"/>
  <c r="BX113" i="10"/>
  <c r="BY113" i="10"/>
  <c r="BZ113" i="10"/>
  <c r="CA113" i="10"/>
  <c r="CB113" i="10"/>
  <c r="CC113" i="10"/>
  <c r="CD113" i="10"/>
  <c r="CE113" i="10"/>
  <c r="CF113" i="10"/>
  <c r="CG113" i="10"/>
  <c r="BS114" i="10"/>
  <c r="BT114" i="10"/>
  <c r="BU114" i="10"/>
  <c r="BV114" i="10"/>
  <c r="BW114" i="10"/>
  <c r="BX114" i="10"/>
  <c r="BY114" i="10"/>
  <c r="BZ114" i="10"/>
  <c r="CA114" i="10"/>
  <c r="CB114" i="10"/>
  <c r="CC114" i="10"/>
  <c r="CD114" i="10"/>
  <c r="CE114" i="10"/>
  <c r="CF114" i="10"/>
  <c r="CG114" i="10"/>
  <c r="BS115" i="10"/>
  <c r="BT115" i="10"/>
  <c r="BU115" i="10"/>
  <c r="BV115" i="10"/>
  <c r="BW115" i="10"/>
  <c r="BX115" i="10"/>
  <c r="BY115" i="10"/>
  <c r="BZ115" i="10"/>
  <c r="CA115" i="10"/>
  <c r="CB115" i="10"/>
  <c r="CC115" i="10"/>
  <c r="CD115" i="10"/>
  <c r="CE115" i="10"/>
  <c r="CF115" i="10"/>
  <c r="CG115" i="10"/>
  <c r="BS116" i="10"/>
  <c r="BT116" i="10"/>
  <c r="BU116" i="10"/>
  <c r="BV116" i="10"/>
  <c r="BW116" i="10"/>
  <c r="BX116" i="10"/>
  <c r="BY116" i="10"/>
  <c r="BZ116" i="10"/>
  <c r="CA116" i="10"/>
  <c r="CB116" i="10"/>
  <c r="CC116" i="10"/>
  <c r="CD116" i="10"/>
  <c r="CE116" i="10"/>
  <c r="CF116" i="10"/>
  <c r="CG116" i="10"/>
  <c r="BS117" i="10"/>
  <c r="BT117" i="10"/>
  <c r="BU117" i="10"/>
  <c r="BV117" i="10"/>
  <c r="BW117" i="10"/>
  <c r="BX117" i="10"/>
  <c r="BY117" i="10"/>
  <c r="BZ117" i="10"/>
  <c r="CA117" i="10"/>
  <c r="CB117" i="10"/>
  <c r="CC117" i="10"/>
  <c r="CD117" i="10"/>
  <c r="CE117" i="10"/>
  <c r="CF117" i="10"/>
  <c r="CG117" i="10"/>
  <c r="BS118" i="10"/>
  <c r="BT118" i="10"/>
  <c r="BU118" i="10"/>
  <c r="BV118" i="10"/>
  <c r="BW118" i="10"/>
  <c r="BX118" i="10"/>
  <c r="BY118" i="10"/>
  <c r="BZ118" i="10"/>
  <c r="CA118" i="10"/>
  <c r="CB118" i="10"/>
  <c r="CC118" i="10"/>
  <c r="CD118" i="10"/>
  <c r="CE118" i="10"/>
  <c r="CF118" i="10"/>
  <c r="CG118" i="10"/>
  <c r="BS119" i="10"/>
  <c r="BT119" i="10"/>
  <c r="BU119" i="10"/>
  <c r="BV119" i="10"/>
  <c r="BW119" i="10"/>
  <c r="BX119" i="10"/>
  <c r="BY119" i="10"/>
  <c r="BZ119" i="10"/>
  <c r="CA119" i="10"/>
  <c r="CB119" i="10"/>
  <c r="CC119" i="10"/>
  <c r="CD119" i="10"/>
  <c r="CE119" i="10"/>
  <c r="CF119" i="10"/>
  <c r="CG119" i="10"/>
  <c r="BS120" i="10"/>
  <c r="BT120" i="10"/>
  <c r="BU120" i="10"/>
  <c r="BV120" i="10"/>
  <c r="BW120" i="10"/>
  <c r="BX120" i="10"/>
  <c r="BY120" i="10"/>
  <c r="BZ120" i="10"/>
  <c r="CA120" i="10"/>
  <c r="CB120" i="10"/>
  <c r="CC120" i="10"/>
  <c r="CD120" i="10"/>
  <c r="CE120" i="10"/>
  <c r="CF120" i="10"/>
  <c r="CG120" i="10"/>
  <c r="BS121" i="10"/>
  <c r="BT121" i="10"/>
  <c r="BU121" i="10"/>
  <c r="BV121" i="10"/>
  <c r="BW121" i="10"/>
  <c r="BX121" i="10"/>
  <c r="BY121" i="10"/>
  <c r="BZ121" i="10"/>
  <c r="CA121" i="10"/>
  <c r="CB121" i="10"/>
  <c r="CC121" i="10"/>
  <c r="CD121" i="10"/>
  <c r="CE121" i="10"/>
  <c r="CF121" i="10"/>
  <c r="CG121" i="10"/>
  <c r="BS122" i="10"/>
  <c r="BT122" i="10"/>
  <c r="BU122" i="10"/>
  <c r="BV122" i="10"/>
  <c r="BW122" i="10"/>
  <c r="BX122" i="10"/>
  <c r="BY122" i="10"/>
  <c r="BZ122" i="10"/>
  <c r="CA122" i="10"/>
  <c r="CB122" i="10"/>
  <c r="CC122" i="10"/>
  <c r="CD122" i="10"/>
  <c r="CE122" i="10"/>
  <c r="CF122" i="10"/>
  <c r="CG122" i="10"/>
  <c r="BS123" i="10"/>
  <c r="BT123" i="10"/>
  <c r="BU123" i="10"/>
  <c r="BV123" i="10"/>
  <c r="BW123" i="10"/>
  <c r="BX123" i="10"/>
  <c r="BY123" i="10"/>
  <c r="BZ123" i="10"/>
  <c r="CA123" i="10"/>
  <c r="CB123" i="10"/>
  <c r="CC123" i="10"/>
  <c r="CD123" i="10"/>
  <c r="CE123" i="10"/>
  <c r="CF123" i="10"/>
  <c r="CG123" i="10"/>
  <c r="BS124" i="10"/>
  <c r="BT124" i="10"/>
  <c r="BU124" i="10"/>
  <c r="BV124" i="10"/>
  <c r="BW124" i="10"/>
  <c r="BX124" i="10"/>
  <c r="BY124" i="10"/>
  <c r="BZ124" i="10"/>
  <c r="CA124" i="10"/>
  <c r="CB124" i="10"/>
  <c r="CC124" i="10"/>
  <c r="CD124" i="10"/>
  <c r="CE124" i="10"/>
  <c r="CF124" i="10"/>
  <c r="CG124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N13" i="10"/>
  <c r="BO13" i="10"/>
  <c r="BP13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N15" i="10"/>
  <c r="BO15" i="10"/>
  <c r="BP15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B19" i="10"/>
  <c r="BC19" i="10"/>
  <c r="BD19" i="10"/>
  <c r="BE19" i="10"/>
  <c r="BF19" i="10"/>
  <c r="BG19" i="10"/>
  <c r="BH19" i="10"/>
  <c r="BI19" i="10"/>
  <c r="BJ19" i="10"/>
  <c r="BK19" i="10"/>
  <c r="BL19" i="10"/>
  <c r="BM19" i="10"/>
  <c r="BN19" i="10"/>
  <c r="BO19" i="10"/>
  <c r="BP19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N21" i="10"/>
  <c r="BO21" i="10"/>
  <c r="BP21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B36" i="10"/>
  <c r="BC36" i="10"/>
  <c r="BD36" i="10"/>
  <c r="BE36" i="10"/>
  <c r="BF36" i="10"/>
  <c r="BG36" i="10"/>
  <c r="BH36" i="10"/>
  <c r="BI36" i="10"/>
  <c r="BJ36" i="10"/>
  <c r="BK36" i="10"/>
  <c r="BL36" i="10"/>
  <c r="BM36" i="10"/>
  <c r="BN36" i="10"/>
  <c r="BO36" i="10"/>
  <c r="BP36" i="10"/>
  <c r="BB37" i="10"/>
  <c r="BC37" i="10"/>
  <c r="BD37" i="10"/>
  <c r="BE37" i="10"/>
  <c r="BF37" i="10"/>
  <c r="BG37" i="10"/>
  <c r="BH37" i="10"/>
  <c r="BI37" i="10"/>
  <c r="BJ37" i="10"/>
  <c r="BK37" i="10"/>
  <c r="BL37" i="10"/>
  <c r="BM37" i="10"/>
  <c r="BN37" i="10"/>
  <c r="BO37" i="10"/>
  <c r="BP37" i="10"/>
  <c r="BB38" i="10"/>
  <c r="BC38" i="10"/>
  <c r="BD38" i="10"/>
  <c r="BE38" i="10"/>
  <c r="BF38" i="10"/>
  <c r="BG38" i="10"/>
  <c r="BH38" i="10"/>
  <c r="BI38" i="10"/>
  <c r="BJ38" i="10"/>
  <c r="BK38" i="10"/>
  <c r="BL38" i="10"/>
  <c r="BM38" i="10"/>
  <c r="BN38" i="10"/>
  <c r="BO38" i="10"/>
  <c r="BP38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B43" i="10"/>
  <c r="BC43" i="10"/>
  <c r="BD43" i="10"/>
  <c r="BE43" i="10"/>
  <c r="BF43" i="10"/>
  <c r="BG43" i="10"/>
  <c r="BH43" i="10"/>
  <c r="BI43" i="10"/>
  <c r="BJ43" i="10"/>
  <c r="BK43" i="10"/>
  <c r="BL43" i="10"/>
  <c r="BM43" i="10"/>
  <c r="BN43" i="10"/>
  <c r="BO43" i="10"/>
  <c r="BP43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B45" i="10"/>
  <c r="BC45" i="10"/>
  <c r="BD45" i="10"/>
  <c r="BE45" i="10"/>
  <c r="BF45" i="10"/>
  <c r="BG45" i="10"/>
  <c r="BH45" i="10"/>
  <c r="BI45" i="10"/>
  <c r="BJ45" i="10"/>
  <c r="BK45" i="10"/>
  <c r="BL45" i="10"/>
  <c r="BM45" i="10"/>
  <c r="BN45" i="10"/>
  <c r="BO45" i="10"/>
  <c r="BP45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B61" i="10"/>
  <c r="BC61" i="10"/>
  <c r="BD61" i="10"/>
  <c r="BE61" i="10"/>
  <c r="BF61" i="10"/>
  <c r="BG61" i="10"/>
  <c r="BH61" i="10"/>
  <c r="BI61" i="10"/>
  <c r="BJ61" i="10"/>
  <c r="BK61" i="10"/>
  <c r="BL61" i="10"/>
  <c r="BM61" i="10"/>
  <c r="BN61" i="10"/>
  <c r="BO61" i="10"/>
  <c r="BP61" i="10"/>
  <c r="BB62" i="10"/>
  <c r="BC62" i="10"/>
  <c r="BD62" i="10"/>
  <c r="BE62" i="10"/>
  <c r="BF62" i="10"/>
  <c r="BG62" i="10"/>
  <c r="BH62" i="10"/>
  <c r="BI62" i="10"/>
  <c r="BJ62" i="10"/>
  <c r="BK62" i="10"/>
  <c r="BL62" i="10"/>
  <c r="BM62" i="10"/>
  <c r="BN62" i="10"/>
  <c r="BO62" i="10"/>
  <c r="BP62" i="10"/>
  <c r="BB63" i="10"/>
  <c r="BC63" i="10"/>
  <c r="BD63" i="10"/>
  <c r="BE63" i="10"/>
  <c r="BF63" i="10"/>
  <c r="BG63" i="10"/>
  <c r="BH63" i="10"/>
  <c r="BI63" i="10"/>
  <c r="BJ63" i="10"/>
  <c r="BK63" i="10"/>
  <c r="BL63" i="10"/>
  <c r="BM63" i="10"/>
  <c r="BN63" i="10"/>
  <c r="BO63" i="10"/>
  <c r="BP63" i="10"/>
  <c r="BB64" i="10"/>
  <c r="BC64" i="10"/>
  <c r="BD64" i="10"/>
  <c r="BE64" i="10"/>
  <c r="BF64" i="10"/>
  <c r="BG64" i="10"/>
  <c r="BH64" i="10"/>
  <c r="BI64" i="10"/>
  <c r="BJ64" i="10"/>
  <c r="BK64" i="10"/>
  <c r="BL64" i="10"/>
  <c r="BM64" i="10"/>
  <c r="BN64" i="10"/>
  <c r="BO64" i="10"/>
  <c r="BP64" i="10"/>
  <c r="BB65" i="10"/>
  <c r="BC65" i="10"/>
  <c r="BD65" i="10"/>
  <c r="BE65" i="10"/>
  <c r="BF65" i="10"/>
  <c r="BG65" i="10"/>
  <c r="BH65" i="10"/>
  <c r="BI65" i="10"/>
  <c r="BJ65" i="10"/>
  <c r="BK65" i="10"/>
  <c r="BL65" i="10"/>
  <c r="BM65" i="10"/>
  <c r="BN65" i="10"/>
  <c r="BO65" i="10"/>
  <c r="BP65" i="10"/>
  <c r="BB66" i="10"/>
  <c r="BC66" i="10"/>
  <c r="BD66" i="10"/>
  <c r="BE66" i="10"/>
  <c r="BF66" i="10"/>
  <c r="BG66" i="10"/>
  <c r="BH66" i="10"/>
  <c r="BI66" i="10"/>
  <c r="BJ66" i="10"/>
  <c r="BK66" i="10"/>
  <c r="BL66" i="10"/>
  <c r="BM66" i="10"/>
  <c r="BN66" i="10"/>
  <c r="BO66" i="10"/>
  <c r="BP66" i="10"/>
  <c r="BB67" i="10"/>
  <c r="BC67" i="10"/>
  <c r="BD67" i="10"/>
  <c r="BE67" i="10"/>
  <c r="BF67" i="10"/>
  <c r="BG67" i="10"/>
  <c r="BH67" i="10"/>
  <c r="BI67" i="10"/>
  <c r="BJ67" i="10"/>
  <c r="BK67" i="10"/>
  <c r="BL67" i="10"/>
  <c r="BM67" i="10"/>
  <c r="BN67" i="10"/>
  <c r="BO67" i="10"/>
  <c r="BP67" i="10"/>
  <c r="BB68" i="10"/>
  <c r="BC68" i="10"/>
  <c r="BD68" i="10"/>
  <c r="BE68" i="10"/>
  <c r="BF68" i="10"/>
  <c r="BG68" i="10"/>
  <c r="BH68" i="10"/>
  <c r="BI68" i="10"/>
  <c r="BJ68" i="10"/>
  <c r="BK68" i="10"/>
  <c r="BL68" i="10"/>
  <c r="BM68" i="10"/>
  <c r="BN68" i="10"/>
  <c r="BO68" i="10"/>
  <c r="BP68" i="10"/>
  <c r="BB69" i="10"/>
  <c r="BC69" i="10"/>
  <c r="BD69" i="10"/>
  <c r="BE69" i="10"/>
  <c r="BF69" i="10"/>
  <c r="BG69" i="10"/>
  <c r="BH69" i="10"/>
  <c r="BI69" i="10"/>
  <c r="BJ69" i="10"/>
  <c r="BK69" i="10"/>
  <c r="BL69" i="10"/>
  <c r="BM69" i="10"/>
  <c r="BN69" i="10"/>
  <c r="BO69" i="10"/>
  <c r="BP69" i="10"/>
  <c r="BB70" i="10"/>
  <c r="BC70" i="10"/>
  <c r="BD70" i="10"/>
  <c r="BE70" i="10"/>
  <c r="BF70" i="10"/>
  <c r="BG70" i="10"/>
  <c r="BH70" i="10"/>
  <c r="BI70" i="10"/>
  <c r="BJ70" i="10"/>
  <c r="BK70" i="10"/>
  <c r="BL70" i="10"/>
  <c r="BM70" i="10"/>
  <c r="BN70" i="10"/>
  <c r="BO70" i="10"/>
  <c r="BP70" i="10"/>
  <c r="BB71" i="10"/>
  <c r="BC71" i="10"/>
  <c r="BD71" i="10"/>
  <c r="BE71" i="10"/>
  <c r="BF71" i="10"/>
  <c r="BG71" i="10"/>
  <c r="BH71" i="10"/>
  <c r="BI71" i="10"/>
  <c r="BJ71" i="10"/>
  <c r="BK71" i="10"/>
  <c r="BL71" i="10"/>
  <c r="BM71" i="10"/>
  <c r="BN71" i="10"/>
  <c r="BO71" i="10"/>
  <c r="BP71" i="10"/>
  <c r="BB72" i="10"/>
  <c r="BC72" i="10"/>
  <c r="BD72" i="10"/>
  <c r="BE72" i="10"/>
  <c r="BF72" i="10"/>
  <c r="BG72" i="10"/>
  <c r="BH72" i="10"/>
  <c r="BI72" i="10"/>
  <c r="BJ72" i="10"/>
  <c r="BK72" i="10"/>
  <c r="BL72" i="10"/>
  <c r="BM72" i="10"/>
  <c r="BN72" i="10"/>
  <c r="BO72" i="10"/>
  <c r="BP72" i="10"/>
  <c r="BB73" i="10"/>
  <c r="BC73" i="10"/>
  <c r="BD73" i="10"/>
  <c r="BE73" i="10"/>
  <c r="BF73" i="10"/>
  <c r="BG73" i="10"/>
  <c r="BH73" i="10"/>
  <c r="BI73" i="10"/>
  <c r="BJ73" i="10"/>
  <c r="BK73" i="10"/>
  <c r="BL73" i="10"/>
  <c r="BM73" i="10"/>
  <c r="BN73" i="10"/>
  <c r="BO73" i="10"/>
  <c r="BP73" i="10"/>
  <c r="BB74" i="10"/>
  <c r="BC74" i="10"/>
  <c r="BD74" i="10"/>
  <c r="BE74" i="10"/>
  <c r="BF74" i="10"/>
  <c r="BG74" i="10"/>
  <c r="BH74" i="10"/>
  <c r="BI74" i="10"/>
  <c r="BJ74" i="10"/>
  <c r="BK74" i="10"/>
  <c r="BL74" i="10"/>
  <c r="BM74" i="10"/>
  <c r="BN74" i="10"/>
  <c r="BO74" i="10"/>
  <c r="BP74" i="10"/>
  <c r="BB86" i="10"/>
  <c r="BC86" i="10"/>
  <c r="BD86" i="10"/>
  <c r="BE86" i="10"/>
  <c r="BF86" i="10"/>
  <c r="BG86" i="10"/>
  <c r="BH86" i="10"/>
  <c r="BI86" i="10"/>
  <c r="BJ86" i="10"/>
  <c r="BK86" i="10"/>
  <c r="BL86" i="10"/>
  <c r="BM86" i="10"/>
  <c r="BN86" i="10"/>
  <c r="BO86" i="10"/>
  <c r="BP86" i="10"/>
  <c r="BB87" i="10"/>
  <c r="BC87" i="10"/>
  <c r="BD87" i="10"/>
  <c r="BE87" i="10"/>
  <c r="BF87" i="10"/>
  <c r="BG87" i="10"/>
  <c r="BH87" i="10"/>
  <c r="BI87" i="10"/>
  <c r="BJ87" i="10"/>
  <c r="BK87" i="10"/>
  <c r="BL87" i="10"/>
  <c r="BM87" i="10"/>
  <c r="BN87" i="10"/>
  <c r="BO87" i="10"/>
  <c r="BP87" i="10"/>
  <c r="BB88" i="10"/>
  <c r="BC88" i="10"/>
  <c r="BD88" i="10"/>
  <c r="BE88" i="10"/>
  <c r="BF88" i="10"/>
  <c r="BG88" i="10"/>
  <c r="BH88" i="10"/>
  <c r="BI88" i="10"/>
  <c r="BJ88" i="10"/>
  <c r="BK88" i="10"/>
  <c r="BL88" i="10"/>
  <c r="BM88" i="10"/>
  <c r="BN88" i="10"/>
  <c r="BO88" i="10"/>
  <c r="BP88" i="10"/>
  <c r="BB89" i="10"/>
  <c r="BC89" i="10"/>
  <c r="BD89" i="10"/>
  <c r="BE89" i="10"/>
  <c r="BF89" i="10"/>
  <c r="BG89" i="10"/>
  <c r="BH89" i="10"/>
  <c r="BI89" i="10"/>
  <c r="BJ89" i="10"/>
  <c r="BK89" i="10"/>
  <c r="BL89" i="10"/>
  <c r="BM89" i="10"/>
  <c r="BN89" i="10"/>
  <c r="BO89" i="10"/>
  <c r="BP89" i="10"/>
  <c r="BB90" i="10"/>
  <c r="BC90" i="10"/>
  <c r="BD90" i="10"/>
  <c r="BE90" i="10"/>
  <c r="BF90" i="10"/>
  <c r="BG90" i="10"/>
  <c r="BH90" i="10"/>
  <c r="BI90" i="10"/>
  <c r="BJ90" i="10"/>
  <c r="BK90" i="10"/>
  <c r="BL90" i="10"/>
  <c r="BM90" i="10"/>
  <c r="BN90" i="10"/>
  <c r="BO90" i="10"/>
  <c r="BP90" i="10"/>
  <c r="BB91" i="10"/>
  <c r="BC91" i="10"/>
  <c r="BD91" i="10"/>
  <c r="BE91" i="10"/>
  <c r="BF91" i="10"/>
  <c r="BG91" i="10"/>
  <c r="BH91" i="10"/>
  <c r="BI91" i="10"/>
  <c r="BJ91" i="10"/>
  <c r="BK91" i="10"/>
  <c r="BL91" i="10"/>
  <c r="BM91" i="10"/>
  <c r="BN91" i="10"/>
  <c r="BO91" i="10"/>
  <c r="BP91" i="10"/>
  <c r="BB92" i="10"/>
  <c r="BC92" i="10"/>
  <c r="BD92" i="10"/>
  <c r="BE92" i="10"/>
  <c r="BF92" i="10"/>
  <c r="BG92" i="10"/>
  <c r="BH92" i="10"/>
  <c r="BI92" i="10"/>
  <c r="BJ92" i="10"/>
  <c r="BK92" i="10"/>
  <c r="BL92" i="10"/>
  <c r="BM92" i="10"/>
  <c r="BN92" i="10"/>
  <c r="BO92" i="10"/>
  <c r="BP92" i="10"/>
  <c r="BB93" i="10"/>
  <c r="BC93" i="10"/>
  <c r="BD93" i="10"/>
  <c r="BE93" i="10"/>
  <c r="BF93" i="10"/>
  <c r="BG93" i="10"/>
  <c r="BH93" i="10"/>
  <c r="BI93" i="10"/>
  <c r="BJ93" i="10"/>
  <c r="BK93" i="10"/>
  <c r="BL93" i="10"/>
  <c r="BM93" i="10"/>
  <c r="BN93" i="10"/>
  <c r="BO93" i="10"/>
  <c r="BP93" i="10"/>
  <c r="BB94" i="10"/>
  <c r="BC94" i="10"/>
  <c r="BD94" i="10"/>
  <c r="BE94" i="10"/>
  <c r="BF94" i="10"/>
  <c r="BG94" i="10"/>
  <c r="BH94" i="10"/>
  <c r="BI94" i="10"/>
  <c r="BJ94" i="10"/>
  <c r="BK94" i="10"/>
  <c r="BL94" i="10"/>
  <c r="BM94" i="10"/>
  <c r="BN94" i="10"/>
  <c r="BO94" i="10"/>
  <c r="BP94" i="10"/>
  <c r="BB95" i="10"/>
  <c r="BC95" i="10"/>
  <c r="BD95" i="10"/>
  <c r="BE95" i="10"/>
  <c r="BF95" i="10"/>
  <c r="BG95" i="10"/>
  <c r="BH95" i="10"/>
  <c r="BI95" i="10"/>
  <c r="BJ95" i="10"/>
  <c r="BK95" i="10"/>
  <c r="BL95" i="10"/>
  <c r="BM95" i="10"/>
  <c r="BN95" i="10"/>
  <c r="BO95" i="10"/>
  <c r="BP95" i="10"/>
  <c r="BB96" i="10"/>
  <c r="BC96" i="10"/>
  <c r="BD96" i="10"/>
  <c r="BE96" i="10"/>
  <c r="BF96" i="10"/>
  <c r="BG96" i="10"/>
  <c r="BH96" i="10"/>
  <c r="BI96" i="10"/>
  <c r="BJ96" i="10"/>
  <c r="BK96" i="10"/>
  <c r="BL96" i="10"/>
  <c r="BM96" i="10"/>
  <c r="BN96" i="10"/>
  <c r="BO96" i="10"/>
  <c r="BP96" i="10"/>
  <c r="BB97" i="10"/>
  <c r="BC97" i="10"/>
  <c r="BD97" i="10"/>
  <c r="BE97" i="10"/>
  <c r="BF97" i="10"/>
  <c r="BG97" i="10"/>
  <c r="BH97" i="10"/>
  <c r="BI97" i="10"/>
  <c r="BJ97" i="10"/>
  <c r="BK97" i="10"/>
  <c r="BL97" i="10"/>
  <c r="BM97" i="10"/>
  <c r="BN97" i="10"/>
  <c r="BO97" i="10"/>
  <c r="BP97" i="10"/>
  <c r="BB98" i="10"/>
  <c r="BC98" i="10"/>
  <c r="BD98" i="10"/>
  <c r="BE98" i="10"/>
  <c r="BF98" i="10"/>
  <c r="BG98" i="10"/>
  <c r="BH98" i="10"/>
  <c r="BI98" i="10"/>
  <c r="BJ98" i="10"/>
  <c r="BK98" i="10"/>
  <c r="BL98" i="10"/>
  <c r="BM98" i="10"/>
  <c r="BN98" i="10"/>
  <c r="BO98" i="10"/>
  <c r="BP98" i="10"/>
  <c r="BB99" i="10"/>
  <c r="BC99" i="10"/>
  <c r="BD99" i="10"/>
  <c r="BE99" i="10"/>
  <c r="BF99" i="10"/>
  <c r="BG99" i="10"/>
  <c r="BH99" i="10"/>
  <c r="BI99" i="10"/>
  <c r="BJ99" i="10"/>
  <c r="BK99" i="10"/>
  <c r="BL99" i="10"/>
  <c r="BM99" i="10"/>
  <c r="BN99" i="10"/>
  <c r="BO99" i="10"/>
  <c r="BP99" i="10"/>
  <c r="BB111" i="10"/>
  <c r="BC111" i="10"/>
  <c r="BD111" i="10"/>
  <c r="BE111" i="10"/>
  <c r="BF111" i="10"/>
  <c r="BG111" i="10"/>
  <c r="BH111" i="10"/>
  <c r="BI111" i="10"/>
  <c r="BJ111" i="10"/>
  <c r="BK111" i="10"/>
  <c r="BL111" i="10"/>
  <c r="BM111" i="10"/>
  <c r="BN111" i="10"/>
  <c r="BO111" i="10"/>
  <c r="BP111" i="10"/>
  <c r="BB112" i="10"/>
  <c r="BC112" i="10"/>
  <c r="BD112" i="10"/>
  <c r="BE112" i="10"/>
  <c r="BF112" i="10"/>
  <c r="BG112" i="10"/>
  <c r="BH112" i="10"/>
  <c r="BI112" i="10"/>
  <c r="BJ112" i="10"/>
  <c r="BK112" i="10"/>
  <c r="BL112" i="10"/>
  <c r="BM112" i="10"/>
  <c r="BN112" i="10"/>
  <c r="BO112" i="10"/>
  <c r="BP112" i="10"/>
  <c r="BB113" i="10"/>
  <c r="BC113" i="10"/>
  <c r="BD113" i="10"/>
  <c r="BE113" i="10"/>
  <c r="BF113" i="10"/>
  <c r="BG113" i="10"/>
  <c r="BH113" i="10"/>
  <c r="BI113" i="10"/>
  <c r="BJ113" i="10"/>
  <c r="BK113" i="10"/>
  <c r="BL113" i="10"/>
  <c r="BM113" i="10"/>
  <c r="BN113" i="10"/>
  <c r="BO113" i="10"/>
  <c r="BP113" i="10"/>
  <c r="BB114" i="10"/>
  <c r="BC114" i="10"/>
  <c r="BD114" i="10"/>
  <c r="BE114" i="10"/>
  <c r="BF114" i="10"/>
  <c r="BG114" i="10"/>
  <c r="BH114" i="10"/>
  <c r="BI114" i="10"/>
  <c r="BJ114" i="10"/>
  <c r="BK114" i="10"/>
  <c r="BL114" i="10"/>
  <c r="BM114" i="10"/>
  <c r="BN114" i="10"/>
  <c r="BO114" i="10"/>
  <c r="BP114" i="10"/>
  <c r="BB115" i="10"/>
  <c r="BC115" i="10"/>
  <c r="BD115" i="10"/>
  <c r="BE115" i="10"/>
  <c r="BF115" i="10"/>
  <c r="BG115" i="10"/>
  <c r="BH115" i="10"/>
  <c r="BI115" i="10"/>
  <c r="BJ115" i="10"/>
  <c r="BK115" i="10"/>
  <c r="BL115" i="10"/>
  <c r="BM115" i="10"/>
  <c r="BN115" i="10"/>
  <c r="BO115" i="10"/>
  <c r="BP115" i="10"/>
  <c r="BB116" i="10"/>
  <c r="BC116" i="10"/>
  <c r="BD116" i="10"/>
  <c r="BE116" i="10"/>
  <c r="BF116" i="10"/>
  <c r="BG116" i="10"/>
  <c r="BH116" i="10"/>
  <c r="BI116" i="10"/>
  <c r="BJ116" i="10"/>
  <c r="BK116" i="10"/>
  <c r="BL116" i="10"/>
  <c r="BM116" i="10"/>
  <c r="BN116" i="10"/>
  <c r="BO116" i="10"/>
  <c r="BP116" i="10"/>
  <c r="BB117" i="10"/>
  <c r="BC117" i="10"/>
  <c r="BD117" i="10"/>
  <c r="BE117" i="10"/>
  <c r="BF117" i="10"/>
  <c r="BG117" i="10"/>
  <c r="BH117" i="10"/>
  <c r="BI117" i="10"/>
  <c r="BJ117" i="10"/>
  <c r="BK117" i="10"/>
  <c r="BL117" i="10"/>
  <c r="BM117" i="10"/>
  <c r="BN117" i="10"/>
  <c r="BO117" i="10"/>
  <c r="BP117" i="10"/>
  <c r="BB118" i="10"/>
  <c r="BC118" i="10"/>
  <c r="BD118" i="10"/>
  <c r="BE118" i="10"/>
  <c r="BF118" i="10"/>
  <c r="BG118" i="10"/>
  <c r="BH118" i="10"/>
  <c r="BI118" i="10"/>
  <c r="BJ118" i="10"/>
  <c r="BK118" i="10"/>
  <c r="BL118" i="10"/>
  <c r="BM118" i="10"/>
  <c r="BN118" i="10"/>
  <c r="BO118" i="10"/>
  <c r="BP118" i="10"/>
  <c r="BB119" i="10"/>
  <c r="BC119" i="10"/>
  <c r="BD119" i="10"/>
  <c r="BE119" i="10"/>
  <c r="BF119" i="10"/>
  <c r="BG119" i="10"/>
  <c r="BH119" i="10"/>
  <c r="BI119" i="10"/>
  <c r="BJ119" i="10"/>
  <c r="BK119" i="10"/>
  <c r="BL119" i="10"/>
  <c r="BM119" i="10"/>
  <c r="BN119" i="10"/>
  <c r="BO119" i="10"/>
  <c r="BP119" i="10"/>
  <c r="BB120" i="10"/>
  <c r="BC120" i="10"/>
  <c r="BD120" i="10"/>
  <c r="BE120" i="10"/>
  <c r="BF120" i="10"/>
  <c r="BG120" i="10"/>
  <c r="BH120" i="10"/>
  <c r="BI120" i="10"/>
  <c r="BJ120" i="10"/>
  <c r="BK120" i="10"/>
  <c r="BL120" i="10"/>
  <c r="BM120" i="10"/>
  <c r="BN120" i="10"/>
  <c r="BO120" i="10"/>
  <c r="BP120" i="10"/>
  <c r="BB121" i="10"/>
  <c r="BC121" i="10"/>
  <c r="BD121" i="10"/>
  <c r="BE121" i="10"/>
  <c r="BF121" i="10"/>
  <c r="BG121" i="10"/>
  <c r="BH121" i="10"/>
  <c r="BI121" i="10"/>
  <c r="BJ121" i="10"/>
  <c r="BK121" i="10"/>
  <c r="BL121" i="10"/>
  <c r="BM121" i="10"/>
  <c r="BN121" i="10"/>
  <c r="BO121" i="10"/>
  <c r="BP121" i="10"/>
  <c r="BB122" i="10"/>
  <c r="BC122" i="10"/>
  <c r="BD122" i="10"/>
  <c r="BE122" i="10"/>
  <c r="BF122" i="10"/>
  <c r="BG122" i="10"/>
  <c r="BH122" i="10"/>
  <c r="BI122" i="10"/>
  <c r="BJ122" i="10"/>
  <c r="BK122" i="10"/>
  <c r="BL122" i="10"/>
  <c r="BM122" i="10"/>
  <c r="BN122" i="10"/>
  <c r="BO122" i="10"/>
  <c r="BP122" i="10"/>
  <c r="BB123" i="10"/>
  <c r="BC123" i="10"/>
  <c r="BD123" i="10"/>
  <c r="BE123" i="10"/>
  <c r="BF123" i="10"/>
  <c r="BG123" i="10"/>
  <c r="BH123" i="10"/>
  <c r="BI123" i="10"/>
  <c r="BJ123" i="10"/>
  <c r="BK123" i="10"/>
  <c r="BL123" i="10"/>
  <c r="BM123" i="10"/>
  <c r="BN123" i="10"/>
  <c r="BO123" i="10"/>
  <c r="BP123" i="10"/>
  <c r="BB124" i="10"/>
  <c r="BC124" i="10"/>
  <c r="BD124" i="10"/>
  <c r="BE124" i="10"/>
  <c r="BF124" i="10"/>
  <c r="BG124" i="10"/>
  <c r="BH124" i="10"/>
  <c r="BI124" i="10"/>
  <c r="BJ124" i="10"/>
  <c r="BK124" i="10"/>
  <c r="BL124" i="10"/>
  <c r="BM124" i="10"/>
  <c r="BN124" i="10"/>
  <c r="BO124" i="10"/>
  <c r="BP124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K36" i="10"/>
  <c r="AL36" i="10"/>
  <c r="AM36" i="10"/>
  <c r="AN36" i="10"/>
  <c r="AO36" i="10"/>
  <c r="AP36" i="10"/>
  <c r="AQ36" i="10"/>
  <c r="AR36" i="10"/>
  <c r="AS36" i="10"/>
  <c r="AT36" i="10"/>
  <c r="AU36" i="10"/>
  <c r="AV36" i="10"/>
  <c r="AW36" i="10"/>
  <c r="AX36" i="10"/>
  <c r="AY36" i="10"/>
  <c r="AK37" i="10"/>
  <c r="AL37" i="10"/>
  <c r="AM37" i="10"/>
  <c r="AN37" i="10"/>
  <c r="AO37" i="10"/>
  <c r="AP37" i="10"/>
  <c r="AQ37" i="10"/>
  <c r="AR37" i="10"/>
  <c r="AS37" i="10"/>
  <c r="AT37" i="10"/>
  <c r="AU37" i="10"/>
  <c r="AV37" i="10"/>
  <c r="AW37" i="10"/>
  <c r="AX37" i="10"/>
  <c r="AY37" i="10"/>
  <c r="AK38" i="10"/>
  <c r="AL38" i="10"/>
  <c r="AM38" i="10"/>
  <c r="AN38" i="10"/>
  <c r="AO38" i="10"/>
  <c r="AP38" i="10"/>
  <c r="AQ38" i="10"/>
  <c r="AR38" i="10"/>
  <c r="AS38" i="10"/>
  <c r="AT38" i="10"/>
  <c r="AU38" i="10"/>
  <c r="AV38" i="10"/>
  <c r="AW38" i="10"/>
  <c r="AX38" i="10"/>
  <c r="AY38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K43" i="10"/>
  <c r="AL43" i="10"/>
  <c r="AM43" i="10"/>
  <c r="AN43" i="10"/>
  <c r="AO43" i="10"/>
  <c r="AP43" i="10"/>
  <c r="AQ43" i="10"/>
  <c r="AR43" i="10"/>
  <c r="AS43" i="10"/>
  <c r="AT43" i="10"/>
  <c r="AU43" i="10"/>
  <c r="AV43" i="10"/>
  <c r="AW43" i="10"/>
  <c r="AX43" i="10"/>
  <c r="AY43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K45" i="10"/>
  <c r="AL45" i="10"/>
  <c r="AM45" i="10"/>
  <c r="AN45" i="10"/>
  <c r="AO45" i="10"/>
  <c r="AP45" i="10"/>
  <c r="AQ45" i="10"/>
  <c r="AR45" i="10"/>
  <c r="AS45" i="10"/>
  <c r="AT45" i="10"/>
  <c r="AU45" i="10"/>
  <c r="AV45" i="10"/>
  <c r="AW45" i="10"/>
  <c r="AX45" i="10"/>
  <c r="AY45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K61" i="10"/>
  <c r="AL61" i="10"/>
  <c r="AM61" i="10"/>
  <c r="AN61" i="10"/>
  <c r="AO61" i="10"/>
  <c r="AP61" i="10"/>
  <c r="AQ61" i="10"/>
  <c r="AR61" i="10"/>
  <c r="AS61" i="10"/>
  <c r="AT61" i="10"/>
  <c r="AU61" i="10"/>
  <c r="AV61" i="10"/>
  <c r="AW61" i="10"/>
  <c r="AX61" i="10"/>
  <c r="AY61" i="10"/>
  <c r="AK62" i="10"/>
  <c r="AL62" i="10"/>
  <c r="AM62" i="10"/>
  <c r="AN62" i="10"/>
  <c r="AO62" i="10"/>
  <c r="AP62" i="10"/>
  <c r="AQ62" i="10"/>
  <c r="AR62" i="10"/>
  <c r="AS62" i="10"/>
  <c r="AT62" i="10"/>
  <c r="AU62" i="10"/>
  <c r="AV62" i="10"/>
  <c r="AW62" i="10"/>
  <c r="AX62" i="10"/>
  <c r="AY62" i="10"/>
  <c r="AK63" i="10"/>
  <c r="AL63" i="10"/>
  <c r="AM63" i="10"/>
  <c r="AN63" i="10"/>
  <c r="AO63" i="10"/>
  <c r="AP63" i="10"/>
  <c r="AQ63" i="10"/>
  <c r="AR63" i="10"/>
  <c r="AS63" i="10"/>
  <c r="AT63" i="10"/>
  <c r="AU63" i="10"/>
  <c r="AV63" i="10"/>
  <c r="AW63" i="10"/>
  <c r="AX63" i="10"/>
  <c r="AY63" i="10"/>
  <c r="AK64" i="10"/>
  <c r="AL64" i="10"/>
  <c r="AM64" i="10"/>
  <c r="AN64" i="10"/>
  <c r="AO64" i="10"/>
  <c r="AP64" i="10"/>
  <c r="AQ64" i="10"/>
  <c r="AR64" i="10"/>
  <c r="AS64" i="10"/>
  <c r="AT64" i="10"/>
  <c r="AU64" i="10"/>
  <c r="AV64" i="10"/>
  <c r="AW64" i="10"/>
  <c r="AX64" i="10"/>
  <c r="AY64" i="10"/>
  <c r="AK65" i="10"/>
  <c r="AL65" i="10"/>
  <c r="AM65" i="10"/>
  <c r="AN65" i="10"/>
  <c r="AO65" i="10"/>
  <c r="AP65" i="10"/>
  <c r="AQ65" i="10"/>
  <c r="AR65" i="10"/>
  <c r="AS65" i="10"/>
  <c r="AT65" i="10"/>
  <c r="AU65" i="10"/>
  <c r="AV65" i="10"/>
  <c r="AW65" i="10"/>
  <c r="AX65" i="10"/>
  <c r="AY65" i="10"/>
  <c r="AK66" i="10"/>
  <c r="AL66" i="10"/>
  <c r="AM66" i="10"/>
  <c r="AN66" i="10"/>
  <c r="AO66" i="10"/>
  <c r="AP66" i="10"/>
  <c r="AQ66" i="10"/>
  <c r="AR66" i="10"/>
  <c r="AS66" i="10"/>
  <c r="AT66" i="10"/>
  <c r="AU66" i="10"/>
  <c r="AV66" i="10"/>
  <c r="AW66" i="10"/>
  <c r="AX66" i="10"/>
  <c r="AY66" i="10"/>
  <c r="AK67" i="10"/>
  <c r="AL67" i="10"/>
  <c r="AM67" i="10"/>
  <c r="AN67" i="10"/>
  <c r="AO67" i="10"/>
  <c r="AP67" i="10"/>
  <c r="AQ67" i="10"/>
  <c r="AR67" i="10"/>
  <c r="AS67" i="10"/>
  <c r="AT67" i="10"/>
  <c r="AU67" i="10"/>
  <c r="AV67" i="10"/>
  <c r="AW67" i="10"/>
  <c r="AX67" i="10"/>
  <c r="AY67" i="10"/>
  <c r="AK68" i="10"/>
  <c r="AL68" i="10"/>
  <c r="AM68" i="10"/>
  <c r="AN68" i="10"/>
  <c r="AO68" i="10"/>
  <c r="AP68" i="10"/>
  <c r="AQ68" i="10"/>
  <c r="AR68" i="10"/>
  <c r="AS68" i="10"/>
  <c r="AT68" i="10"/>
  <c r="AU68" i="10"/>
  <c r="AV68" i="10"/>
  <c r="AW68" i="10"/>
  <c r="AX68" i="10"/>
  <c r="AY68" i="10"/>
  <c r="AK69" i="10"/>
  <c r="AL69" i="10"/>
  <c r="AM69" i="10"/>
  <c r="AN69" i="10"/>
  <c r="AO69" i="10"/>
  <c r="AP69" i="10"/>
  <c r="AQ69" i="10"/>
  <c r="AR69" i="10"/>
  <c r="AS69" i="10"/>
  <c r="AT69" i="10"/>
  <c r="AU69" i="10"/>
  <c r="AV69" i="10"/>
  <c r="AW69" i="10"/>
  <c r="AX69" i="10"/>
  <c r="AY69" i="10"/>
  <c r="AK70" i="10"/>
  <c r="AL70" i="10"/>
  <c r="AM70" i="10"/>
  <c r="AN70" i="10"/>
  <c r="AO70" i="10"/>
  <c r="AP70" i="10"/>
  <c r="AQ70" i="10"/>
  <c r="AR70" i="10"/>
  <c r="AS70" i="10"/>
  <c r="AT70" i="10"/>
  <c r="AU70" i="10"/>
  <c r="AV70" i="10"/>
  <c r="AW70" i="10"/>
  <c r="AX70" i="10"/>
  <c r="AY70" i="10"/>
  <c r="AK71" i="10"/>
  <c r="AL71" i="10"/>
  <c r="AM71" i="10"/>
  <c r="AN71" i="10"/>
  <c r="AO71" i="10"/>
  <c r="AP71" i="10"/>
  <c r="AQ71" i="10"/>
  <c r="AR71" i="10"/>
  <c r="AS71" i="10"/>
  <c r="AT71" i="10"/>
  <c r="AU71" i="10"/>
  <c r="AV71" i="10"/>
  <c r="AW71" i="10"/>
  <c r="AX71" i="10"/>
  <c r="AY71" i="10"/>
  <c r="AK72" i="10"/>
  <c r="AL72" i="10"/>
  <c r="AM72" i="10"/>
  <c r="AN72" i="10"/>
  <c r="AO72" i="10"/>
  <c r="AP72" i="10"/>
  <c r="AQ72" i="10"/>
  <c r="AR72" i="10"/>
  <c r="AS72" i="10"/>
  <c r="AT72" i="10"/>
  <c r="AU72" i="10"/>
  <c r="AV72" i="10"/>
  <c r="AW72" i="10"/>
  <c r="AX72" i="10"/>
  <c r="AY72" i="10"/>
  <c r="AK73" i="10"/>
  <c r="AL73" i="10"/>
  <c r="AM73" i="10"/>
  <c r="AN73" i="10"/>
  <c r="AO73" i="10"/>
  <c r="AP73" i="10"/>
  <c r="AQ73" i="10"/>
  <c r="AR73" i="10"/>
  <c r="AS73" i="10"/>
  <c r="AT73" i="10"/>
  <c r="AU73" i="10"/>
  <c r="AV73" i="10"/>
  <c r="AW73" i="10"/>
  <c r="AX73" i="10"/>
  <c r="AY73" i="10"/>
  <c r="AK74" i="10"/>
  <c r="AL74" i="10"/>
  <c r="AM74" i="10"/>
  <c r="AN74" i="10"/>
  <c r="AO74" i="10"/>
  <c r="AP74" i="10"/>
  <c r="AQ74" i="10"/>
  <c r="AR74" i="10"/>
  <c r="AS74" i="10"/>
  <c r="AT74" i="10"/>
  <c r="AU74" i="10"/>
  <c r="AV74" i="10"/>
  <c r="AW74" i="10"/>
  <c r="AX74" i="10"/>
  <c r="AY74" i="10"/>
  <c r="AK86" i="10"/>
  <c r="AL86" i="10"/>
  <c r="AM86" i="10"/>
  <c r="AN86" i="10"/>
  <c r="AO86" i="10"/>
  <c r="AP86" i="10"/>
  <c r="AQ86" i="10"/>
  <c r="AR86" i="10"/>
  <c r="AS86" i="10"/>
  <c r="AT86" i="10"/>
  <c r="AU86" i="10"/>
  <c r="AV86" i="10"/>
  <c r="AW86" i="10"/>
  <c r="AX86" i="10"/>
  <c r="AY86" i="10"/>
  <c r="AK87" i="10"/>
  <c r="AL87" i="10"/>
  <c r="AM87" i="10"/>
  <c r="AN87" i="10"/>
  <c r="AO87" i="10"/>
  <c r="AP87" i="10"/>
  <c r="AQ87" i="10"/>
  <c r="AR87" i="10"/>
  <c r="AS87" i="10"/>
  <c r="AT87" i="10"/>
  <c r="AU87" i="10"/>
  <c r="AV87" i="10"/>
  <c r="AW87" i="10"/>
  <c r="AX87" i="10"/>
  <c r="AY87" i="10"/>
  <c r="AK88" i="10"/>
  <c r="AL88" i="10"/>
  <c r="AM88" i="10"/>
  <c r="AN88" i="10"/>
  <c r="AO88" i="10"/>
  <c r="AP88" i="10"/>
  <c r="AQ88" i="10"/>
  <c r="AR88" i="10"/>
  <c r="AS88" i="10"/>
  <c r="AT88" i="10"/>
  <c r="AU88" i="10"/>
  <c r="AV88" i="10"/>
  <c r="AW88" i="10"/>
  <c r="AX88" i="10"/>
  <c r="AY88" i="10"/>
  <c r="AK89" i="10"/>
  <c r="AL89" i="10"/>
  <c r="AM89" i="10"/>
  <c r="AN89" i="10"/>
  <c r="AO89" i="10"/>
  <c r="AP89" i="10"/>
  <c r="AQ89" i="10"/>
  <c r="AR89" i="10"/>
  <c r="AS89" i="10"/>
  <c r="AT89" i="10"/>
  <c r="AU89" i="10"/>
  <c r="AV89" i="10"/>
  <c r="AW89" i="10"/>
  <c r="AX89" i="10"/>
  <c r="AY89" i="10"/>
  <c r="AK90" i="10"/>
  <c r="AL90" i="10"/>
  <c r="AM90" i="10"/>
  <c r="AN90" i="10"/>
  <c r="AO90" i="10"/>
  <c r="AP90" i="10"/>
  <c r="AQ90" i="10"/>
  <c r="AR90" i="10"/>
  <c r="AS90" i="10"/>
  <c r="AT90" i="10"/>
  <c r="AU90" i="10"/>
  <c r="AV90" i="10"/>
  <c r="AW90" i="10"/>
  <c r="AX90" i="10"/>
  <c r="AY90" i="10"/>
  <c r="AK91" i="10"/>
  <c r="AL91" i="10"/>
  <c r="AM91" i="10"/>
  <c r="AN91" i="10"/>
  <c r="AO91" i="10"/>
  <c r="AP91" i="10"/>
  <c r="AQ91" i="10"/>
  <c r="AR91" i="10"/>
  <c r="AS91" i="10"/>
  <c r="AT91" i="10"/>
  <c r="AU91" i="10"/>
  <c r="AV91" i="10"/>
  <c r="AW91" i="10"/>
  <c r="AX91" i="10"/>
  <c r="AY91" i="10"/>
  <c r="AK92" i="10"/>
  <c r="AL92" i="10"/>
  <c r="AM92" i="10"/>
  <c r="AN92" i="10"/>
  <c r="AO92" i="10"/>
  <c r="AP92" i="10"/>
  <c r="AQ92" i="10"/>
  <c r="AR92" i="10"/>
  <c r="AS92" i="10"/>
  <c r="AT92" i="10"/>
  <c r="AU92" i="10"/>
  <c r="AV92" i="10"/>
  <c r="AW92" i="10"/>
  <c r="AX92" i="10"/>
  <c r="AY92" i="10"/>
  <c r="AK93" i="10"/>
  <c r="AL93" i="10"/>
  <c r="AM93" i="10"/>
  <c r="AN93" i="10"/>
  <c r="AO93" i="10"/>
  <c r="AP93" i="10"/>
  <c r="AQ93" i="10"/>
  <c r="AR93" i="10"/>
  <c r="AS93" i="10"/>
  <c r="AT93" i="10"/>
  <c r="AU93" i="10"/>
  <c r="AV93" i="10"/>
  <c r="AW93" i="10"/>
  <c r="AX93" i="10"/>
  <c r="AY93" i="10"/>
  <c r="AK94" i="10"/>
  <c r="AL94" i="10"/>
  <c r="AM94" i="10"/>
  <c r="AN94" i="10"/>
  <c r="AO94" i="10"/>
  <c r="AP94" i="10"/>
  <c r="AQ94" i="10"/>
  <c r="AR94" i="10"/>
  <c r="AS94" i="10"/>
  <c r="AT94" i="10"/>
  <c r="AU94" i="10"/>
  <c r="AV94" i="10"/>
  <c r="AW94" i="10"/>
  <c r="AX94" i="10"/>
  <c r="AY94" i="10"/>
  <c r="AK95" i="10"/>
  <c r="AL95" i="10"/>
  <c r="AM95" i="10"/>
  <c r="AN95" i="10"/>
  <c r="AO95" i="10"/>
  <c r="AP95" i="10"/>
  <c r="AQ95" i="10"/>
  <c r="AR95" i="10"/>
  <c r="AS95" i="10"/>
  <c r="AT95" i="10"/>
  <c r="AU95" i="10"/>
  <c r="AV95" i="10"/>
  <c r="AW95" i="10"/>
  <c r="AX95" i="10"/>
  <c r="AY95" i="10"/>
  <c r="AK96" i="10"/>
  <c r="AL96" i="10"/>
  <c r="AM96" i="10"/>
  <c r="AN96" i="10"/>
  <c r="AO96" i="10"/>
  <c r="AP96" i="10"/>
  <c r="AQ96" i="10"/>
  <c r="AR96" i="10"/>
  <c r="AS96" i="10"/>
  <c r="AT96" i="10"/>
  <c r="AU96" i="10"/>
  <c r="AV96" i="10"/>
  <c r="AW96" i="10"/>
  <c r="AX96" i="10"/>
  <c r="AY96" i="10"/>
  <c r="AK97" i="10"/>
  <c r="AL97" i="10"/>
  <c r="AM97" i="10"/>
  <c r="AN97" i="10"/>
  <c r="AO97" i="10"/>
  <c r="AP97" i="10"/>
  <c r="AQ97" i="10"/>
  <c r="AR97" i="10"/>
  <c r="AS97" i="10"/>
  <c r="AT97" i="10"/>
  <c r="AU97" i="10"/>
  <c r="AV97" i="10"/>
  <c r="AW97" i="10"/>
  <c r="AX97" i="10"/>
  <c r="AY97" i="10"/>
  <c r="AK98" i="10"/>
  <c r="AL98" i="10"/>
  <c r="AM98" i="10"/>
  <c r="AN98" i="10"/>
  <c r="AO98" i="10"/>
  <c r="AP98" i="10"/>
  <c r="AQ98" i="10"/>
  <c r="AR98" i="10"/>
  <c r="AS98" i="10"/>
  <c r="AT98" i="10"/>
  <c r="AU98" i="10"/>
  <c r="AV98" i="10"/>
  <c r="AW98" i="10"/>
  <c r="AX98" i="10"/>
  <c r="AY98" i="10"/>
  <c r="AK99" i="10"/>
  <c r="AL99" i="10"/>
  <c r="AM99" i="10"/>
  <c r="AN99" i="10"/>
  <c r="AO99" i="10"/>
  <c r="AP99" i="10"/>
  <c r="AQ99" i="10"/>
  <c r="AR99" i="10"/>
  <c r="AS99" i="10"/>
  <c r="AT99" i="10"/>
  <c r="AU99" i="10"/>
  <c r="AV99" i="10"/>
  <c r="AW99" i="10"/>
  <c r="AX99" i="10"/>
  <c r="AY99" i="10"/>
  <c r="AK111" i="10"/>
  <c r="AL111" i="10"/>
  <c r="AM111" i="10"/>
  <c r="AN111" i="10"/>
  <c r="AO111" i="10"/>
  <c r="AP111" i="10"/>
  <c r="AQ111" i="10"/>
  <c r="AR111" i="10"/>
  <c r="AS111" i="10"/>
  <c r="AT111" i="10"/>
  <c r="AU111" i="10"/>
  <c r="AV111" i="10"/>
  <c r="AW111" i="10"/>
  <c r="AX111" i="10"/>
  <c r="AY111" i="10"/>
  <c r="AK112" i="10"/>
  <c r="AL112" i="10"/>
  <c r="AM112" i="10"/>
  <c r="AN112" i="10"/>
  <c r="AO112" i="10"/>
  <c r="AP112" i="10"/>
  <c r="AQ112" i="10"/>
  <c r="AR112" i="10"/>
  <c r="AS112" i="10"/>
  <c r="AT112" i="10"/>
  <c r="AU112" i="10"/>
  <c r="AV112" i="10"/>
  <c r="AW112" i="10"/>
  <c r="AX112" i="10"/>
  <c r="AY112" i="10"/>
  <c r="AK113" i="10"/>
  <c r="AL113" i="10"/>
  <c r="AM113" i="10"/>
  <c r="AN113" i="10"/>
  <c r="AO113" i="10"/>
  <c r="AP113" i="10"/>
  <c r="AQ113" i="10"/>
  <c r="AR113" i="10"/>
  <c r="AS113" i="10"/>
  <c r="AT113" i="10"/>
  <c r="AU113" i="10"/>
  <c r="AV113" i="10"/>
  <c r="AW113" i="10"/>
  <c r="AX113" i="10"/>
  <c r="AY113" i="10"/>
  <c r="AK114" i="10"/>
  <c r="AL114" i="10"/>
  <c r="AM114" i="10"/>
  <c r="AN114" i="10"/>
  <c r="AO114" i="10"/>
  <c r="AP114" i="10"/>
  <c r="AQ114" i="10"/>
  <c r="AR114" i="10"/>
  <c r="AS114" i="10"/>
  <c r="AT114" i="10"/>
  <c r="AU114" i="10"/>
  <c r="AV114" i="10"/>
  <c r="AW114" i="10"/>
  <c r="AX114" i="10"/>
  <c r="AY114" i="10"/>
  <c r="AK115" i="10"/>
  <c r="AL115" i="10"/>
  <c r="AM115" i="10"/>
  <c r="AN115" i="10"/>
  <c r="AO115" i="10"/>
  <c r="AP115" i="10"/>
  <c r="AQ115" i="10"/>
  <c r="AR115" i="10"/>
  <c r="AS115" i="10"/>
  <c r="AT115" i="10"/>
  <c r="AU115" i="10"/>
  <c r="AV115" i="10"/>
  <c r="AW115" i="10"/>
  <c r="AX115" i="10"/>
  <c r="AY115" i="10"/>
  <c r="AK116" i="10"/>
  <c r="AL116" i="10"/>
  <c r="AM116" i="10"/>
  <c r="AN116" i="10"/>
  <c r="AO116" i="10"/>
  <c r="AP116" i="10"/>
  <c r="AQ116" i="10"/>
  <c r="AR116" i="10"/>
  <c r="AS116" i="10"/>
  <c r="AT116" i="10"/>
  <c r="AU116" i="10"/>
  <c r="AV116" i="10"/>
  <c r="AW116" i="10"/>
  <c r="AX116" i="10"/>
  <c r="AY116" i="10"/>
  <c r="AK117" i="10"/>
  <c r="AL117" i="10"/>
  <c r="AM117" i="10"/>
  <c r="AN117" i="10"/>
  <c r="AO117" i="10"/>
  <c r="AP117" i="10"/>
  <c r="AQ117" i="10"/>
  <c r="AR117" i="10"/>
  <c r="AS117" i="10"/>
  <c r="AT117" i="10"/>
  <c r="AU117" i="10"/>
  <c r="AV117" i="10"/>
  <c r="AW117" i="10"/>
  <c r="AX117" i="10"/>
  <c r="AY117" i="10"/>
  <c r="AK118" i="10"/>
  <c r="AL118" i="10"/>
  <c r="AM118" i="10"/>
  <c r="AN118" i="10"/>
  <c r="AO118" i="10"/>
  <c r="AP118" i="10"/>
  <c r="AQ118" i="10"/>
  <c r="AR118" i="10"/>
  <c r="AS118" i="10"/>
  <c r="AT118" i="10"/>
  <c r="AU118" i="10"/>
  <c r="AV118" i="10"/>
  <c r="AW118" i="10"/>
  <c r="AX118" i="10"/>
  <c r="AY118" i="10"/>
  <c r="AK119" i="10"/>
  <c r="AL119" i="10"/>
  <c r="AM119" i="10"/>
  <c r="AN119" i="10"/>
  <c r="AO119" i="10"/>
  <c r="AP119" i="10"/>
  <c r="AQ119" i="10"/>
  <c r="AR119" i="10"/>
  <c r="AS119" i="10"/>
  <c r="AT119" i="10"/>
  <c r="AU119" i="10"/>
  <c r="AV119" i="10"/>
  <c r="AW119" i="10"/>
  <c r="AX119" i="10"/>
  <c r="AY119" i="10"/>
  <c r="AK120" i="10"/>
  <c r="AL120" i="10"/>
  <c r="AM120" i="10"/>
  <c r="AN120" i="10"/>
  <c r="AO120" i="10"/>
  <c r="AP120" i="10"/>
  <c r="AQ120" i="10"/>
  <c r="AR120" i="10"/>
  <c r="AS120" i="10"/>
  <c r="AT120" i="10"/>
  <c r="AU120" i="10"/>
  <c r="AV120" i="10"/>
  <c r="AW120" i="10"/>
  <c r="AX120" i="10"/>
  <c r="AY120" i="10"/>
  <c r="AK121" i="10"/>
  <c r="AL121" i="10"/>
  <c r="AM121" i="10"/>
  <c r="AN121" i="10"/>
  <c r="AO121" i="10"/>
  <c r="AP121" i="10"/>
  <c r="AQ121" i="10"/>
  <c r="AR121" i="10"/>
  <c r="AS121" i="10"/>
  <c r="AT121" i="10"/>
  <c r="AU121" i="10"/>
  <c r="AV121" i="10"/>
  <c r="AW121" i="10"/>
  <c r="AX121" i="10"/>
  <c r="AY121" i="10"/>
  <c r="AK122" i="10"/>
  <c r="AL122" i="10"/>
  <c r="AM122" i="10"/>
  <c r="AN122" i="10"/>
  <c r="AO122" i="10"/>
  <c r="AP122" i="10"/>
  <c r="AQ122" i="10"/>
  <c r="AR122" i="10"/>
  <c r="AS122" i="10"/>
  <c r="AT122" i="10"/>
  <c r="AU122" i="10"/>
  <c r="AV122" i="10"/>
  <c r="AW122" i="10"/>
  <c r="AX122" i="10"/>
  <c r="AY122" i="10"/>
  <c r="AK123" i="10"/>
  <c r="AL123" i="10"/>
  <c r="AM123" i="10"/>
  <c r="AN123" i="10"/>
  <c r="AO123" i="10"/>
  <c r="AP123" i="10"/>
  <c r="AQ123" i="10"/>
  <c r="AR123" i="10"/>
  <c r="AS123" i="10"/>
  <c r="AT123" i="10"/>
  <c r="AU123" i="10"/>
  <c r="AV123" i="10"/>
  <c r="AW123" i="10"/>
  <c r="AX123" i="10"/>
  <c r="AY123" i="10"/>
  <c r="AK124" i="10"/>
  <c r="AL124" i="10"/>
  <c r="AM124" i="10"/>
  <c r="AN124" i="10"/>
  <c r="AO124" i="10"/>
  <c r="AP124" i="10"/>
  <c r="AQ124" i="10"/>
  <c r="AR124" i="10"/>
  <c r="AS124" i="10"/>
  <c r="AT124" i="10"/>
  <c r="AU124" i="10"/>
  <c r="AV124" i="10"/>
  <c r="AW124" i="10"/>
  <c r="AX124" i="10"/>
  <c r="AY124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AG64" i="10"/>
  <c r="AH64" i="10"/>
  <c r="T65" i="10"/>
  <c r="U65" i="10"/>
  <c r="V65" i="10"/>
  <c r="W65" i="10"/>
  <c r="X65" i="10"/>
  <c r="Y65" i="10"/>
  <c r="Z65" i="10"/>
  <c r="AA65" i="10"/>
  <c r="AB65" i="10"/>
  <c r="AC65" i="10"/>
  <c r="AD65" i="10"/>
  <c r="AE65" i="10"/>
  <c r="AF65" i="10"/>
  <c r="AG65" i="10"/>
  <c r="AH65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T67" i="10"/>
  <c r="U67" i="10"/>
  <c r="V67" i="10"/>
  <c r="W67" i="10"/>
  <c r="X67" i="10"/>
  <c r="Y67" i="10"/>
  <c r="Z67" i="10"/>
  <c r="AA67" i="10"/>
  <c r="AB67" i="10"/>
  <c r="AC67" i="10"/>
  <c r="AD67" i="10"/>
  <c r="AE67" i="10"/>
  <c r="AF67" i="10"/>
  <c r="AG67" i="10"/>
  <c r="AH67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AG69" i="10"/>
  <c r="AH69" i="10"/>
  <c r="T70" i="10"/>
  <c r="U70" i="10"/>
  <c r="V70" i="10"/>
  <c r="W70" i="10"/>
  <c r="X70" i="10"/>
  <c r="Y70" i="10"/>
  <c r="Z70" i="10"/>
  <c r="AA70" i="10"/>
  <c r="AB70" i="10"/>
  <c r="AC70" i="10"/>
  <c r="AD70" i="10"/>
  <c r="AE70" i="10"/>
  <c r="AF70" i="10"/>
  <c r="AG70" i="10"/>
  <c r="AH70" i="10"/>
  <c r="T71" i="10"/>
  <c r="U71" i="10"/>
  <c r="V71" i="10"/>
  <c r="W71" i="10"/>
  <c r="X71" i="10"/>
  <c r="Y71" i="10"/>
  <c r="Z71" i="10"/>
  <c r="AA71" i="10"/>
  <c r="AB71" i="10"/>
  <c r="AC71" i="10"/>
  <c r="AD71" i="10"/>
  <c r="AE71" i="10"/>
  <c r="AF71" i="10"/>
  <c r="AG71" i="10"/>
  <c r="AH71" i="10"/>
  <c r="T72" i="10"/>
  <c r="U72" i="10"/>
  <c r="V72" i="10"/>
  <c r="W72" i="10"/>
  <c r="X72" i="10"/>
  <c r="Y72" i="10"/>
  <c r="Z72" i="10"/>
  <c r="AA72" i="10"/>
  <c r="AB72" i="10"/>
  <c r="AC72" i="10"/>
  <c r="AD72" i="10"/>
  <c r="AE72" i="10"/>
  <c r="AF72" i="10"/>
  <c r="AG72" i="10"/>
  <c r="AH72" i="10"/>
  <c r="T73" i="10"/>
  <c r="U73" i="10"/>
  <c r="V73" i="10"/>
  <c r="W73" i="10"/>
  <c r="X73" i="10"/>
  <c r="Y73" i="10"/>
  <c r="Z73" i="10"/>
  <c r="AA73" i="10"/>
  <c r="AB73" i="10"/>
  <c r="AC73" i="10"/>
  <c r="AD73" i="10"/>
  <c r="AE73" i="10"/>
  <c r="AF73" i="10"/>
  <c r="AG73" i="10"/>
  <c r="AH73" i="10"/>
  <c r="T74" i="10"/>
  <c r="U74" i="10"/>
  <c r="V74" i="10"/>
  <c r="W74" i="10"/>
  <c r="X74" i="10"/>
  <c r="Y74" i="10"/>
  <c r="Z74" i="10"/>
  <c r="AA74" i="10"/>
  <c r="AB74" i="10"/>
  <c r="AC74" i="10"/>
  <c r="AD74" i="10"/>
  <c r="AE74" i="10"/>
  <c r="AF74" i="10"/>
  <c r="AG74" i="10"/>
  <c r="AH74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T113" i="10"/>
  <c r="U113" i="10"/>
  <c r="V113" i="10"/>
  <c r="W113" i="10"/>
  <c r="X113" i="10"/>
  <c r="Y113" i="10"/>
  <c r="Z113" i="10"/>
  <c r="AA113" i="10"/>
  <c r="AB113" i="10"/>
  <c r="AC113" i="10"/>
  <c r="AD113" i="10"/>
  <c r="AE113" i="10"/>
  <c r="AF113" i="10"/>
  <c r="AG113" i="10"/>
  <c r="AH113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T115" i="10"/>
  <c r="U115" i="10"/>
  <c r="V115" i="10"/>
  <c r="W115" i="10"/>
  <c r="X115" i="10"/>
  <c r="Y115" i="10"/>
  <c r="Z115" i="10"/>
  <c r="AA115" i="10"/>
  <c r="AB115" i="10"/>
  <c r="AC115" i="10"/>
  <c r="AD115" i="10"/>
  <c r="AE115" i="10"/>
  <c r="AF115" i="10"/>
  <c r="AG115" i="10"/>
  <c r="AH115" i="10"/>
  <c r="T116" i="10"/>
  <c r="U116" i="10"/>
  <c r="V116" i="10"/>
  <c r="W116" i="10"/>
  <c r="X116" i="10"/>
  <c r="Y116" i="10"/>
  <c r="Z116" i="10"/>
  <c r="AA116" i="10"/>
  <c r="AB116" i="10"/>
  <c r="AC116" i="10"/>
  <c r="AD116" i="10"/>
  <c r="AE116" i="10"/>
  <c r="AF116" i="10"/>
  <c r="AG116" i="10"/>
  <c r="AH116" i="10"/>
  <c r="T117" i="10"/>
  <c r="U117" i="10"/>
  <c r="V117" i="10"/>
  <c r="W117" i="10"/>
  <c r="X117" i="10"/>
  <c r="Y117" i="10"/>
  <c r="Z117" i="10"/>
  <c r="AA117" i="10"/>
  <c r="AB117" i="10"/>
  <c r="AC117" i="10"/>
  <c r="AD117" i="10"/>
  <c r="AE117" i="10"/>
  <c r="AF117" i="10"/>
  <c r="AG117" i="10"/>
  <c r="AH117" i="10"/>
  <c r="T118" i="10"/>
  <c r="U118" i="10"/>
  <c r="V118" i="10"/>
  <c r="W118" i="10"/>
  <c r="X118" i="10"/>
  <c r="Y118" i="10"/>
  <c r="Z118" i="10"/>
  <c r="AA118" i="10"/>
  <c r="AB118" i="10"/>
  <c r="AC118" i="10"/>
  <c r="AD118" i="10"/>
  <c r="AE118" i="10"/>
  <c r="AF118" i="10"/>
  <c r="AG118" i="10"/>
  <c r="AH118" i="10"/>
  <c r="T119" i="10"/>
  <c r="U119" i="10"/>
  <c r="V119" i="10"/>
  <c r="W119" i="10"/>
  <c r="X119" i="10"/>
  <c r="Y119" i="10"/>
  <c r="Z119" i="10"/>
  <c r="AA119" i="10"/>
  <c r="AB119" i="10"/>
  <c r="AC119" i="10"/>
  <c r="AD119" i="10"/>
  <c r="AE119" i="10"/>
  <c r="AF119" i="10"/>
  <c r="AG119" i="10"/>
  <c r="AH119" i="10"/>
  <c r="T120" i="10"/>
  <c r="U120" i="10"/>
  <c r="V120" i="10"/>
  <c r="W120" i="10"/>
  <c r="X120" i="10"/>
  <c r="Y120" i="10"/>
  <c r="Z120" i="10"/>
  <c r="AA120" i="10"/>
  <c r="AB120" i="10"/>
  <c r="AC120" i="10"/>
  <c r="AD120" i="10"/>
  <c r="AE120" i="10"/>
  <c r="AF120" i="10"/>
  <c r="AG120" i="10"/>
  <c r="AH120" i="10"/>
  <c r="T121" i="10"/>
  <c r="U121" i="10"/>
  <c r="V121" i="10"/>
  <c r="W121" i="10"/>
  <c r="X121" i="10"/>
  <c r="Y121" i="10"/>
  <c r="Z121" i="10"/>
  <c r="AA121" i="10"/>
  <c r="AB121" i="10"/>
  <c r="AC121" i="10"/>
  <c r="AD121" i="10"/>
  <c r="AE121" i="10"/>
  <c r="AF121" i="10"/>
  <c r="AG121" i="10"/>
  <c r="AH121" i="10"/>
  <c r="T122" i="10"/>
  <c r="U122" i="10"/>
  <c r="V122" i="10"/>
  <c r="W122" i="10"/>
  <c r="X122" i="10"/>
  <c r="Y122" i="10"/>
  <c r="Z122" i="10"/>
  <c r="AA122" i="10"/>
  <c r="AB122" i="10"/>
  <c r="AC122" i="10"/>
  <c r="AD122" i="10"/>
  <c r="AE122" i="10"/>
  <c r="AF122" i="10"/>
  <c r="AG122" i="10"/>
  <c r="AH122" i="10"/>
  <c r="T123" i="10"/>
  <c r="U123" i="10"/>
  <c r="V123" i="10"/>
  <c r="W123" i="10"/>
  <c r="X123" i="10"/>
  <c r="Y123" i="10"/>
  <c r="Z123" i="10"/>
  <c r="AA123" i="10"/>
  <c r="AB123" i="10"/>
  <c r="AC123" i="10"/>
  <c r="AD123" i="10"/>
  <c r="AE123" i="10"/>
  <c r="AF123" i="10"/>
  <c r="AG123" i="10"/>
  <c r="AH123" i="10"/>
  <c r="T124" i="10"/>
  <c r="U124" i="10"/>
  <c r="V124" i="10"/>
  <c r="W124" i="10"/>
  <c r="X124" i="10"/>
  <c r="Y124" i="10"/>
  <c r="Z124" i="10"/>
  <c r="AA124" i="10"/>
  <c r="AB124" i="10"/>
  <c r="AC124" i="10"/>
  <c r="AD124" i="10"/>
  <c r="AE124" i="10"/>
  <c r="AF124" i="10"/>
  <c r="AG124" i="10"/>
  <c r="AH124" i="10"/>
  <c r="C111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P111" i="10"/>
  <c r="Q111" i="10"/>
  <c r="C112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P112" i="10"/>
  <c r="Q112" i="10"/>
  <c r="C113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P113" i="10"/>
  <c r="Q113" i="10"/>
  <c r="C114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P114" i="10"/>
  <c r="Q114" i="10"/>
  <c r="C115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P115" i="10"/>
  <c r="Q115" i="10"/>
  <c r="C116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P116" i="10"/>
  <c r="Q116" i="10"/>
  <c r="C117" i="10"/>
  <c r="D117" i="10"/>
  <c r="E117" i="10"/>
  <c r="F117" i="10"/>
  <c r="G117" i="10"/>
  <c r="H117" i="10"/>
  <c r="I117" i="10"/>
  <c r="J117" i="10"/>
  <c r="K117" i="10"/>
  <c r="L117" i="10"/>
  <c r="M117" i="10"/>
  <c r="N117" i="10"/>
  <c r="O117" i="10"/>
  <c r="P117" i="10"/>
  <c r="Q117" i="10"/>
  <c r="C118" i="10"/>
  <c r="D118" i="10"/>
  <c r="E118" i="10"/>
  <c r="F118" i="10"/>
  <c r="G118" i="10"/>
  <c r="H118" i="10"/>
  <c r="I118" i="10"/>
  <c r="J118" i="10"/>
  <c r="K118" i="10"/>
  <c r="L118" i="10"/>
  <c r="M118" i="10"/>
  <c r="N118" i="10"/>
  <c r="O118" i="10"/>
  <c r="P118" i="10"/>
  <c r="Q118" i="10"/>
  <c r="C119" i="10"/>
  <c r="D119" i="10"/>
  <c r="E119" i="10"/>
  <c r="F119" i="10"/>
  <c r="G119" i="10"/>
  <c r="H119" i="10"/>
  <c r="I119" i="10"/>
  <c r="J119" i="10"/>
  <c r="K119" i="10"/>
  <c r="L119" i="10"/>
  <c r="M119" i="10"/>
  <c r="N119" i="10"/>
  <c r="O119" i="10"/>
  <c r="P119" i="10"/>
  <c r="Q119" i="10"/>
  <c r="C120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P120" i="10"/>
  <c r="Q120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122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P122" i="10"/>
  <c r="Q122" i="10"/>
  <c r="C123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P123" i="10"/>
  <c r="Q123" i="10"/>
  <c r="C124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P124" i="10"/>
  <c r="Q124" i="10"/>
  <c r="C86" i="10"/>
  <c r="D86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Q86" i="10"/>
  <c r="C87" i="10"/>
  <c r="D87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Q87" i="10"/>
  <c r="C88" i="10"/>
  <c r="D88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Q88" i="10"/>
  <c r="C89" i="10"/>
  <c r="D89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Q89" i="10"/>
  <c r="C90" i="10"/>
  <c r="D90" i="10"/>
  <c r="E90" i="10"/>
  <c r="F90" i="10"/>
  <c r="G90" i="10"/>
  <c r="H90" i="10"/>
  <c r="I90" i="10"/>
  <c r="J90" i="10"/>
  <c r="K90" i="10"/>
  <c r="L90" i="10"/>
  <c r="M90" i="10"/>
  <c r="N90" i="10"/>
  <c r="O90" i="10"/>
  <c r="P90" i="10"/>
  <c r="Q90" i="10"/>
  <c r="C91" i="10"/>
  <c r="D91" i="10"/>
  <c r="E91" i="10"/>
  <c r="F91" i="10"/>
  <c r="G91" i="10"/>
  <c r="H91" i="10"/>
  <c r="I91" i="10"/>
  <c r="J91" i="10"/>
  <c r="K91" i="10"/>
  <c r="L91" i="10"/>
  <c r="M91" i="10"/>
  <c r="N91" i="10"/>
  <c r="O91" i="10"/>
  <c r="P91" i="10"/>
  <c r="Q91" i="10"/>
  <c r="C92" i="10"/>
  <c r="D92" i="10"/>
  <c r="E92" i="10"/>
  <c r="F92" i="10"/>
  <c r="G92" i="10"/>
  <c r="H92" i="10"/>
  <c r="I92" i="10"/>
  <c r="J92" i="10"/>
  <c r="K92" i="10"/>
  <c r="L92" i="10"/>
  <c r="M92" i="10"/>
  <c r="N92" i="10"/>
  <c r="O92" i="10"/>
  <c r="P92" i="10"/>
  <c r="Q92" i="10"/>
  <c r="C93" i="10"/>
  <c r="D93" i="10"/>
  <c r="E93" i="10"/>
  <c r="F93" i="10"/>
  <c r="G93" i="10"/>
  <c r="H93" i="10"/>
  <c r="I93" i="10"/>
  <c r="J93" i="10"/>
  <c r="K93" i="10"/>
  <c r="L93" i="10"/>
  <c r="M93" i="10"/>
  <c r="N93" i="10"/>
  <c r="O93" i="10"/>
  <c r="P93" i="10"/>
  <c r="Q93" i="10"/>
  <c r="C94" i="10"/>
  <c r="D94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Q94" i="10"/>
  <c r="C95" i="10"/>
  <c r="D95" i="10"/>
  <c r="E95" i="10"/>
  <c r="F95" i="10"/>
  <c r="G95" i="10"/>
  <c r="H95" i="10"/>
  <c r="I95" i="10"/>
  <c r="J95" i="10"/>
  <c r="K95" i="10"/>
  <c r="L95" i="10"/>
  <c r="M95" i="10"/>
  <c r="N95" i="10"/>
  <c r="O95" i="10"/>
  <c r="P95" i="10"/>
  <c r="Q95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7" i="10"/>
  <c r="D97" i="10"/>
  <c r="E97" i="10"/>
  <c r="F97" i="10"/>
  <c r="G97" i="10"/>
  <c r="H97" i="10"/>
  <c r="I97" i="10"/>
  <c r="J97" i="10"/>
  <c r="K97" i="10"/>
  <c r="L97" i="10"/>
  <c r="M97" i="10"/>
  <c r="N97" i="10"/>
  <c r="O97" i="10"/>
  <c r="P97" i="10"/>
  <c r="Q97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C99" i="10"/>
  <c r="D99" i="10"/>
  <c r="E99" i="10"/>
  <c r="F99" i="10"/>
  <c r="G99" i="10"/>
  <c r="H99" i="10"/>
  <c r="I99" i="10"/>
  <c r="J99" i="10"/>
  <c r="K99" i="10"/>
  <c r="L99" i="10"/>
  <c r="M99" i="10"/>
  <c r="N99" i="10"/>
  <c r="O99" i="10"/>
  <c r="P99" i="10"/>
  <c r="Q99" i="10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C12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C13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C14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C15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C16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C17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C18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C19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C20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C21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C22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C24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C36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C37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C38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C39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C40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C41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C44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C45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C46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8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C49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C61" i="10"/>
  <c r="D61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C62" i="10"/>
  <c r="D62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Q62" i="10"/>
  <c r="C63" i="10"/>
  <c r="D63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C64" i="10"/>
  <c r="D64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Q64" i="10"/>
  <c r="C65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C66" i="10"/>
  <c r="D66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Q66" i="10"/>
  <c r="C67" i="10"/>
  <c r="D67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C68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C69" i="10"/>
  <c r="D69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Q69" i="10"/>
  <c r="C70" i="10"/>
  <c r="D70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Q70" i="10"/>
  <c r="C71" i="10"/>
  <c r="D71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Q71" i="10"/>
  <c r="C72" i="10"/>
  <c r="D72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Q72" i="10"/>
  <c r="C73" i="10"/>
  <c r="D73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Q73" i="10"/>
  <c r="C74" i="10"/>
  <c r="D74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Q74" i="10"/>
  <c r="C80" i="10" l="1"/>
  <c r="BZ50" i="10"/>
  <c r="BS81" i="10"/>
  <c r="BS79" i="10" s="1"/>
  <c r="BS55" i="10"/>
  <c r="BS130" i="10"/>
  <c r="BS127" i="10"/>
  <c r="CD100" i="10"/>
  <c r="BS128" i="10"/>
  <c r="U100" i="10"/>
  <c r="T55" i="10"/>
  <c r="T31" i="10"/>
  <c r="T29" i="10" s="1"/>
  <c r="BB105" i="10"/>
  <c r="BB102" i="10"/>
  <c r="AK80" i="10"/>
  <c r="G125" i="10"/>
  <c r="T52" i="10"/>
  <c r="AK77" i="10"/>
  <c r="AK52" i="10"/>
  <c r="BX125" i="10"/>
  <c r="BS80" i="10"/>
  <c r="AA75" i="10"/>
  <c r="T53" i="10"/>
  <c r="AK55" i="10"/>
  <c r="BB78" i="10"/>
  <c r="T128" i="10"/>
  <c r="T27" i="10"/>
  <c r="BB77" i="10"/>
  <c r="BS106" i="10"/>
  <c r="BS104" i="10" s="1"/>
  <c r="BS105" i="10"/>
  <c r="BS56" i="10"/>
  <c r="BS54" i="10" s="1"/>
  <c r="CF25" i="10"/>
  <c r="BX25" i="10"/>
  <c r="CE25" i="10"/>
  <c r="BS27" i="10"/>
  <c r="AK106" i="10"/>
  <c r="AK104" i="10" s="1"/>
  <c r="BB31" i="10"/>
  <c r="BB29" i="10" s="1"/>
  <c r="CF125" i="10"/>
  <c r="P100" i="10"/>
  <c r="T127" i="10"/>
  <c r="AK100" i="10"/>
  <c r="AK78" i="10"/>
  <c r="BB103" i="10"/>
  <c r="BB81" i="10"/>
  <c r="BB79" i="10" s="1"/>
  <c r="BV100" i="10"/>
  <c r="BS53" i="10"/>
  <c r="T131" i="10"/>
  <c r="T129" i="10" s="1"/>
  <c r="T105" i="10"/>
  <c r="AK30" i="10"/>
  <c r="BS102" i="10"/>
  <c r="BS28" i="10"/>
  <c r="N50" i="10"/>
  <c r="C31" i="10"/>
  <c r="T81" i="10"/>
  <c r="T79" i="10" s="1"/>
  <c r="AK127" i="10"/>
  <c r="AK56" i="10"/>
  <c r="AK54" i="10" s="1"/>
  <c r="AK27" i="10"/>
  <c r="BB131" i="10"/>
  <c r="BB129" i="10" s="1"/>
  <c r="BO50" i="10"/>
  <c r="BB52" i="10"/>
  <c r="BB28" i="10"/>
  <c r="BM25" i="10"/>
  <c r="BS103" i="10"/>
  <c r="BW25" i="10"/>
  <c r="AU25" i="10"/>
  <c r="BB55" i="10"/>
  <c r="C81" i="10"/>
  <c r="C79" i="10" s="1"/>
  <c r="C77" i="10"/>
  <c r="P125" i="10"/>
  <c r="O125" i="10"/>
  <c r="AK128" i="10"/>
  <c r="AK28" i="10"/>
  <c r="BB53" i="10"/>
  <c r="BS77" i="10"/>
  <c r="CB75" i="10"/>
  <c r="BT75" i="10"/>
  <c r="BS30" i="10"/>
  <c r="AK53" i="10"/>
  <c r="BM125" i="10"/>
  <c r="F50" i="10"/>
  <c r="C130" i="10"/>
  <c r="AF25" i="10"/>
  <c r="X25" i="10"/>
  <c r="AE25" i="10"/>
  <c r="BB56" i="10"/>
  <c r="BB54" i="10" s="1"/>
  <c r="BS78" i="10"/>
  <c r="T50" i="10"/>
  <c r="AS75" i="10"/>
  <c r="O50" i="10"/>
  <c r="C128" i="10"/>
  <c r="C131" i="10"/>
  <c r="C129" i="10" s="1"/>
  <c r="T130" i="10"/>
  <c r="Y50" i="10"/>
  <c r="T28" i="10"/>
  <c r="T30" i="10"/>
  <c r="W25" i="10"/>
  <c r="AQ75" i="10"/>
  <c r="BK100" i="10"/>
  <c r="BC100" i="10"/>
  <c r="BI75" i="10"/>
  <c r="BN75" i="10"/>
  <c r="BF75" i="10"/>
  <c r="BB80" i="10"/>
  <c r="BM75" i="10"/>
  <c r="BE75" i="10"/>
  <c r="O25" i="10"/>
  <c r="H100" i="10"/>
  <c r="X50" i="10"/>
  <c r="U50" i="10"/>
  <c r="AK75" i="10"/>
  <c r="M50" i="10"/>
  <c r="E50" i="10"/>
  <c r="L50" i="10"/>
  <c r="D50" i="10"/>
  <c r="C52" i="10"/>
  <c r="Q50" i="10"/>
  <c r="C55" i="10"/>
  <c r="P50" i="10"/>
  <c r="H50" i="10"/>
  <c r="C103" i="10"/>
  <c r="C102" i="10"/>
  <c r="C105" i="10"/>
  <c r="AE125" i="10"/>
  <c r="AU125" i="10"/>
  <c r="AS100" i="10"/>
  <c r="BN125" i="10"/>
  <c r="BF125" i="10"/>
  <c r="CE125" i="10"/>
  <c r="BW125" i="10"/>
  <c r="G25" i="10"/>
  <c r="AB50" i="10"/>
  <c r="AT75" i="10"/>
  <c r="F100" i="10"/>
  <c r="AD125" i="10"/>
  <c r="V125" i="10"/>
  <c r="AC125" i="10"/>
  <c r="U125" i="10"/>
  <c r="AB125" i="10"/>
  <c r="T125" i="10"/>
  <c r="AA125" i="10"/>
  <c r="AH125" i="10"/>
  <c r="Z125" i="10"/>
  <c r="T102" i="10"/>
  <c r="AC100" i="10"/>
  <c r="T80" i="10"/>
  <c r="AV125" i="10"/>
  <c r="AM125" i="10"/>
  <c r="AK102" i="10"/>
  <c r="AM25" i="10"/>
  <c r="BB130" i="10"/>
  <c r="BE125" i="10"/>
  <c r="BG50" i="10"/>
  <c r="V50" i="10"/>
  <c r="AM75" i="10"/>
  <c r="C78" i="10"/>
  <c r="N100" i="10"/>
  <c r="T56" i="10"/>
  <c r="T54" i="10" s="1"/>
  <c r="X125" i="10"/>
  <c r="AG125" i="10"/>
  <c r="Y125" i="10"/>
  <c r="T103" i="10"/>
  <c r="AK105" i="10"/>
  <c r="AY75" i="10"/>
  <c r="BE25" i="10"/>
  <c r="AF50" i="10"/>
  <c r="AD50" i="10"/>
  <c r="AU75" i="10"/>
  <c r="AK81" i="10"/>
  <c r="AK79" i="10" s="1"/>
  <c r="C53" i="10"/>
  <c r="G50" i="10"/>
  <c r="H125" i="10"/>
  <c r="T106" i="10"/>
  <c r="T104" i="10" s="1"/>
  <c r="T77" i="10"/>
  <c r="AG25" i="10"/>
  <c r="Y25" i="10"/>
  <c r="AK131" i="10"/>
  <c r="AK129" i="10" s="1"/>
  <c r="AK31" i="10"/>
  <c r="AK29" i="10" s="1"/>
  <c r="BB127" i="10"/>
  <c r="BN50" i="10"/>
  <c r="BF50" i="10"/>
  <c r="BM50" i="10"/>
  <c r="BI50" i="10"/>
  <c r="BB27" i="10"/>
  <c r="BB30" i="10"/>
  <c r="AE50" i="10"/>
  <c r="AC50" i="10"/>
  <c r="AL75" i="10"/>
  <c r="BB106" i="10"/>
  <c r="BB104" i="10" s="1"/>
  <c r="AF125" i="10"/>
  <c r="C127" i="10"/>
  <c r="W125" i="10"/>
  <c r="T78" i="10"/>
  <c r="AG50" i="10"/>
  <c r="AK103" i="10"/>
  <c r="AW50" i="10"/>
  <c r="AO50" i="10"/>
  <c r="BB128" i="10"/>
  <c r="F25" i="10"/>
  <c r="D25" i="10"/>
  <c r="C25" i="10"/>
  <c r="AH50" i="10"/>
  <c r="AA50" i="10"/>
  <c r="AR25" i="10"/>
  <c r="BP50" i="10"/>
  <c r="CG50" i="10"/>
  <c r="BX50" i="10"/>
  <c r="CD50" i="10"/>
  <c r="CB50" i="10"/>
  <c r="CG25" i="10"/>
  <c r="I50" i="10"/>
  <c r="Q100" i="10"/>
  <c r="I100" i="10"/>
  <c r="AB100" i="10"/>
  <c r="T100" i="10"/>
  <c r="AA100" i="10"/>
  <c r="AH100" i="10"/>
  <c r="Z100" i="10"/>
  <c r="AG100" i="10"/>
  <c r="Y100" i="10"/>
  <c r="AF100" i="10"/>
  <c r="X100" i="10"/>
  <c r="T25" i="10"/>
  <c r="AA25" i="10"/>
  <c r="AN125" i="10"/>
  <c r="AX75" i="10"/>
  <c r="AP75" i="10"/>
  <c r="AW75" i="10"/>
  <c r="AV75" i="10"/>
  <c r="AN75" i="10"/>
  <c r="BJ125" i="10"/>
  <c r="BB125" i="10"/>
  <c r="BI125" i="10"/>
  <c r="BJ100" i="10"/>
  <c r="BB100" i="10"/>
  <c r="BI100" i="10"/>
  <c r="BM100" i="10"/>
  <c r="BE100" i="10"/>
  <c r="BP25" i="10"/>
  <c r="BH25" i="10"/>
  <c r="CC75" i="10"/>
  <c r="BU75" i="10"/>
  <c r="AD100" i="10"/>
  <c r="V100" i="10"/>
  <c r="AE100" i="10"/>
  <c r="W100" i="10"/>
  <c r="AD25" i="10"/>
  <c r="V25" i="10"/>
  <c r="AC25" i="10"/>
  <c r="U25" i="10"/>
  <c r="AB25" i="10"/>
  <c r="AH25" i="10"/>
  <c r="Z25" i="10"/>
  <c r="AS50" i="10"/>
  <c r="AK50" i="10"/>
  <c r="AR50" i="10"/>
  <c r="AY50" i="10"/>
  <c r="AQ50" i="10"/>
  <c r="BP125" i="10"/>
  <c r="BH125" i="10"/>
  <c r="BL100" i="10"/>
  <c r="BD100" i="10"/>
  <c r="BL50" i="10"/>
  <c r="BD50" i="10"/>
  <c r="BK50" i="10"/>
  <c r="BC50" i="10"/>
  <c r="BL25" i="10"/>
  <c r="BD25" i="10"/>
  <c r="BK25" i="10"/>
  <c r="BC25" i="10"/>
  <c r="BO25" i="10"/>
  <c r="BG25" i="10"/>
  <c r="CC100" i="10"/>
  <c r="BU100" i="10"/>
  <c r="CB100" i="10"/>
  <c r="BT100" i="10"/>
  <c r="CA100" i="10"/>
  <c r="BS100" i="10"/>
  <c r="BZ100" i="10"/>
  <c r="CG100" i="10"/>
  <c r="BY100" i="10"/>
  <c r="CF100" i="10"/>
  <c r="BX100" i="10"/>
  <c r="AT125" i="10"/>
  <c r="AL125" i="10"/>
  <c r="AR100" i="10"/>
  <c r="AY100" i="10"/>
  <c r="AQ100" i="10"/>
  <c r="AX50" i="10"/>
  <c r="AP50" i="10"/>
  <c r="BL125" i="10"/>
  <c r="BD125" i="10"/>
  <c r="BK125" i="10"/>
  <c r="BC125" i="10"/>
  <c r="BO125" i="10"/>
  <c r="BG125" i="10"/>
  <c r="BJ50" i="10"/>
  <c r="BB50" i="10"/>
  <c r="BN25" i="10"/>
  <c r="BF25" i="10"/>
  <c r="CE100" i="10"/>
  <c r="BW100" i="10"/>
  <c r="CD125" i="10"/>
  <c r="BV125" i="10"/>
  <c r="CC125" i="10"/>
  <c r="BU125" i="10"/>
  <c r="CB125" i="10"/>
  <c r="BT125" i="10"/>
  <c r="CA125" i="10"/>
  <c r="BS125" i="10"/>
  <c r="BZ125" i="10"/>
  <c r="CD25" i="10"/>
  <c r="CC25" i="10"/>
  <c r="BU25" i="10"/>
  <c r="CB25" i="10"/>
  <c r="BT25" i="10"/>
  <c r="CA25" i="10"/>
  <c r="BS25" i="10"/>
  <c r="BZ25" i="10"/>
  <c r="BS31" i="10"/>
  <c r="BS29" i="10" s="1"/>
  <c r="M25" i="10"/>
  <c r="J25" i="10"/>
  <c r="AR75" i="10"/>
  <c r="AS25" i="10"/>
  <c r="BL75" i="10"/>
  <c r="CE50" i="10"/>
  <c r="BU50" i="10"/>
  <c r="BY25" i="10"/>
  <c r="P25" i="10"/>
  <c r="H25" i="10"/>
  <c r="N125" i="10"/>
  <c r="F125" i="10"/>
  <c r="M125" i="10"/>
  <c r="E125" i="10"/>
  <c r="L125" i="10"/>
  <c r="D125" i="10"/>
  <c r="K125" i="10"/>
  <c r="C125" i="10"/>
  <c r="J125" i="10"/>
  <c r="AH75" i="10"/>
  <c r="Z75" i="10"/>
  <c r="AG75" i="10"/>
  <c r="Y75" i="10"/>
  <c r="AF75" i="10"/>
  <c r="X75" i="10"/>
  <c r="AE75" i="10"/>
  <c r="AD75" i="10"/>
  <c r="V75" i="10"/>
  <c r="AX100" i="10"/>
  <c r="AP100" i="10"/>
  <c r="AW100" i="10"/>
  <c r="AO100" i="10"/>
  <c r="AV100" i="10"/>
  <c r="AU100" i="10"/>
  <c r="AM100" i="10"/>
  <c r="BP75" i="10"/>
  <c r="BH75" i="10"/>
  <c r="BO75" i="10"/>
  <c r="BG75" i="10"/>
  <c r="BK75" i="10"/>
  <c r="BC75" i="10"/>
  <c r="CA50" i="10"/>
  <c r="BS50" i="10"/>
  <c r="E25" i="10"/>
  <c r="K25" i="10"/>
  <c r="I25" i="10"/>
  <c r="AK125" i="10"/>
  <c r="AV25" i="10"/>
  <c r="AT25" i="10"/>
  <c r="AK25" i="10"/>
  <c r="BH50" i="10"/>
  <c r="CG125" i="10"/>
  <c r="CF50" i="10"/>
  <c r="BV50" i="10"/>
  <c r="BT50" i="10"/>
  <c r="Q125" i="10"/>
  <c r="I125" i="10"/>
  <c r="AB75" i="10"/>
  <c r="T75" i="10"/>
  <c r="AC75" i="10"/>
  <c r="U75" i="10"/>
  <c r="AT100" i="10"/>
  <c r="AL100" i="10"/>
  <c r="AV50" i="10"/>
  <c r="AN50" i="10"/>
  <c r="AU50" i="10"/>
  <c r="AM50" i="10"/>
  <c r="AT50" i="10"/>
  <c r="AL50" i="10"/>
  <c r="AY25" i="10"/>
  <c r="AQ25" i="10"/>
  <c r="BP100" i="10"/>
  <c r="BH100" i="10"/>
  <c r="BO100" i="10"/>
  <c r="BG100" i="10"/>
  <c r="BJ75" i="10"/>
  <c r="BB75" i="10"/>
  <c r="N25" i="10"/>
  <c r="L25" i="10"/>
  <c r="Q25" i="10"/>
  <c r="Z50" i="10"/>
  <c r="AS125" i="10"/>
  <c r="AL25" i="10"/>
  <c r="BD75" i="10"/>
  <c r="BY125" i="10"/>
  <c r="BY50" i="10"/>
  <c r="BW50" i="10"/>
  <c r="CC50" i="10"/>
  <c r="AK130" i="10"/>
  <c r="BS52" i="10"/>
  <c r="C27" i="10"/>
  <c r="C56" i="10"/>
  <c r="C54" i="10" s="1"/>
  <c r="K50" i="10"/>
  <c r="C50" i="10"/>
  <c r="J50" i="10"/>
  <c r="C29" i="10"/>
  <c r="C28" i="10"/>
  <c r="C30" i="10"/>
  <c r="O100" i="10"/>
  <c r="G100" i="10"/>
  <c r="M100" i="10"/>
  <c r="E100" i="10"/>
  <c r="L100" i="10"/>
  <c r="D100" i="10"/>
  <c r="K100" i="10"/>
  <c r="C100" i="10"/>
  <c r="J100" i="10"/>
  <c r="AR125" i="10"/>
  <c r="AY125" i="10"/>
  <c r="AQ125" i="10"/>
  <c r="AX125" i="10"/>
  <c r="AP125" i="10"/>
  <c r="AW125" i="10"/>
  <c r="AO125" i="10"/>
  <c r="AX25" i="10"/>
  <c r="AP25" i="10"/>
  <c r="AW25" i="10"/>
  <c r="AO25" i="10"/>
  <c r="BN100" i="10"/>
  <c r="BF100" i="10"/>
  <c r="BJ25" i="10"/>
  <c r="BB25" i="10"/>
  <c r="BI25" i="10"/>
  <c r="CA75" i="10"/>
  <c r="BS75" i="10"/>
  <c r="BZ75" i="10"/>
  <c r="CG75" i="10"/>
  <c r="CF75" i="10"/>
  <c r="BX75" i="10"/>
  <c r="CE75" i="10"/>
  <c r="BW75" i="10"/>
  <c r="CD75" i="10"/>
  <c r="BV75" i="10"/>
  <c r="C106" i="10"/>
  <c r="C104" i="10" s="1"/>
  <c r="BS131" i="10"/>
  <c r="BS129" i="10" s="1"/>
  <c r="BV25" i="10"/>
  <c r="BY75" i="10"/>
  <c r="BE50" i="10"/>
  <c r="AN100" i="10"/>
  <c r="AN25" i="10"/>
  <c r="AO75" i="10"/>
  <c r="W50" i="10"/>
  <c r="W75" i="10"/>
  <c r="T151" i="9" l="1"/>
  <c r="T143" i="9"/>
  <c r="T160" i="9"/>
  <c r="W164" i="9" s="1"/>
  <c r="T169" i="9"/>
  <c r="M15" i="1"/>
  <c r="M14" i="1"/>
  <c r="M13" i="1"/>
  <c r="N13" i="1" s="1"/>
  <c r="M9" i="1"/>
  <c r="S168" i="9" s="1"/>
  <c r="K4" i="1"/>
  <c r="S159" i="9" l="1"/>
  <c r="S142" i="9"/>
  <c r="N14" i="1"/>
  <c r="S150" i="9"/>
  <c r="N15" i="1"/>
  <c r="T6" i="10"/>
  <c r="T5" i="10"/>
  <c r="T4" i="10"/>
  <c r="T3" i="10"/>
  <c r="T2" i="10"/>
  <c r="AK6" i="10"/>
  <c r="AK5" i="10"/>
  <c r="AK4" i="10"/>
  <c r="AK3" i="10"/>
  <c r="AK2" i="10"/>
  <c r="BB7" i="10"/>
  <c r="BB6" i="10"/>
  <c r="BB5" i="10"/>
  <c r="BB4" i="10"/>
  <c r="BB3" i="10"/>
  <c r="BS6" i="10"/>
  <c r="BS5" i="10"/>
  <c r="BS4" i="10"/>
  <c r="BS3" i="10"/>
  <c r="BS2" i="10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AH112" i="9"/>
  <c r="U113" i="9"/>
  <c r="V113" i="9"/>
  <c r="W113" i="9"/>
  <c r="X113" i="9"/>
  <c r="Y113" i="9"/>
  <c r="Z113" i="9"/>
  <c r="AA113" i="9"/>
  <c r="AB113" i="9"/>
  <c r="AC113" i="9"/>
  <c r="AD113" i="9"/>
  <c r="AE113" i="9"/>
  <c r="AF113" i="9"/>
  <c r="AG113" i="9"/>
  <c r="AH113" i="9"/>
  <c r="U114" i="9"/>
  <c r="V114" i="9"/>
  <c r="W114" i="9"/>
  <c r="X114" i="9"/>
  <c r="Y114" i="9"/>
  <c r="Z114" i="9"/>
  <c r="AA114" i="9"/>
  <c r="AB114" i="9"/>
  <c r="AC114" i="9"/>
  <c r="AD114" i="9"/>
  <c r="AE114" i="9"/>
  <c r="AF114" i="9"/>
  <c r="AG114" i="9"/>
  <c r="AH114" i="9"/>
  <c r="U115" i="9"/>
  <c r="V115" i="9"/>
  <c r="W115" i="9"/>
  <c r="X115" i="9"/>
  <c r="Y115" i="9"/>
  <c r="Z115" i="9"/>
  <c r="AA115" i="9"/>
  <c r="AB115" i="9"/>
  <c r="AC115" i="9"/>
  <c r="AD115" i="9"/>
  <c r="AE115" i="9"/>
  <c r="AF115" i="9"/>
  <c r="AG115" i="9"/>
  <c r="AH115" i="9"/>
  <c r="U116" i="9"/>
  <c r="V116" i="9"/>
  <c r="W116" i="9"/>
  <c r="X116" i="9"/>
  <c r="Y116" i="9"/>
  <c r="Z116" i="9"/>
  <c r="AA116" i="9"/>
  <c r="AB116" i="9"/>
  <c r="AC116" i="9"/>
  <c r="AD116" i="9"/>
  <c r="AE116" i="9"/>
  <c r="AF116" i="9"/>
  <c r="AG116" i="9"/>
  <c r="AH116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U118" i="9"/>
  <c r="V118" i="9"/>
  <c r="W118" i="9"/>
  <c r="X118" i="9"/>
  <c r="Y118" i="9"/>
  <c r="Z118" i="9"/>
  <c r="AA118" i="9"/>
  <c r="AB118" i="9"/>
  <c r="AC118" i="9"/>
  <c r="AD118" i="9"/>
  <c r="AE118" i="9"/>
  <c r="AF118" i="9"/>
  <c r="AG118" i="9"/>
  <c r="AH118" i="9"/>
  <c r="U119" i="9"/>
  <c r="V119" i="9"/>
  <c r="W119" i="9"/>
  <c r="X119" i="9"/>
  <c r="Y119" i="9"/>
  <c r="Z119" i="9"/>
  <c r="AA119" i="9"/>
  <c r="AB119" i="9"/>
  <c r="AC119" i="9"/>
  <c r="AD119" i="9"/>
  <c r="AE119" i="9"/>
  <c r="AF119" i="9"/>
  <c r="AG119" i="9"/>
  <c r="AH119" i="9"/>
  <c r="U120" i="9"/>
  <c r="V120" i="9"/>
  <c r="W120" i="9"/>
  <c r="X120" i="9"/>
  <c r="Y120" i="9"/>
  <c r="Z120" i="9"/>
  <c r="AA120" i="9"/>
  <c r="AB120" i="9"/>
  <c r="AC120" i="9"/>
  <c r="AD120" i="9"/>
  <c r="AE120" i="9"/>
  <c r="AF120" i="9"/>
  <c r="AG120" i="9"/>
  <c r="AH120" i="9"/>
  <c r="U121" i="9"/>
  <c r="V121" i="9"/>
  <c r="W121" i="9"/>
  <c r="X121" i="9"/>
  <c r="Y121" i="9"/>
  <c r="Z121" i="9"/>
  <c r="AA121" i="9"/>
  <c r="AB121" i="9"/>
  <c r="AC121" i="9"/>
  <c r="AD121" i="9"/>
  <c r="AE121" i="9"/>
  <c r="AF121" i="9"/>
  <c r="AG121" i="9"/>
  <c r="AH121" i="9"/>
  <c r="U122" i="9"/>
  <c r="V122" i="9"/>
  <c r="W122" i="9"/>
  <c r="X122" i="9"/>
  <c r="Y122" i="9"/>
  <c r="Z122" i="9"/>
  <c r="AA122" i="9"/>
  <c r="AB122" i="9"/>
  <c r="AC122" i="9"/>
  <c r="AD122" i="9"/>
  <c r="AE122" i="9"/>
  <c r="AF122" i="9"/>
  <c r="AG122" i="9"/>
  <c r="AH122" i="9"/>
  <c r="U123" i="9"/>
  <c r="V123" i="9"/>
  <c r="W123" i="9"/>
  <c r="X123" i="9"/>
  <c r="Y123" i="9"/>
  <c r="Z123" i="9"/>
  <c r="AA123" i="9"/>
  <c r="AB123" i="9"/>
  <c r="AC123" i="9"/>
  <c r="AD123" i="9"/>
  <c r="AE123" i="9"/>
  <c r="AF123" i="9"/>
  <c r="AG123" i="9"/>
  <c r="AH123" i="9"/>
  <c r="U124" i="9"/>
  <c r="V124" i="9"/>
  <c r="W124" i="9"/>
  <c r="X124" i="9"/>
  <c r="Y124" i="9"/>
  <c r="Z124" i="9"/>
  <c r="AA124" i="9"/>
  <c r="AB124" i="9"/>
  <c r="AC124" i="9"/>
  <c r="AD124" i="9"/>
  <c r="AE124" i="9"/>
  <c r="AF124" i="9"/>
  <c r="AG124" i="9"/>
  <c r="AH124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11" i="9"/>
  <c r="T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86" i="9"/>
  <c r="T5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H61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AH64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AH66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AH67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AH69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AH70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AH71" i="9"/>
  <c r="U72" i="9"/>
  <c r="V72" i="9"/>
  <c r="W72" i="9"/>
  <c r="X72" i="9"/>
  <c r="Y72" i="9"/>
  <c r="Z72" i="9"/>
  <c r="AA72" i="9"/>
  <c r="AB72" i="9"/>
  <c r="AC72" i="9"/>
  <c r="AD72" i="9"/>
  <c r="AE72" i="9"/>
  <c r="AF72" i="9"/>
  <c r="AG72" i="9"/>
  <c r="AH72" i="9"/>
  <c r="U73" i="9"/>
  <c r="V73" i="9"/>
  <c r="W73" i="9"/>
  <c r="X73" i="9"/>
  <c r="Y73" i="9"/>
  <c r="Z73" i="9"/>
  <c r="AA73" i="9"/>
  <c r="AB73" i="9"/>
  <c r="AC73" i="9"/>
  <c r="AD73" i="9"/>
  <c r="AE73" i="9"/>
  <c r="AF73" i="9"/>
  <c r="AG73" i="9"/>
  <c r="AH73" i="9"/>
  <c r="U74" i="9"/>
  <c r="V74" i="9"/>
  <c r="W74" i="9"/>
  <c r="X74" i="9"/>
  <c r="Y74" i="9"/>
  <c r="Z74" i="9"/>
  <c r="AA74" i="9"/>
  <c r="AB74" i="9"/>
  <c r="AC74" i="9"/>
  <c r="AD74" i="9"/>
  <c r="AE74" i="9"/>
  <c r="AF74" i="9"/>
  <c r="AG74" i="9"/>
  <c r="AH74" i="9"/>
  <c r="T74" i="9"/>
  <c r="T62" i="9"/>
  <c r="T63" i="9"/>
  <c r="T64" i="9"/>
  <c r="T65" i="9"/>
  <c r="T66" i="9"/>
  <c r="T67" i="9"/>
  <c r="T68" i="9"/>
  <c r="T69" i="9"/>
  <c r="T70" i="9"/>
  <c r="T71" i="9"/>
  <c r="T72" i="9"/>
  <c r="T73" i="9"/>
  <c r="T61" i="9"/>
  <c r="T4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H46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7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36" i="9"/>
  <c r="T3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11" i="9"/>
  <c r="T2" i="9"/>
  <c r="AL111" i="9"/>
  <c r="AM111" i="9"/>
  <c r="AN111" i="9"/>
  <c r="AO111" i="9"/>
  <c r="AP111" i="9"/>
  <c r="AQ111" i="9"/>
  <c r="AR111" i="9"/>
  <c r="AS111" i="9"/>
  <c r="AT111" i="9"/>
  <c r="AU111" i="9"/>
  <c r="AV111" i="9"/>
  <c r="AW111" i="9"/>
  <c r="AX111" i="9"/>
  <c r="AY111" i="9"/>
  <c r="AL112" i="9"/>
  <c r="AM112" i="9"/>
  <c r="AN112" i="9"/>
  <c r="AO112" i="9"/>
  <c r="AP112" i="9"/>
  <c r="AQ112" i="9"/>
  <c r="AR112" i="9"/>
  <c r="AS112" i="9"/>
  <c r="AT112" i="9"/>
  <c r="AU112" i="9"/>
  <c r="AV112" i="9"/>
  <c r="AW112" i="9"/>
  <c r="AX112" i="9"/>
  <c r="AY112" i="9"/>
  <c r="AL113" i="9"/>
  <c r="AM113" i="9"/>
  <c r="AN113" i="9"/>
  <c r="AO113" i="9"/>
  <c r="AP113" i="9"/>
  <c r="AQ113" i="9"/>
  <c r="AR113" i="9"/>
  <c r="AS113" i="9"/>
  <c r="AT113" i="9"/>
  <c r="AU113" i="9"/>
  <c r="AV113" i="9"/>
  <c r="AW113" i="9"/>
  <c r="AX113" i="9"/>
  <c r="AY113" i="9"/>
  <c r="AL114" i="9"/>
  <c r="AM114" i="9"/>
  <c r="AN114" i="9"/>
  <c r="AO114" i="9"/>
  <c r="AP114" i="9"/>
  <c r="AQ114" i="9"/>
  <c r="AR114" i="9"/>
  <c r="AS114" i="9"/>
  <c r="AT114" i="9"/>
  <c r="AU114" i="9"/>
  <c r="AV114" i="9"/>
  <c r="AW114" i="9"/>
  <c r="AX114" i="9"/>
  <c r="AY114" i="9"/>
  <c r="AL115" i="9"/>
  <c r="AM115" i="9"/>
  <c r="AN115" i="9"/>
  <c r="AO115" i="9"/>
  <c r="AP115" i="9"/>
  <c r="AQ115" i="9"/>
  <c r="AR115" i="9"/>
  <c r="AS115" i="9"/>
  <c r="AT115" i="9"/>
  <c r="AU115" i="9"/>
  <c r="AV115" i="9"/>
  <c r="AW115" i="9"/>
  <c r="AX115" i="9"/>
  <c r="AY115" i="9"/>
  <c r="AL116" i="9"/>
  <c r="AM116" i="9"/>
  <c r="AN116" i="9"/>
  <c r="AO116" i="9"/>
  <c r="AP116" i="9"/>
  <c r="AQ116" i="9"/>
  <c r="AR116" i="9"/>
  <c r="AS116" i="9"/>
  <c r="AT116" i="9"/>
  <c r="AU116" i="9"/>
  <c r="AV116" i="9"/>
  <c r="AW116" i="9"/>
  <c r="AX116" i="9"/>
  <c r="AY116" i="9"/>
  <c r="AL117" i="9"/>
  <c r="AM117" i="9"/>
  <c r="AN117" i="9"/>
  <c r="AO117" i="9"/>
  <c r="AP117" i="9"/>
  <c r="AQ117" i="9"/>
  <c r="AR117" i="9"/>
  <c r="AS117" i="9"/>
  <c r="AT117" i="9"/>
  <c r="AU117" i="9"/>
  <c r="AV117" i="9"/>
  <c r="AW117" i="9"/>
  <c r="AX117" i="9"/>
  <c r="AY117" i="9"/>
  <c r="AL118" i="9"/>
  <c r="AM118" i="9"/>
  <c r="AN118" i="9"/>
  <c r="AO118" i="9"/>
  <c r="AP118" i="9"/>
  <c r="AQ118" i="9"/>
  <c r="AR118" i="9"/>
  <c r="AS118" i="9"/>
  <c r="AT118" i="9"/>
  <c r="AU118" i="9"/>
  <c r="AV118" i="9"/>
  <c r="AW118" i="9"/>
  <c r="AX118" i="9"/>
  <c r="AY118" i="9"/>
  <c r="AL119" i="9"/>
  <c r="AM119" i="9"/>
  <c r="AN119" i="9"/>
  <c r="AO119" i="9"/>
  <c r="AP119" i="9"/>
  <c r="AQ119" i="9"/>
  <c r="AR119" i="9"/>
  <c r="AS119" i="9"/>
  <c r="AT119" i="9"/>
  <c r="AU119" i="9"/>
  <c r="AV119" i="9"/>
  <c r="AW119" i="9"/>
  <c r="AX119" i="9"/>
  <c r="AY119" i="9"/>
  <c r="AL120" i="9"/>
  <c r="AM120" i="9"/>
  <c r="AN120" i="9"/>
  <c r="AO120" i="9"/>
  <c r="AP120" i="9"/>
  <c r="AQ120" i="9"/>
  <c r="AR120" i="9"/>
  <c r="AS120" i="9"/>
  <c r="AT120" i="9"/>
  <c r="AU120" i="9"/>
  <c r="AV120" i="9"/>
  <c r="AW120" i="9"/>
  <c r="AX120" i="9"/>
  <c r="AY120" i="9"/>
  <c r="AL121" i="9"/>
  <c r="AM121" i="9"/>
  <c r="AN121" i="9"/>
  <c r="AO121" i="9"/>
  <c r="AP121" i="9"/>
  <c r="AQ121" i="9"/>
  <c r="AR121" i="9"/>
  <c r="AS121" i="9"/>
  <c r="AT121" i="9"/>
  <c r="AU121" i="9"/>
  <c r="AV121" i="9"/>
  <c r="AW121" i="9"/>
  <c r="AX121" i="9"/>
  <c r="AY121" i="9"/>
  <c r="AL122" i="9"/>
  <c r="AM122" i="9"/>
  <c r="AN122" i="9"/>
  <c r="AO122" i="9"/>
  <c r="AP122" i="9"/>
  <c r="AQ122" i="9"/>
  <c r="AR122" i="9"/>
  <c r="AS122" i="9"/>
  <c r="AT122" i="9"/>
  <c r="AU122" i="9"/>
  <c r="AV122" i="9"/>
  <c r="AW122" i="9"/>
  <c r="AX122" i="9"/>
  <c r="AY122" i="9"/>
  <c r="AL123" i="9"/>
  <c r="AM123" i="9"/>
  <c r="AN123" i="9"/>
  <c r="AO123" i="9"/>
  <c r="AP123" i="9"/>
  <c r="AQ123" i="9"/>
  <c r="AR123" i="9"/>
  <c r="AS123" i="9"/>
  <c r="AT123" i="9"/>
  <c r="AU123" i="9"/>
  <c r="AV123" i="9"/>
  <c r="AW123" i="9"/>
  <c r="AX123" i="9"/>
  <c r="AY123" i="9"/>
  <c r="AL124" i="9"/>
  <c r="AM124" i="9"/>
  <c r="AN124" i="9"/>
  <c r="AO124" i="9"/>
  <c r="AP124" i="9"/>
  <c r="AQ124" i="9"/>
  <c r="AR124" i="9"/>
  <c r="AS124" i="9"/>
  <c r="AT124" i="9"/>
  <c r="AU124" i="9"/>
  <c r="AV124" i="9"/>
  <c r="AW124" i="9"/>
  <c r="AX124" i="9"/>
  <c r="AY124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11" i="9"/>
  <c r="AK6" i="9"/>
  <c r="AL86" i="9"/>
  <c r="AM86" i="9"/>
  <c r="AN86" i="9"/>
  <c r="AO86" i="9"/>
  <c r="AP86" i="9"/>
  <c r="AQ86" i="9"/>
  <c r="AR86" i="9"/>
  <c r="AS86" i="9"/>
  <c r="AT86" i="9"/>
  <c r="AU86" i="9"/>
  <c r="AV86" i="9"/>
  <c r="AW86" i="9"/>
  <c r="AX86" i="9"/>
  <c r="AY86" i="9"/>
  <c r="AL87" i="9"/>
  <c r="AM87" i="9"/>
  <c r="AN87" i="9"/>
  <c r="AO87" i="9"/>
  <c r="AP87" i="9"/>
  <c r="AQ87" i="9"/>
  <c r="AR87" i="9"/>
  <c r="AS87" i="9"/>
  <c r="AT87" i="9"/>
  <c r="AU87" i="9"/>
  <c r="AV87" i="9"/>
  <c r="AW87" i="9"/>
  <c r="AX87" i="9"/>
  <c r="AY87" i="9"/>
  <c r="AL88" i="9"/>
  <c r="AM88" i="9"/>
  <c r="AN88" i="9"/>
  <c r="AO88" i="9"/>
  <c r="AP88" i="9"/>
  <c r="AQ88" i="9"/>
  <c r="AR88" i="9"/>
  <c r="AS88" i="9"/>
  <c r="AT88" i="9"/>
  <c r="AU88" i="9"/>
  <c r="AV88" i="9"/>
  <c r="AW88" i="9"/>
  <c r="AX88" i="9"/>
  <c r="AY88" i="9"/>
  <c r="AL89" i="9"/>
  <c r="AM89" i="9"/>
  <c r="AN89" i="9"/>
  <c r="AO89" i="9"/>
  <c r="AP89" i="9"/>
  <c r="AQ89" i="9"/>
  <c r="AR89" i="9"/>
  <c r="AS89" i="9"/>
  <c r="AT89" i="9"/>
  <c r="AU89" i="9"/>
  <c r="AV89" i="9"/>
  <c r="AW89" i="9"/>
  <c r="AX89" i="9"/>
  <c r="AY89" i="9"/>
  <c r="AL90" i="9"/>
  <c r="AM90" i="9"/>
  <c r="AN90" i="9"/>
  <c r="AO90" i="9"/>
  <c r="AP90" i="9"/>
  <c r="AQ90" i="9"/>
  <c r="AR90" i="9"/>
  <c r="AS90" i="9"/>
  <c r="AT90" i="9"/>
  <c r="AU90" i="9"/>
  <c r="AV90" i="9"/>
  <c r="AW90" i="9"/>
  <c r="AX90" i="9"/>
  <c r="AY90" i="9"/>
  <c r="AL91" i="9"/>
  <c r="AM91" i="9"/>
  <c r="AN91" i="9"/>
  <c r="AO91" i="9"/>
  <c r="AP91" i="9"/>
  <c r="AQ91" i="9"/>
  <c r="AR91" i="9"/>
  <c r="AS91" i="9"/>
  <c r="AT91" i="9"/>
  <c r="AU91" i="9"/>
  <c r="AV91" i="9"/>
  <c r="AW91" i="9"/>
  <c r="AX91" i="9"/>
  <c r="AY91" i="9"/>
  <c r="AL92" i="9"/>
  <c r="AM92" i="9"/>
  <c r="AN92" i="9"/>
  <c r="AO92" i="9"/>
  <c r="AP92" i="9"/>
  <c r="AQ92" i="9"/>
  <c r="AR92" i="9"/>
  <c r="AS92" i="9"/>
  <c r="AT92" i="9"/>
  <c r="AU92" i="9"/>
  <c r="AV92" i="9"/>
  <c r="AW92" i="9"/>
  <c r="AX92" i="9"/>
  <c r="AY92" i="9"/>
  <c r="AL93" i="9"/>
  <c r="AM93" i="9"/>
  <c r="AN93" i="9"/>
  <c r="AO93" i="9"/>
  <c r="AP93" i="9"/>
  <c r="AQ93" i="9"/>
  <c r="AR93" i="9"/>
  <c r="AS93" i="9"/>
  <c r="AT93" i="9"/>
  <c r="AU93" i="9"/>
  <c r="AV93" i="9"/>
  <c r="AW93" i="9"/>
  <c r="AX93" i="9"/>
  <c r="AY93" i="9"/>
  <c r="AL94" i="9"/>
  <c r="AM94" i="9"/>
  <c r="AN94" i="9"/>
  <c r="AO94" i="9"/>
  <c r="AP94" i="9"/>
  <c r="AQ94" i="9"/>
  <c r="AR94" i="9"/>
  <c r="AS94" i="9"/>
  <c r="AT94" i="9"/>
  <c r="AU94" i="9"/>
  <c r="AV94" i="9"/>
  <c r="AW94" i="9"/>
  <c r="AX94" i="9"/>
  <c r="AY94" i="9"/>
  <c r="AL95" i="9"/>
  <c r="AM95" i="9"/>
  <c r="AN95" i="9"/>
  <c r="AO95" i="9"/>
  <c r="AP95" i="9"/>
  <c r="AQ95" i="9"/>
  <c r="AR95" i="9"/>
  <c r="AS95" i="9"/>
  <c r="AT95" i="9"/>
  <c r="AU95" i="9"/>
  <c r="AV95" i="9"/>
  <c r="AW95" i="9"/>
  <c r="AX95" i="9"/>
  <c r="AY95" i="9"/>
  <c r="AL96" i="9"/>
  <c r="AM96" i="9"/>
  <c r="AN96" i="9"/>
  <c r="AO96" i="9"/>
  <c r="AP96" i="9"/>
  <c r="AQ96" i="9"/>
  <c r="AR96" i="9"/>
  <c r="AS96" i="9"/>
  <c r="AT96" i="9"/>
  <c r="AU96" i="9"/>
  <c r="AV96" i="9"/>
  <c r="AW96" i="9"/>
  <c r="AX96" i="9"/>
  <c r="AY96" i="9"/>
  <c r="AL97" i="9"/>
  <c r="AM97" i="9"/>
  <c r="AN97" i="9"/>
  <c r="AO97" i="9"/>
  <c r="AP97" i="9"/>
  <c r="AQ97" i="9"/>
  <c r="AR97" i="9"/>
  <c r="AS97" i="9"/>
  <c r="AT97" i="9"/>
  <c r="AU97" i="9"/>
  <c r="AV97" i="9"/>
  <c r="AW97" i="9"/>
  <c r="AX97" i="9"/>
  <c r="AY97" i="9"/>
  <c r="AL98" i="9"/>
  <c r="AM98" i="9"/>
  <c r="AN98" i="9"/>
  <c r="AO98" i="9"/>
  <c r="AP98" i="9"/>
  <c r="AQ98" i="9"/>
  <c r="AR98" i="9"/>
  <c r="AS98" i="9"/>
  <c r="AT98" i="9"/>
  <c r="AU98" i="9"/>
  <c r="AV98" i="9"/>
  <c r="AW98" i="9"/>
  <c r="AX98" i="9"/>
  <c r="AY98" i="9"/>
  <c r="AL99" i="9"/>
  <c r="AM99" i="9"/>
  <c r="AN99" i="9"/>
  <c r="AO99" i="9"/>
  <c r="AP99" i="9"/>
  <c r="AQ99" i="9"/>
  <c r="AR99" i="9"/>
  <c r="AS99" i="9"/>
  <c r="AT99" i="9"/>
  <c r="AU99" i="9"/>
  <c r="AV99" i="9"/>
  <c r="AW99" i="9"/>
  <c r="AX99" i="9"/>
  <c r="AY99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86" i="9"/>
  <c r="AK5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Y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Y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Y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Y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Y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Y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AY67" i="9"/>
  <c r="AL68" i="9"/>
  <c r="AM68" i="9"/>
  <c r="AN68" i="9"/>
  <c r="AO68" i="9"/>
  <c r="AP68" i="9"/>
  <c r="AQ68" i="9"/>
  <c r="AR68" i="9"/>
  <c r="AS68" i="9"/>
  <c r="AT68" i="9"/>
  <c r="AU68" i="9"/>
  <c r="AV68" i="9"/>
  <c r="AW68" i="9"/>
  <c r="AX68" i="9"/>
  <c r="AY68" i="9"/>
  <c r="AL69" i="9"/>
  <c r="AM69" i="9"/>
  <c r="AN69" i="9"/>
  <c r="AO69" i="9"/>
  <c r="AP69" i="9"/>
  <c r="AQ69" i="9"/>
  <c r="AR69" i="9"/>
  <c r="AS69" i="9"/>
  <c r="AT69" i="9"/>
  <c r="AU69" i="9"/>
  <c r="AV69" i="9"/>
  <c r="AW69" i="9"/>
  <c r="AX69" i="9"/>
  <c r="AY69" i="9"/>
  <c r="AL70" i="9"/>
  <c r="AM70" i="9"/>
  <c r="AN70" i="9"/>
  <c r="AO70" i="9"/>
  <c r="AP70" i="9"/>
  <c r="AQ70" i="9"/>
  <c r="AR70" i="9"/>
  <c r="AS70" i="9"/>
  <c r="AT70" i="9"/>
  <c r="AU70" i="9"/>
  <c r="AV70" i="9"/>
  <c r="AW70" i="9"/>
  <c r="AX70" i="9"/>
  <c r="AY70" i="9"/>
  <c r="AL71" i="9"/>
  <c r="AM71" i="9"/>
  <c r="AN71" i="9"/>
  <c r="AO71" i="9"/>
  <c r="AP71" i="9"/>
  <c r="AQ71" i="9"/>
  <c r="AR71" i="9"/>
  <c r="AS71" i="9"/>
  <c r="AT71" i="9"/>
  <c r="AU71" i="9"/>
  <c r="AV71" i="9"/>
  <c r="AW71" i="9"/>
  <c r="AX71" i="9"/>
  <c r="AY71" i="9"/>
  <c r="AL72" i="9"/>
  <c r="AM72" i="9"/>
  <c r="AN72" i="9"/>
  <c r="AO72" i="9"/>
  <c r="AP72" i="9"/>
  <c r="AQ72" i="9"/>
  <c r="AR72" i="9"/>
  <c r="AS72" i="9"/>
  <c r="AT72" i="9"/>
  <c r="AU72" i="9"/>
  <c r="AV72" i="9"/>
  <c r="AW72" i="9"/>
  <c r="AX72" i="9"/>
  <c r="AY72" i="9"/>
  <c r="AL73" i="9"/>
  <c r="AM73" i="9"/>
  <c r="AN73" i="9"/>
  <c r="AO73" i="9"/>
  <c r="AP73" i="9"/>
  <c r="AQ73" i="9"/>
  <c r="AR73" i="9"/>
  <c r="AS73" i="9"/>
  <c r="AT73" i="9"/>
  <c r="AU73" i="9"/>
  <c r="AV73" i="9"/>
  <c r="AW73" i="9"/>
  <c r="AX73" i="9"/>
  <c r="AY73" i="9"/>
  <c r="AL74" i="9"/>
  <c r="AM74" i="9"/>
  <c r="AN74" i="9"/>
  <c r="AO74" i="9"/>
  <c r="AP74" i="9"/>
  <c r="AQ74" i="9"/>
  <c r="AR74" i="9"/>
  <c r="AS74" i="9"/>
  <c r="AT74" i="9"/>
  <c r="AU74" i="9"/>
  <c r="AV74" i="9"/>
  <c r="AW74" i="9"/>
  <c r="AX74" i="9"/>
  <c r="AY74" i="9"/>
  <c r="AK62" i="9"/>
  <c r="AK63" i="9"/>
  <c r="AK64" i="9"/>
  <c r="AK65" i="9"/>
  <c r="AK66" i="9"/>
  <c r="AK67" i="9"/>
  <c r="AK68" i="9"/>
  <c r="AK69" i="9"/>
  <c r="AK70" i="9"/>
  <c r="AK71" i="9"/>
  <c r="AK72" i="9"/>
  <c r="AK73" i="9"/>
  <c r="AK74" i="9"/>
  <c r="AK61" i="9"/>
  <c r="AK4" i="9"/>
  <c r="AL36" i="9"/>
  <c r="AM36" i="9"/>
  <c r="AN36" i="9"/>
  <c r="AO36" i="9"/>
  <c r="AP36" i="9"/>
  <c r="AQ36" i="9"/>
  <c r="AR36" i="9"/>
  <c r="AS36" i="9"/>
  <c r="AT36" i="9"/>
  <c r="AU36" i="9"/>
  <c r="AV36" i="9"/>
  <c r="AW36" i="9"/>
  <c r="AX36" i="9"/>
  <c r="AY36" i="9"/>
  <c r="AL37" i="9"/>
  <c r="AM37" i="9"/>
  <c r="AN37" i="9"/>
  <c r="AO37" i="9"/>
  <c r="AP37" i="9"/>
  <c r="AQ37" i="9"/>
  <c r="AR37" i="9"/>
  <c r="AS37" i="9"/>
  <c r="AT37" i="9"/>
  <c r="AU37" i="9"/>
  <c r="AV37" i="9"/>
  <c r="AW37" i="9"/>
  <c r="AX37" i="9"/>
  <c r="AY37" i="9"/>
  <c r="AL38" i="9"/>
  <c r="AM38" i="9"/>
  <c r="AN38" i="9"/>
  <c r="AO38" i="9"/>
  <c r="AP38" i="9"/>
  <c r="AQ38" i="9"/>
  <c r="AR38" i="9"/>
  <c r="AS38" i="9"/>
  <c r="AT38" i="9"/>
  <c r="AU38" i="9"/>
  <c r="AV38" i="9"/>
  <c r="AW38" i="9"/>
  <c r="AX38" i="9"/>
  <c r="AY38" i="9"/>
  <c r="AL39" i="9"/>
  <c r="AM39" i="9"/>
  <c r="AN39" i="9"/>
  <c r="AO39" i="9"/>
  <c r="AP39" i="9"/>
  <c r="AQ39" i="9"/>
  <c r="AR39" i="9"/>
  <c r="AS39" i="9"/>
  <c r="AT39" i="9"/>
  <c r="AU39" i="9"/>
  <c r="AV39" i="9"/>
  <c r="AW39" i="9"/>
  <c r="AX39" i="9"/>
  <c r="AY39" i="9"/>
  <c r="AL40" i="9"/>
  <c r="AM40" i="9"/>
  <c r="AN40" i="9"/>
  <c r="AO40" i="9"/>
  <c r="AP40" i="9"/>
  <c r="AQ40" i="9"/>
  <c r="AR40" i="9"/>
  <c r="AS40" i="9"/>
  <c r="AT40" i="9"/>
  <c r="AU40" i="9"/>
  <c r="AV40" i="9"/>
  <c r="AW40" i="9"/>
  <c r="AX40" i="9"/>
  <c r="AY40" i="9"/>
  <c r="AL41" i="9"/>
  <c r="AM41" i="9"/>
  <c r="AN41" i="9"/>
  <c r="AO41" i="9"/>
  <c r="AP41" i="9"/>
  <c r="AQ41" i="9"/>
  <c r="AR41" i="9"/>
  <c r="AS41" i="9"/>
  <c r="AT41" i="9"/>
  <c r="AU41" i="9"/>
  <c r="AV41" i="9"/>
  <c r="AW41" i="9"/>
  <c r="AX41" i="9"/>
  <c r="AY41" i="9"/>
  <c r="AL42" i="9"/>
  <c r="AM42" i="9"/>
  <c r="AN42" i="9"/>
  <c r="AO42" i="9"/>
  <c r="AP42" i="9"/>
  <c r="AQ42" i="9"/>
  <c r="AR42" i="9"/>
  <c r="AS42" i="9"/>
  <c r="AT42" i="9"/>
  <c r="AU42" i="9"/>
  <c r="AV42" i="9"/>
  <c r="AW42" i="9"/>
  <c r="AX42" i="9"/>
  <c r="AY42" i="9"/>
  <c r="AL43" i="9"/>
  <c r="AM43" i="9"/>
  <c r="AN43" i="9"/>
  <c r="AO43" i="9"/>
  <c r="AP43" i="9"/>
  <c r="AQ43" i="9"/>
  <c r="AR43" i="9"/>
  <c r="AS43" i="9"/>
  <c r="AT43" i="9"/>
  <c r="AU43" i="9"/>
  <c r="AV43" i="9"/>
  <c r="AW43" i="9"/>
  <c r="AX43" i="9"/>
  <c r="AY43" i="9"/>
  <c r="AL44" i="9"/>
  <c r="AM44" i="9"/>
  <c r="AN44" i="9"/>
  <c r="AO44" i="9"/>
  <c r="AP44" i="9"/>
  <c r="AQ44" i="9"/>
  <c r="AR44" i="9"/>
  <c r="AS44" i="9"/>
  <c r="AT44" i="9"/>
  <c r="AU44" i="9"/>
  <c r="AV44" i="9"/>
  <c r="AW44" i="9"/>
  <c r="AX44" i="9"/>
  <c r="AY44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Y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Y46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Y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Y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Y49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36" i="9"/>
  <c r="AK3" i="9"/>
  <c r="AY11" i="9"/>
  <c r="AY12" i="9"/>
  <c r="AY13" i="9"/>
  <c r="AY14" i="9"/>
  <c r="AY15" i="9"/>
  <c r="AY16" i="9"/>
  <c r="AY17" i="9"/>
  <c r="AY18" i="9"/>
  <c r="AY19" i="9"/>
  <c r="AY20" i="9"/>
  <c r="AY21" i="9"/>
  <c r="AY22" i="9"/>
  <c r="AY23" i="9"/>
  <c r="AY24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L22" i="9"/>
  <c r="AM22" i="9"/>
  <c r="AN22" i="9"/>
  <c r="AO22" i="9"/>
  <c r="AP22" i="9"/>
  <c r="AQ22" i="9"/>
  <c r="AR22" i="9"/>
  <c r="AS22" i="9"/>
  <c r="AT22" i="9"/>
  <c r="AU22" i="9"/>
  <c r="AV22" i="9"/>
  <c r="AW22" i="9"/>
  <c r="AX22" i="9"/>
  <c r="AL23" i="9"/>
  <c r="AM23" i="9"/>
  <c r="AN23" i="9"/>
  <c r="AO23" i="9"/>
  <c r="AP23" i="9"/>
  <c r="AQ23" i="9"/>
  <c r="AR23" i="9"/>
  <c r="AS23" i="9"/>
  <c r="AT23" i="9"/>
  <c r="AU23" i="9"/>
  <c r="AV23" i="9"/>
  <c r="AW23" i="9"/>
  <c r="AX23" i="9"/>
  <c r="AL24" i="9"/>
  <c r="AM24" i="9"/>
  <c r="AN24" i="9"/>
  <c r="AO24" i="9"/>
  <c r="AP24" i="9"/>
  <c r="AQ24" i="9"/>
  <c r="AR24" i="9"/>
  <c r="AS24" i="9"/>
  <c r="AT24" i="9"/>
  <c r="AU24" i="9"/>
  <c r="AV24" i="9"/>
  <c r="AW24" i="9"/>
  <c r="AX24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11" i="9"/>
  <c r="AK2" i="9"/>
  <c r="BC111" i="9"/>
  <c r="BD111" i="9"/>
  <c r="BE111" i="9"/>
  <c r="BF111" i="9"/>
  <c r="BG111" i="9"/>
  <c r="BH111" i="9"/>
  <c r="BI111" i="9"/>
  <c r="BJ111" i="9"/>
  <c r="BK111" i="9"/>
  <c r="BL111" i="9"/>
  <c r="BM111" i="9"/>
  <c r="BN111" i="9"/>
  <c r="BO111" i="9"/>
  <c r="BP111" i="9"/>
  <c r="BC112" i="9"/>
  <c r="BD112" i="9"/>
  <c r="BE112" i="9"/>
  <c r="BF112" i="9"/>
  <c r="BG112" i="9"/>
  <c r="BH112" i="9"/>
  <c r="BI112" i="9"/>
  <c r="BJ112" i="9"/>
  <c r="BK112" i="9"/>
  <c r="BL112" i="9"/>
  <c r="BM112" i="9"/>
  <c r="BN112" i="9"/>
  <c r="BO112" i="9"/>
  <c r="BP112" i="9"/>
  <c r="BC113" i="9"/>
  <c r="BD113" i="9"/>
  <c r="BE113" i="9"/>
  <c r="BF113" i="9"/>
  <c r="BG113" i="9"/>
  <c r="BH113" i="9"/>
  <c r="BI113" i="9"/>
  <c r="BJ113" i="9"/>
  <c r="BK113" i="9"/>
  <c r="BL113" i="9"/>
  <c r="BM113" i="9"/>
  <c r="BN113" i="9"/>
  <c r="BO113" i="9"/>
  <c r="BP113" i="9"/>
  <c r="BC114" i="9"/>
  <c r="BD114" i="9"/>
  <c r="BE114" i="9"/>
  <c r="BF114" i="9"/>
  <c r="BG114" i="9"/>
  <c r="BH114" i="9"/>
  <c r="BI114" i="9"/>
  <c r="BJ114" i="9"/>
  <c r="BK114" i="9"/>
  <c r="BL114" i="9"/>
  <c r="BM114" i="9"/>
  <c r="BN114" i="9"/>
  <c r="BO114" i="9"/>
  <c r="BP114" i="9"/>
  <c r="BC115" i="9"/>
  <c r="BD115" i="9"/>
  <c r="BE115" i="9"/>
  <c r="BF115" i="9"/>
  <c r="BG115" i="9"/>
  <c r="BH115" i="9"/>
  <c r="BI115" i="9"/>
  <c r="BJ115" i="9"/>
  <c r="BK115" i="9"/>
  <c r="BL115" i="9"/>
  <c r="BM115" i="9"/>
  <c r="BN115" i="9"/>
  <c r="BO115" i="9"/>
  <c r="BP115" i="9"/>
  <c r="BC116" i="9"/>
  <c r="BD116" i="9"/>
  <c r="BE116" i="9"/>
  <c r="BF116" i="9"/>
  <c r="BG116" i="9"/>
  <c r="BH116" i="9"/>
  <c r="BI116" i="9"/>
  <c r="BJ116" i="9"/>
  <c r="BK116" i="9"/>
  <c r="BL116" i="9"/>
  <c r="BM116" i="9"/>
  <c r="BN116" i="9"/>
  <c r="BO116" i="9"/>
  <c r="BP116" i="9"/>
  <c r="BC117" i="9"/>
  <c r="BD117" i="9"/>
  <c r="BE117" i="9"/>
  <c r="BF117" i="9"/>
  <c r="BG117" i="9"/>
  <c r="BH117" i="9"/>
  <c r="BI117" i="9"/>
  <c r="BJ117" i="9"/>
  <c r="BK117" i="9"/>
  <c r="BL117" i="9"/>
  <c r="BM117" i="9"/>
  <c r="BN117" i="9"/>
  <c r="BO117" i="9"/>
  <c r="BP117" i="9"/>
  <c r="BC118" i="9"/>
  <c r="BD118" i="9"/>
  <c r="BE118" i="9"/>
  <c r="BF118" i="9"/>
  <c r="BG118" i="9"/>
  <c r="BH118" i="9"/>
  <c r="BI118" i="9"/>
  <c r="BJ118" i="9"/>
  <c r="BK118" i="9"/>
  <c r="BL118" i="9"/>
  <c r="BM118" i="9"/>
  <c r="BN118" i="9"/>
  <c r="BO118" i="9"/>
  <c r="BP118" i="9"/>
  <c r="BC119" i="9"/>
  <c r="BD119" i="9"/>
  <c r="BE119" i="9"/>
  <c r="BF119" i="9"/>
  <c r="BG119" i="9"/>
  <c r="BH119" i="9"/>
  <c r="BI119" i="9"/>
  <c r="BJ119" i="9"/>
  <c r="BK119" i="9"/>
  <c r="BL119" i="9"/>
  <c r="BM119" i="9"/>
  <c r="BN119" i="9"/>
  <c r="BO119" i="9"/>
  <c r="BP119" i="9"/>
  <c r="BC120" i="9"/>
  <c r="BD120" i="9"/>
  <c r="BE120" i="9"/>
  <c r="BF120" i="9"/>
  <c r="BG120" i="9"/>
  <c r="BH120" i="9"/>
  <c r="BI120" i="9"/>
  <c r="BJ120" i="9"/>
  <c r="BK120" i="9"/>
  <c r="BL120" i="9"/>
  <c r="BM120" i="9"/>
  <c r="BN120" i="9"/>
  <c r="BO120" i="9"/>
  <c r="BP120" i="9"/>
  <c r="BC121" i="9"/>
  <c r="BD121" i="9"/>
  <c r="BE121" i="9"/>
  <c r="BF121" i="9"/>
  <c r="BG121" i="9"/>
  <c r="BH121" i="9"/>
  <c r="BI121" i="9"/>
  <c r="BJ121" i="9"/>
  <c r="BK121" i="9"/>
  <c r="BL121" i="9"/>
  <c r="BM121" i="9"/>
  <c r="BN121" i="9"/>
  <c r="BO121" i="9"/>
  <c r="BP121" i="9"/>
  <c r="BC122" i="9"/>
  <c r="BD122" i="9"/>
  <c r="BE122" i="9"/>
  <c r="BF122" i="9"/>
  <c r="BG122" i="9"/>
  <c r="BH122" i="9"/>
  <c r="BI122" i="9"/>
  <c r="BJ122" i="9"/>
  <c r="BK122" i="9"/>
  <c r="BL122" i="9"/>
  <c r="BM122" i="9"/>
  <c r="BN122" i="9"/>
  <c r="BO122" i="9"/>
  <c r="BP122" i="9"/>
  <c r="BC123" i="9"/>
  <c r="BD123" i="9"/>
  <c r="BE123" i="9"/>
  <c r="BF123" i="9"/>
  <c r="BG123" i="9"/>
  <c r="BH123" i="9"/>
  <c r="BI123" i="9"/>
  <c r="BJ123" i="9"/>
  <c r="BK123" i="9"/>
  <c r="BL123" i="9"/>
  <c r="BM123" i="9"/>
  <c r="BN123" i="9"/>
  <c r="BO123" i="9"/>
  <c r="BP123" i="9"/>
  <c r="BC124" i="9"/>
  <c r="BD124" i="9"/>
  <c r="BE124" i="9"/>
  <c r="BF124" i="9"/>
  <c r="BG124" i="9"/>
  <c r="BH124" i="9"/>
  <c r="BI124" i="9"/>
  <c r="BJ124" i="9"/>
  <c r="BK124" i="9"/>
  <c r="BL124" i="9"/>
  <c r="BM124" i="9"/>
  <c r="BN124" i="9"/>
  <c r="BO124" i="9"/>
  <c r="BP124" i="9"/>
  <c r="BB112" i="9"/>
  <c r="BB113" i="9"/>
  <c r="BB114" i="9"/>
  <c r="BB115" i="9"/>
  <c r="BB116" i="9"/>
  <c r="BB117" i="9"/>
  <c r="BB118" i="9"/>
  <c r="BB119" i="9"/>
  <c r="BB120" i="9"/>
  <c r="BB121" i="9"/>
  <c r="BB122" i="9"/>
  <c r="BB123" i="9"/>
  <c r="BB124" i="9"/>
  <c r="BB111" i="9"/>
  <c r="BB6" i="9"/>
  <c r="BC86" i="9"/>
  <c r="BD86" i="9"/>
  <c r="BE86" i="9"/>
  <c r="BF86" i="9"/>
  <c r="BG86" i="9"/>
  <c r="BH86" i="9"/>
  <c r="BI86" i="9"/>
  <c r="BJ86" i="9"/>
  <c r="BK86" i="9"/>
  <c r="BL86" i="9"/>
  <c r="BM86" i="9"/>
  <c r="BN86" i="9"/>
  <c r="BO86" i="9"/>
  <c r="BP86" i="9"/>
  <c r="BC87" i="9"/>
  <c r="BD87" i="9"/>
  <c r="BE87" i="9"/>
  <c r="BF87" i="9"/>
  <c r="BG87" i="9"/>
  <c r="BH87" i="9"/>
  <c r="BI87" i="9"/>
  <c r="BJ87" i="9"/>
  <c r="BK87" i="9"/>
  <c r="BL87" i="9"/>
  <c r="BM87" i="9"/>
  <c r="BN87" i="9"/>
  <c r="BO87" i="9"/>
  <c r="BP87" i="9"/>
  <c r="BC88" i="9"/>
  <c r="BD88" i="9"/>
  <c r="BE88" i="9"/>
  <c r="BF88" i="9"/>
  <c r="BG88" i="9"/>
  <c r="BH88" i="9"/>
  <c r="BI88" i="9"/>
  <c r="BJ88" i="9"/>
  <c r="BK88" i="9"/>
  <c r="BL88" i="9"/>
  <c r="BM88" i="9"/>
  <c r="BN88" i="9"/>
  <c r="BO88" i="9"/>
  <c r="BP88" i="9"/>
  <c r="BC89" i="9"/>
  <c r="BD89" i="9"/>
  <c r="BE89" i="9"/>
  <c r="BF89" i="9"/>
  <c r="BG89" i="9"/>
  <c r="BH89" i="9"/>
  <c r="BI89" i="9"/>
  <c r="BJ89" i="9"/>
  <c r="BK89" i="9"/>
  <c r="BL89" i="9"/>
  <c r="BM89" i="9"/>
  <c r="BN89" i="9"/>
  <c r="BO89" i="9"/>
  <c r="BP89" i="9"/>
  <c r="BC90" i="9"/>
  <c r="BD90" i="9"/>
  <c r="BE90" i="9"/>
  <c r="BF90" i="9"/>
  <c r="BG90" i="9"/>
  <c r="BH90" i="9"/>
  <c r="BI90" i="9"/>
  <c r="BJ90" i="9"/>
  <c r="BK90" i="9"/>
  <c r="BL90" i="9"/>
  <c r="BM90" i="9"/>
  <c r="BN90" i="9"/>
  <c r="BO90" i="9"/>
  <c r="BP90" i="9"/>
  <c r="BC91" i="9"/>
  <c r="BD91" i="9"/>
  <c r="BE91" i="9"/>
  <c r="BF91" i="9"/>
  <c r="BG91" i="9"/>
  <c r="BH91" i="9"/>
  <c r="BI91" i="9"/>
  <c r="BJ91" i="9"/>
  <c r="BK91" i="9"/>
  <c r="BL91" i="9"/>
  <c r="BM91" i="9"/>
  <c r="BN91" i="9"/>
  <c r="BO91" i="9"/>
  <c r="BP91" i="9"/>
  <c r="BC92" i="9"/>
  <c r="BD92" i="9"/>
  <c r="BE92" i="9"/>
  <c r="BF92" i="9"/>
  <c r="BG92" i="9"/>
  <c r="BH92" i="9"/>
  <c r="BI92" i="9"/>
  <c r="BJ92" i="9"/>
  <c r="BK92" i="9"/>
  <c r="BL92" i="9"/>
  <c r="BM92" i="9"/>
  <c r="BN92" i="9"/>
  <c r="BO92" i="9"/>
  <c r="BP92" i="9"/>
  <c r="BC93" i="9"/>
  <c r="BD93" i="9"/>
  <c r="BE93" i="9"/>
  <c r="BF93" i="9"/>
  <c r="BG93" i="9"/>
  <c r="BH93" i="9"/>
  <c r="BI93" i="9"/>
  <c r="BJ93" i="9"/>
  <c r="BK93" i="9"/>
  <c r="BL93" i="9"/>
  <c r="BM93" i="9"/>
  <c r="BN93" i="9"/>
  <c r="BO93" i="9"/>
  <c r="BP93" i="9"/>
  <c r="BC94" i="9"/>
  <c r="BD94" i="9"/>
  <c r="BE94" i="9"/>
  <c r="BF94" i="9"/>
  <c r="BG94" i="9"/>
  <c r="BH94" i="9"/>
  <c r="BI94" i="9"/>
  <c r="BJ94" i="9"/>
  <c r="BK94" i="9"/>
  <c r="BL94" i="9"/>
  <c r="BM94" i="9"/>
  <c r="BN94" i="9"/>
  <c r="BO94" i="9"/>
  <c r="BP94" i="9"/>
  <c r="BC95" i="9"/>
  <c r="BD95" i="9"/>
  <c r="BE95" i="9"/>
  <c r="BF95" i="9"/>
  <c r="BG95" i="9"/>
  <c r="BH95" i="9"/>
  <c r="BI95" i="9"/>
  <c r="BJ95" i="9"/>
  <c r="BK95" i="9"/>
  <c r="BL95" i="9"/>
  <c r="BM95" i="9"/>
  <c r="BN95" i="9"/>
  <c r="BO95" i="9"/>
  <c r="BP95" i="9"/>
  <c r="BC96" i="9"/>
  <c r="BD96" i="9"/>
  <c r="BE96" i="9"/>
  <c r="BF96" i="9"/>
  <c r="BG96" i="9"/>
  <c r="BH96" i="9"/>
  <c r="BI96" i="9"/>
  <c r="BJ96" i="9"/>
  <c r="BK96" i="9"/>
  <c r="BL96" i="9"/>
  <c r="BM96" i="9"/>
  <c r="BN96" i="9"/>
  <c r="BO96" i="9"/>
  <c r="BP96" i="9"/>
  <c r="BC97" i="9"/>
  <c r="BD97" i="9"/>
  <c r="BE97" i="9"/>
  <c r="BF97" i="9"/>
  <c r="BG97" i="9"/>
  <c r="BH97" i="9"/>
  <c r="BI97" i="9"/>
  <c r="BJ97" i="9"/>
  <c r="BK97" i="9"/>
  <c r="BL97" i="9"/>
  <c r="BM97" i="9"/>
  <c r="BN97" i="9"/>
  <c r="BO97" i="9"/>
  <c r="BP97" i="9"/>
  <c r="BC98" i="9"/>
  <c r="BD98" i="9"/>
  <c r="BE98" i="9"/>
  <c r="BF98" i="9"/>
  <c r="BG98" i="9"/>
  <c r="BH98" i="9"/>
  <c r="BI98" i="9"/>
  <c r="BJ98" i="9"/>
  <c r="BK98" i="9"/>
  <c r="BL98" i="9"/>
  <c r="BM98" i="9"/>
  <c r="BN98" i="9"/>
  <c r="BO98" i="9"/>
  <c r="BP98" i="9"/>
  <c r="BC99" i="9"/>
  <c r="BD99" i="9"/>
  <c r="BE99" i="9"/>
  <c r="BF99" i="9"/>
  <c r="BG99" i="9"/>
  <c r="BH99" i="9"/>
  <c r="BI99" i="9"/>
  <c r="BJ99" i="9"/>
  <c r="BK99" i="9"/>
  <c r="BL99" i="9"/>
  <c r="BM99" i="9"/>
  <c r="BN99" i="9"/>
  <c r="BO99" i="9"/>
  <c r="BP99" i="9"/>
  <c r="BB87" i="9"/>
  <c r="BB88" i="9"/>
  <c r="BB89" i="9"/>
  <c r="BB90" i="9"/>
  <c r="BB91" i="9"/>
  <c r="BB92" i="9"/>
  <c r="BB93" i="9"/>
  <c r="BB94" i="9"/>
  <c r="BB95" i="9"/>
  <c r="BB96" i="9"/>
  <c r="BB97" i="9"/>
  <c r="BB98" i="9"/>
  <c r="BB99" i="9"/>
  <c r="BB86" i="9"/>
  <c r="BB5" i="9"/>
  <c r="BC61" i="9"/>
  <c r="BD61" i="9"/>
  <c r="BE61" i="9"/>
  <c r="BF61" i="9"/>
  <c r="BG61" i="9"/>
  <c r="BH61" i="9"/>
  <c r="BI61" i="9"/>
  <c r="BJ61" i="9"/>
  <c r="BK61" i="9"/>
  <c r="BL61" i="9"/>
  <c r="BM61" i="9"/>
  <c r="BN61" i="9"/>
  <c r="BO61" i="9"/>
  <c r="BP61" i="9"/>
  <c r="BC62" i="9"/>
  <c r="BD62" i="9"/>
  <c r="BE62" i="9"/>
  <c r="BF62" i="9"/>
  <c r="BG62" i="9"/>
  <c r="BH62" i="9"/>
  <c r="BI62" i="9"/>
  <c r="BJ62" i="9"/>
  <c r="BK62" i="9"/>
  <c r="BL62" i="9"/>
  <c r="BM62" i="9"/>
  <c r="BN62" i="9"/>
  <c r="BO62" i="9"/>
  <c r="BP62" i="9"/>
  <c r="BC63" i="9"/>
  <c r="BD63" i="9"/>
  <c r="BE63" i="9"/>
  <c r="BF63" i="9"/>
  <c r="BG63" i="9"/>
  <c r="BH63" i="9"/>
  <c r="BI63" i="9"/>
  <c r="BJ63" i="9"/>
  <c r="BK63" i="9"/>
  <c r="BL63" i="9"/>
  <c r="BM63" i="9"/>
  <c r="BN63" i="9"/>
  <c r="BO63" i="9"/>
  <c r="BP63" i="9"/>
  <c r="BC64" i="9"/>
  <c r="BD64" i="9"/>
  <c r="BE64" i="9"/>
  <c r="BF64" i="9"/>
  <c r="BG64" i="9"/>
  <c r="BH64" i="9"/>
  <c r="BI64" i="9"/>
  <c r="BJ64" i="9"/>
  <c r="BK64" i="9"/>
  <c r="BL64" i="9"/>
  <c r="BM64" i="9"/>
  <c r="BN64" i="9"/>
  <c r="BO64" i="9"/>
  <c r="BP64" i="9"/>
  <c r="BC65" i="9"/>
  <c r="BD65" i="9"/>
  <c r="BE65" i="9"/>
  <c r="BF65" i="9"/>
  <c r="BG65" i="9"/>
  <c r="BH65" i="9"/>
  <c r="BI65" i="9"/>
  <c r="BJ65" i="9"/>
  <c r="BK65" i="9"/>
  <c r="BL65" i="9"/>
  <c r="BM65" i="9"/>
  <c r="BN65" i="9"/>
  <c r="BO65" i="9"/>
  <c r="BP65" i="9"/>
  <c r="BC66" i="9"/>
  <c r="BD66" i="9"/>
  <c r="BE66" i="9"/>
  <c r="BF66" i="9"/>
  <c r="BG66" i="9"/>
  <c r="BH66" i="9"/>
  <c r="BI66" i="9"/>
  <c r="BJ66" i="9"/>
  <c r="BK66" i="9"/>
  <c r="BL66" i="9"/>
  <c r="BM66" i="9"/>
  <c r="BN66" i="9"/>
  <c r="BO66" i="9"/>
  <c r="BP66" i="9"/>
  <c r="BC67" i="9"/>
  <c r="BD67" i="9"/>
  <c r="BE67" i="9"/>
  <c r="BF67" i="9"/>
  <c r="BG67" i="9"/>
  <c r="BH67" i="9"/>
  <c r="BI67" i="9"/>
  <c r="BJ67" i="9"/>
  <c r="BK67" i="9"/>
  <c r="BL67" i="9"/>
  <c r="BM67" i="9"/>
  <c r="BN67" i="9"/>
  <c r="BO67" i="9"/>
  <c r="BP67" i="9"/>
  <c r="BC68" i="9"/>
  <c r="BD68" i="9"/>
  <c r="BE68" i="9"/>
  <c r="BF68" i="9"/>
  <c r="BG68" i="9"/>
  <c r="BH68" i="9"/>
  <c r="BI68" i="9"/>
  <c r="BJ68" i="9"/>
  <c r="BK68" i="9"/>
  <c r="BL68" i="9"/>
  <c r="BM68" i="9"/>
  <c r="BN68" i="9"/>
  <c r="BO68" i="9"/>
  <c r="BP68" i="9"/>
  <c r="BC69" i="9"/>
  <c r="BD69" i="9"/>
  <c r="BE69" i="9"/>
  <c r="BF69" i="9"/>
  <c r="BG69" i="9"/>
  <c r="BH69" i="9"/>
  <c r="BI69" i="9"/>
  <c r="BJ69" i="9"/>
  <c r="BK69" i="9"/>
  <c r="BL69" i="9"/>
  <c r="BM69" i="9"/>
  <c r="BN69" i="9"/>
  <c r="BO69" i="9"/>
  <c r="BP69" i="9"/>
  <c r="BC70" i="9"/>
  <c r="BD70" i="9"/>
  <c r="BE70" i="9"/>
  <c r="BF70" i="9"/>
  <c r="BG70" i="9"/>
  <c r="BH70" i="9"/>
  <c r="BI70" i="9"/>
  <c r="BJ70" i="9"/>
  <c r="BK70" i="9"/>
  <c r="BL70" i="9"/>
  <c r="BM70" i="9"/>
  <c r="BN70" i="9"/>
  <c r="BO70" i="9"/>
  <c r="BP70" i="9"/>
  <c r="BC71" i="9"/>
  <c r="BD71" i="9"/>
  <c r="BE71" i="9"/>
  <c r="BF71" i="9"/>
  <c r="BG71" i="9"/>
  <c r="BH71" i="9"/>
  <c r="BI71" i="9"/>
  <c r="BJ71" i="9"/>
  <c r="BK71" i="9"/>
  <c r="BL71" i="9"/>
  <c r="BM71" i="9"/>
  <c r="BN71" i="9"/>
  <c r="BO71" i="9"/>
  <c r="BP71" i="9"/>
  <c r="BC72" i="9"/>
  <c r="BD72" i="9"/>
  <c r="BE72" i="9"/>
  <c r="BF72" i="9"/>
  <c r="BG72" i="9"/>
  <c r="BH72" i="9"/>
  <c r="BI72" i="9"/>
  <c r="BJ72" i="9"/>
  <c r="BK72" i="9"/>
  <c r="BL72" i="9"/>
  <c r="BM72" i="9"/>
  <c r="BN72" i="9"/>
  <c r="BO72" i="9"/>
  <c r="BP72" i="9"/>
  <c r="BC73" i="9"/>
  <c r="BD73" i="9"/>
  <c r="BE73" i="9"/>
  <c r="BF73" i="9"/>
  <c r="BG73" i="9"/>
  <c r="BH73" i="9"/>
  <c r="BI73" i="9"/>
  <c r="BJ73" i="9"/>
  <c r="BK73" i="9"/>
  <c r="BL73" i="9"/>
  <c r="BM73" i="9"/>
  <c r="BN73" i="9"/>
  <c r="BO73" i="9"/>
  <c r="BP73" i="9"/>
  <c r="BC74" i="9"/>
  <c r="BD74" i="9"/>
  <c r="BE74" i="9"/>
  <c r="BF74" i="9"/>
  <c r="BG74" i="9"/>
  <c r="BH74" i="9"/>
  <c r="BI74" i="9"/>
  <c r="BJ74" i="9"/>
  <c r="BK74" i="9"/>
  <c r="BL74" i="9"/>
  <c r="BM74" i="9"/>
  <c r="BN74" i="9"/>
  <c r="BO74" i="9"/>
  <c r="BP74" i="9"/>
  <c r="BB62" i="9"/>
  <c r="BB63" i="9"/>
  <c r="BB64" i="9"/>
  <c r="BB65" i="9"/>
  <c r="BB66" i="9"/>
  <c r="BB67" i="9"/>
  <c r="BB68" i="9"/>
  <c r="BB69" i="9"/>
  <c r="BB70" i="9"/>
  <c r="BB71" i="9"/>
  <c r="BB72" i="9"/>
  <c r="BB73" i="9"/>
  <c r="BB74" i="9"/>
  <c r="BB61" i="9"/>
  <c r="BB4" i="9"/>
  <c r="BC36" i="9"/>
  <c r="BD36" i="9"/>
  <c r="BE36" i="9"/>
  <c r="BF36" i="9"/>
  <c r="BG36" i="9"/>
  <c r="BH36" i="9"/>
  <c r="BI36" i="9"/>
  <c r="BJ36" i="9"/>
  <c r="BK36" i="9"/>
  <c r="BL36" i="9"/>
  <c r="BM36" i="9"/>
  <c r="BN36" i="9"/>
  <c r="BO36" i="9"/>
  <c r="BP36" i="9"/>
  <c r="BC37" i="9"/>
  <c r="BD37" i="9"/>
  <c r="BE37" i="9"/>
  <c r="BF37" i="9"/>
  <c r="BG37" i="9"/>
  <c r="BH37" i="9"/>
  <c r="BI37" i="9"/>
  <c r="BJ37" i="9"/>
  <c r="BK37" i="9"/>
  <c r="BL37" i="9"/>
  <c r="BM37" i="9"/>
  <c r="BN37" i="9"/>
  <c r="BO37" i="9"/>
  <c r="BP37" i="9"/>
  <c r="BC38" i="9"/>
  <c r="BD38" i="9"/>
  <c r="BE38" i="9"/>
  <c r="BF38" i="9"/>
  <c r="BG38" i="9"/>
  <c r="BH38" i="9"/>
  <c r="BI38" i="9"/>
  <c r="BJ38" i="9"/>
  <c r="BK38" i="9"/>
  <c r="BL38" i="9"/>
  <c r="BM38" i="9"/>
  <c r="BN38" i="9"/>
  <c r="BO38" i="9"/>
  <c r="BP38" i="9"/>
  <c r="BC39" i="9"/>
  <c r="BD39" i="9"/>
  <c r="BE39" i="9"/>
  <c r="BF39" i="9"/>
  <c r="BG39" i="9"/>
  <c r="BH39" i="9"/>
  <c r="BI39" i="9"/>
  <c r="BJ39" i="9"/>
  <c r="BK39" i="9"/>
  <c r="BL39" i="9"/>
  <c r="BM39" i="9"/>
  <c r="BN39" i="9"/>
  <c r="BO39" i="9"/>
  <c r="BP39" i="9"/>
  <c r="BC40" i="9"/>
  <c r="BD40" i="9"/>
  <c r="BE40" i="9"/>
  <c r="BF40" i="9"/>
  <c r="BG40" i="9"/>
  <c r="BH40" i="9"/>
  <c r="BI40" i="9"/>
  <c r="BJ40" i="9"/>
  <c r="BK40" i="9"/>
  <c r="BL40" i="9"/>
  <c r="BM40" i="9"/>
  <c r="BN40" i="9"/>
  <c r="BO40" i="9"/>
  <c r="BP40" i="9"/>
  <c r="BC41" i="9"/>
  <c r="BD41" i="9"/>
  <c r="BE41" i="9"/>
  <c r="BF41" i="9"/>
  <c r="BG41" i="9"/>
  <c r="BH41" i="9"/>
  <c r="BI41" i="9"/>
  <c r="BJ41" i="9"/>
  <c r="BK41" i="9"/>
  <c r="BL41" i="9"/>
  <c r="BM41" i="9"/>
  <c r="BN41" i="9"/>
  <c r="BO41" i="9"/>
  <c r="BP41" i="9"/>
  <c r="BC42" i="9"/>
  <c r="BD42" i="9"/>
  <c r="BE42" i="9"/>
  <c r="BF42" i="9"/>
  <c r="BG42" i="9"/>
  <c r="BH42" i="9"/>
  <c r="BI42" i="9"/>
  <c r="BJ42" i="9"/>
  <c r="BK42" i="9"/>
  <c r="BL42" i="9"/>
  <c r="BM42" i="9"/>
  <c r="BN42" i="9"/>
  <c r="BO42" i="9"/>
  <c r="BP42" i="9"/>
  <c r="BC43" i="9"/>
  <c r="BD43" i="9"/>
  <c r="BE43" i="9"/>
  <c r="BF43" i="9"/>
  <c r="BG43" i="9"/>
  <c r="BH43" i="9"/>
  <c r="BI43" i="9"/>
  <c r="BJ43" i="9"/>
  <c r="BK43" i="9"/>
  <c r="BL43" i="9"/>
  <c r="BM43" i="9"/>
  <c r="BN43" i="9"/>
  <c r="BO43" i="9"/>
  <c r="BP43" i="9"/>
  <c r="BC44" i="9"/>
  <c r="BD44" i="9"/>
  <c r="BE44" i="9"/>
  <c r="BF44" i="9"/>
  <c r="BG44" i="9"/>
  <c r="BH44" i="9"/>
  <c r="BI44" i="9"/>
  <c r="BJ44" i="9"/>
  <c r="BK44" i="9"/>
  <c r="BL44" i="9"/>
  <c r="BM44" i="9"/>
  <c r="BN44" i="9"/>
  <c r="BO44" i="9"/>
  <c r="BP44" i="9"/>
  <c r="BC45" i="9"/>
  <c r="BD45" i="9"/>
  <c r="BE45" i="9"/>
  <c r="BF45" i="9"/>
  <c r="BG45" i="9"/>
  <c r="BH45" i="9"/>
  <c r="BI45" i="9"/>
  <c r="BJ45" i="9"/>
  <c r="BK45" i="9"/>
  <c r="BL45" i="9"/>
  <c r="BM45" i="9"/>
  <c r="BN45" i="9"/>
  <c r="BO45" i="9"/>
  <c r="BP45" i="9"/>
  <c r="BC46" i="9"/>
  <c r="BD46" i="9"/>
  <c r="BE46" i="9"/>
  <c r="BF46" i="9"/>
  <c r="BG46" i="9"/>
  <c r="BH46" i="9"/>
  <c r="BI46" i="9"/>
  <c r="BJ46" i="9"/>
  <c r="BK46" i="9"/>
  <c r="BL46" i="9"/>
  <c r="BM46" i="9"/>
  <c r="BN46" i="9"/>
  <c r="BO46" i="9"/>
  <c r="BP46" i="9"/>
  <c r="BC47" i="9"/>
  <c r="BD47" i="9"/>
  <c r="BE47" i="9"/>
  <c r="BF47" i="9"/>
  <c r="BG47" i="9"/>
  <c r="BH47" i="9"/>
  <c r="BI47" i="9"/>
  <c r="BJ47" i="9"/>
  <c r="BK47" i="9"/>
  <c r="BL47" i="9"/>
  <c r="BM47" i="9"/>
  <c r="BN47" i="9"/>
  <c r="BO47" i="9"/>
  <c r="BP47" i="9"/>
  <c r="BC48" i="9"/>
  <c r="BD48" i="9"/>
  <c r="BE48" i="9"/>
  <c r="BF48" i="9"/>
  <c r="BG48" i="9"/>
  <c r="BH48" i="9"/>
  <c r="BI48" i="9"/>
  <c r="BJ48" i="9"/>
  <c r="BK48" i="9"/>
  <c r="BL48" i="9"/>
  <c r="BM48" i="9"/>
  <c r="BN48" i="9"/>
  <c r="BO48" i="9"/>
  <c r="BP48" i="9"/>
  <c r="BC49" i="9"/>
  <c r="BD49" i="9"/>
  <c r="BE49" i="9"/>
  <c r="BF49" i="9"/>
  <c r="BG49" i="9"/>
  <c r="BH49" i="9"/>
  <c r="BI49" i="9"/>
  <c r="BJ49" i="9"/>
  <c r="BK49" i="9"/>
  <c r="BL49" i="9"/>
  <c r="BM49" i="9"/>
  <c r="BN49" i="9"/>
  <c r="BO49" i="9"/>
  <c r="BP49" i="9"/>
  <c r="BB37" i="9"/>
  <c r="BB38" i="9"/>
  <c r="BB39" i="9"/>
  <c r="BB40" i="9"/>
  <c r="BB41" i="9"/>
  <c r="BB42" i="9"/>
  <c r="BB43" i="9"/>
  <c r="BB44" i="9"/>
  <c r="BB45" i="9"/>
  <c r="BB46" i="9"/>
  <c r="BB47" i="9"/>
  <c r="BB48" i="9"/>
  <c r="BB49" i="9"/>
  <c r="BB36" i="9"/>
  <c r="BB3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C22" i="9"/>
  <c r="BD22" i="9"/>
  <c r="BE22" i="9"/>
  <c r="BF22" i="9"/>
  <c r="BG22" i="9"/>
  <c r="BH22" i="9"/>
  <c r="BI22" i="9"/>
  <c r="BJ22" i="9"/>
  <c r="BK22" i="9"/>
  <c r="BL22" i="9"/>
  <c r="BM22" i="9"/>
  <c r="BN22" i="9"/>
  <c r="BO22" i="9"/>
  <c r="BP22" i="9"/>
  <c r="BC23" i="9"/>
  <c r="BD23" i="9"/>
  <c r="BE23" i="9"/>
  <c r="BF23" i="9"/>
  <c r="BG23" i="9"/>
  <c r="BH23" i="9"/>
  <c r="BI23" i="9"/>
  <c r="BJ23" i="9"/>
  <c r="BK23" i="9"/>
  <c r="BL23" i="9"/>
  <c r="BM23" i="9"/>
  <c r="BN23" i="9"/>
  <c r="BO23" i="9"/>
  <c r="BP23" i="9"/>
  <c r="BC24" i="9"/>
  <c r="BD24" i="9"/>
  <c r="BE24" i="9"/>
  <c r="BF24" i="9"/>
  <c r="BG24" i="9"/>
  <c r="BH24" i="9"/>
  <c r="BI24" i="9"/>
  <c r="BJ24" i="9"/>
  <c r="BK24" i="9"/>
  <c r="BL24" i="9"/>
  <c r="BM24" i="9"/>
  <c r="BN24" i="9"/>
  <c r="BO24" i="9"/>
  <c r="BP24" i="9"/>
  <c r="BB12" i="9"/>
  <c r="BB13" i="9"/>
  <c r="BB14" i="9"/>
  <c r="BB15" i="9"/>
  <c r="BB16" i="9"/>
  <c r="BB17" i="9"/>
  <c r="BB18" i="9"/>
  <c r="BB19" i="9"/>
  <c r="BB20" i="9"/>
  <c r="BB21" i="9"/>
  <c r="BB22" i="9"/>
  <c r="BB23" i="9"/>
  <c r="BB24" i="9"/>
  <c r="BB11" i="9"/>
  <c r="BB2" i="9"/>
  <c r="BT36" i="9"/>
  <c r="BU36" i="9"/>
  <c r="BV36" i="9"/>
  <c r="BW36" i="9"/>
  <c r="BX36" i="9"/>
  <c r="BY36" i="9"/>
  <c r="BZ36" i="9"/>
  <c r="CA36" i="9"/>
  <c r="CB36" i="9"/>
  <c r="CC36" i="9"/>
  <c r="CD36" i="9"/>
  <c r="CE36" i="9"/>
  <c r="CF36" i="9"/>
  <c r="CG36" i="9"/>
  <c r="BT37" i="9"/>
  <c r="BU37" i="9"/>
  <c r="BV37" i="9"/>
  <c r="BW37" i="9"/>
  <c r="BX37" i="9"/>
  <c r="BY37" i="9"/>
  <c r="BZ37" i="9"/>
  <c r="CA37" i="9"/>
  <c r="CB37" i="9"/>
  <c r="CC37" i="9"/>
  <c r="CD37" i="9"/>
  <c r="CE37" i="9"/>
  <c r="CF37" i="9"/>
  <c r="CG37" i="9"/>
  <c r="BT38" i="9"/>
  <c r="BU38" i="9"/>
  <c r="BV38" i="9"/>
  <c r="BW38" i="9"/>
  <c r="BX38" i="9"/>
  <c r="BY38" i="9"/>
  <c r="BZ38" i="9"/>
  <c r="CA38" i="9"/>
  <c r="CB38" i="9"/>
  <c r="CC38" i="9"/>
  <c r="CD38" i="9"/>
  <c r="CE38" i="9"/>
  <c r="CF38" i="9"/>
  <c r="CG38" i="9"/>
  <c r="BT39" i="9"/>
  <c r="BU39" i="9"/>
  <c r="BV39" i="9"/>
  <c r="BW39" i="9"/>
  <c r="BX39" i="9"/>
  <c r="BY39" i="9"/>
  <c r="BZ39" i="9"/>
  <c r="CA39" i="9"/>
  <c r="CB39" i="9"/>
  <c r="CC39" i="9"/>
  <c r="CD39" i="9"/>
  <c r="CE39" i="9"/>
  <c r="CF39" i="9"/>
  <c r="CG39" i="9"/>
  <c r="BT40" i="9"/>
  <c r="BU40" i="9"/>
  <c r="BV40" i="9"/>
  <c r="BW40" i="9"/>
  <c r="BX40" i="9"/>
  <c r="BY40" i="9"/>
  <c r="BZ40" i="9"/>
  <c r="CA40" i="9"/>
  <c r="CB40" i="9"/>
  <c r="CC40" i="9"/>
  <c r="CD40" i="9"/>
  <c r="CE40" i="9"/>
  <c r="CF40" i="9"/>
  <c r="CG40" i="9"/>
  <c r="BT41" i="9"/>
  <c r="BU41" i="9"/>
  <c r="BV41" i="9"/>
  <c r="BW41" i="9"/>
  <c r="BX41" i="9"/>
  <c r="BY41" i="9"/>
  <c r="BZ41" i="9"/>
  <c r="CA41" i="9"/>
  <c r="CB41" i="9"/>
  <c r="CC41" i="9"/>
  <c r="CD41" i="9"/>
  <c r="CE41" i="9"/>
  <c r="CF41" i="9"/>
  <c r="CG41" i="9"/>
  <c r="BT42" i="9"/>
  <c r="BU42" i="9"/>
  <c r="BV42" i="9"/>
  <c r="BW42" i="9"/>
  <c r="BX42" i="9"/>
  <c r="BY42" i="9"/>
  <c r="BZ42" i="9"/>
  <c r="CA42" i="9"/>
  <c r="CB42" i="9"/>
  <c r="CC42" i="9"/>
  <c r="CD42" i="9"/>
  <c r="CE42" i="9"/>
  <c r="CF42" i="9"/>
  <c r="CG42" i="9"/>
  <c r="BT43" i="9"/>
  <c r="BU43" i="9"/>
  <c r="BV43" i="9"/>
  <c r="BW43" i="9"/>
  <c r="BX43" i="9"/>
  <c r="BY43" i="9"/>
  <c r="BZ43" i="9"/>
  <c r="CA43" i="9"/>
  <c r="CB43" i="9"/>
  <c r="CC43" i="9"/>
  <c r="CD43" i="9"/>
  <c r="CE43" i="9"/>
  <c r="CF43" i="9"/>
  <c r="CG43" i="9"/>
  <c r="BT44" i="9"/>
  <c r="BU44" i="9"/>
  <c r="BV44" i="9"/>
  <c r="BW44" i="9"/>
  <c r="BX44" i="9"/>
  <c r="BY44" i="9"/>
  <c r="BZ44" i="9"/>
  <c r="CA44" i="9"/>
  <c r="CB44" i="9"/>
  <c r="CC44" i="9"/>
  <c r="CD44" i="9"/>
  <c r="CE44" i="9"/>
  <c r="CF44" i="9"/>
  <c r="CG44" i="9"/>
  <c r="BT45" i="9"/>
  <c r="BU45" i="9"/>
  <c r="BV45" i="9"/>
  <c r="BW45" i="9"/>
  <c r="BX45" i="9"/>
  <c r="BY45" i="9"/>
  <c r="BZ45" i="9"/>
  <c r="CA45" i="9"/>
  <c r="CB45" i="9"/>
  <c r="CC45" i="9"/>
  <c r="CD45" i="9"/>
  <c r="CE45" i="9"/>
  <c r="CF45" i="9"/>
  <c r="CG45" i="9"/>
  <c r="BT46" i="9"/>
  <c r="BU46" i="9"/>
  <c r="BV46" i="9"/>
  <c r="BW46" i="9"/>
  <c r="BX46" i="9"/>
  <c r="BY46" i="9"/>
  <c r="BZ46" i="9"/>
  <c r="CA46" i="9"/>
  <c r="CB46" i="9"/>
  <c r="CC46" i="9"/>
  <c r="CD46" i="9"/>
  <c r="CE46" i="9"/>
  <c r="CF46" i="9"/>
  <c r="CG46" i="9"/>
  <c r="BT47" i="9"/>
  <c r="BU47" i="9"/>
  <c r="BV47" i="9"/>
  <c r="BW47" i="9"/>
  <c r="BX47" i="9"/>
  <c r="BY47" i="9"/>
  <c r="BZ47" i="9"/>
  <c r="CA47" i="9"/>
  <c r="CB47" i="9"/>
  <c r="CC47" i="9"/>
  <c r="CD47" i="9"/>
  <c r="CE47" i="9"/>
  <c r="CF47" i="9"/>
  <c r="CG47" i="9"/>
  <c r="BT48" i="9"/>
  <c r="BU48" i="9"/>
  <c r="BV48" i="9"/>
  <c r="BW48" i="9"/>
  <c r="BX48" i="9"/>
  <c r="BY48" i="9"/>
  <c r="BZ48" i="9"/>
  <c r="CA48" i="9"/>
  <c r="CB48" i="9"/>
  <c r="CC48" i="9"/>
  <c r="CD48" i="9"/>
  <c r="CE48" i="9"/>
  <c r="CF48" i="9"/>
  <c r="CG48" i="9"/>
  <c r="BT49" i="9"/>
  <c r="BU49" i="9"/>
  <c r="BV49" i="9"/>
  <c r="BW49" i="9"/>
  <c r="BX49" i="9"/>
  <c r="BY49" i="9"/>
  <c r="BZ49" i="9"/>
  <c r="CA49" i="9"/>
  <c r="CB49" i="9"/>
  <c r="CC49" i="9"/>
  <c r="CD49" i="9"/>
  <c r="CE49" i="9"/>
  <c r="CF49" i="9"/>
  <c r="CG49" i="9"/>
  <c r="BS37" i="9"/>
  <c r="BS38" i="9"/>
  <c r="BS39" i="9"/>
  <c r="BS40" i="9"/>
  <c r="BS41" i="9"/>
  <c r="BS42" i="9"/>
  <c r="BS43" i="9"/>
  <c r="BS44" i="9"/>
  <c r="BS45" i="9"/>
  <c r="BS46" i="9"/>
  <c r="BS47" i="9"/>
  <c r="BS48" i="9"/>
  <c r="BS49" i="9"/>
  <c r="BT61" i="9"/>
  <c r="BU61" i="9"/>
  <c r="BV61" i="9"/>
  <c r="BW61" i="9"/>
  <c r="BX61" i="9"/>
  <c r="BY61" i="9"/>
  <c r="BZ61" i="9"/>
  <c r="CA61" i="9"/>
  <c r="CB61" i="9"/>
  <c r="CC61" i="9"/>
  <c r="CD61" i="9"/>
  <c r="CE61" i="9"/>
  <c r="CF61" i="9"/>
  <c r="CG61" i="9"/>
  <c r="BT62" i="9"/>
  <c r="BU62" i="9"/>
  <c r="BV62" i="9"/>
  <c r="BW62" i="9"/>
  <c r="BX62" i="9"/>
  <c r="BY62" i="9"/>
  <c r="BZ62" i="9"/>
  <c r="CA62" i="9"/>
  <c r="CB62" i="9"/>
  <c r="CC62" i="9"/>
  <c r="CD62" i="9"/>
  <c r="CE62" i="9"/>
  <c r="CF62" i="9"/>
  <c r="CG62" i="9"/>
  <c r="BT63" i="9"/>
  <c r="BU63" i="9"/>
  <c r="BV63" i="9"/>
  <c r="BW63" i="9"/>
  <c r="BX63" i="9"/>
  <c r="BY63" i="9"/>
  <c r="BZ63" i="9"/>
  <c r="CA63" i="9"/>
  <c r="CB63" i="9"/>
  <c r="CC63" i="9"/>
  <c r="CD63" i="9"/>
  <c r="CE63" i="9"/>
  <c r="CF63" i="9"/>
  <c r="CG63" i="9"/>
  <c r="BT64" i="9"/>
  <c r="BU64" i="9"/>
  <c r="BV64" i="9"/>
  <c r="BW64" i="9"/>
  <c r="BX64" i="9"/>
  <c r="BY64" i="9"/>
  <c r="BZ64" i="9"/>
  <c r="CA64" i="9"/>
  <c r="CB64" i="9"/>
  <c r="CC64" i="9"/>
  <c r="CD64" i="9"/>
  <c r="CE64" i="9"/>
  <c r="CF64" i="9"/>
  <c r="CG64" i="9"/>
  <c r="BT65" i="9"/>
  <c r="BU65" i="9"/>
  <c r="BV65" i="9"/>
  <c r="BW65" i="9"/>
  <c r="BX65" i="9"/>
  <c r="BY65" i="9"/>
  <c r="BZ65" i="9"/>
  <c r="CA65" i="9"/>
  <c r="CB65" i="9"/>
  <c r="CC65" i="9"/>
  <c r="CD65" i="9"/>
  <c r="CE65" i="9"/>
  <c r="CF65" i="9"/>
  <c r="CG65" i="9"/>
  <c r="BT66" i="9"/>
  <c r="BU66" i="9"/>
  <c r="BV66" i="9"/>
  <c r="BW66" i="9"/>
  <c r="BX66" i="9"/>
  <c r="BY66" i="9"/>
  <c r="BZ66" i="9"/>
  <c r="CA66" i="9"/>
  <c r="CB66" i="9"/>
  <c r="CC66" i="9"/>
  <c r="CD66" i="9"/>
  <c r="CE66" i="9"/>
  <c r="CF66" i="9"/>
  <c r="CG66" i="9"/>
  <c r="BT67" i="9"/>
  <c r="BU67" i="9"/>
  <c r="BV67" i="9"/>
  <c r="BW67" i="9"/>
  <c r="BX67" i="9"/>
  <c r="BY67" i="9"/>
  <c r="BZ67" i="9"/>
  <c r="CA67" i="9"/>
  <c r="CB67" i="9"/>
  <c r="CC67" i="9"/>
  <c r="CD67" i="9"/>
  <c r="CE67" i="9"/>
  <c r="CF67" i="9"/>
  <c r="CG67" i="9"/>
  <c r="BT68" i="9"/>
  <c r="BU68" i="9"/>
  <c r="BV68" i="9"/>
  <c r="BW68" i="9"/>
  <c r="BX68" i="9"/>
  <c r="BY68" i="9"/>
  <c r="BZ68" i="9"/>
  <c r="CA68" i="9"/>
  <c r="CB68" i="9"/>
  <c r="CC68" i="9"/>
  <c r="CD68" i="9"/>
  <c r="CE68" i="9"/>
  <c r="CF68" i="9"/>
  <c r="CG68" i="9"/>
  <c r="BT69" i="9"/>
  <c r="BU69" i="9"/>
  <c r="BV69" i="9"/>
  <c r="BW69" i="9"/>
  <c r="BX69" i="9"/>
  <c r="BY69" i="9"/>
  <c r="BZ69" i="9"/>
  <c r="CA69" i="9"/>
  <c r="CB69" i="9"/>
  <c r="CC69" i="9"/>
  <c r="CD69" i="9"/>
  <c r="CE69" i="9"/>
  <c r="CF69" i="9"/>
  <c r="CG69" i="9"/>
  <c r="BT70" i="9"/>
  <c r="BU70" i="9"/>
  <c r="BV70" i="9"/>
  <c r="BW70" i="9"/>
  <c r="BX70" i="9"/>
  <c r="BY70" i="9"/>
  <c r="BZ70" i="9"/>
  <c r="CA70" i="9"/>
  <c r="CB70" i="9"/>
  <c r="CC70" i="9"/>
  <c r="CD70" i="9"/>
  <c r="CE70" i="9"/>
  <c r="CF70" i="9"/>
  <c r="CG70" i="9"/>
  <c r="BT71" i="9"/>
  <c r="BU71" i="9"/>
  <c r="BV71" i="9"/>
  <c r="BW71" i="9"/>
  <c r="BX71" i="9"/>
  <c r="BY71" i="9"/>
  <c r="BZ71" i="9"/>
  <c r="CA71" i="9"/>
  <c r="CB71" i="9"/>
  <c r="CC71" i="9"/>
  <c r="CD71" i="9"/>
  <c r="CE71" i="9"/>
  <c r="CF71" i="9"/>
  <c r="CG71" i="9"/>
  <c r="BT72" i="9"/>
  <c r="BU72" i="9"/>
  <c r="BV72" i="9"/>
  <c r="BW72" i="9"/>
  <c r="BX72" i="9"/>
  <c r="BY72" i="9"/>
  <c r="BZ72" i="9"/>
  <c r="CA72" i="9"/>
  <c r="CB72" i="9"/>
  <c r="CC72" i="9"/>
  <c r="CD72" i="9"/>
  <c r="CE72" i="9"/>
  <c r="CF72" i="9"/>
  <c r="CG72" i="9"/>
  <c r="BT73" i="9"/>
  <c r="BU73" i="9"/>
  <c r="BV73" i="9"/>
  <c r="BW73" i="9"/>
  <c r="BX73" i="9"/>
  <c r="BY73" i="9"/>
  <c r="BZ73" i="9"/>
  <c r="CA73" i="9"/>
  <c r="CB73" i="9"/>
  <c r="CC73" i="9"/>
  <c r="CD73" i="9"/>
  <c r="CE73" i="9"/>
  <c r="CF73" i="9"/>
  <c r="CG73" i="9"/>
  <c r="BT74" i="9"/>
  <c r="BU74" i="9"/>
  <c r="BV74" i="9"/>
  <c r="BW74" i="9"/>
  <c r="BX74" i="9"/>
  <c r="BY74" i="9"/>
  <c r="BZ74" i="9"/>
  <c r="CA74" i="9"/>
  <c r="CB74" i="9"/>
  <c r="CC74" i="9"/>
  <c r="CD74" i="9"/>
  <c r="CE74" i="9"/>
  <c r="CF74" i="9"/>
  <c r="CG74" i="9"/>
  <c r="BS62" i="9"/>
  <c r="BS63" i="9"/>
  <c r="BS64" i="9"/>
  <c r="BS65" i="9"/>
  <c r="BS66" i="9"/>
  <c r="BS67" i="9"/>
  <c r="BS68" i="9"/>
  <c r="BS69" i="9"/>
  <c r="BS70" i="9"/>
  <c r="BS71" i="9"/>
  <c r="BS72" i="9"/>
  <c r="BS73" i="9"/>
  <c r="BS74" i="9"/>
  <c r="BT86" i="9"/>
  <c r="BU86" i="9"/>
  <c r="BV86" i="9"/>
  <c r="BW86" i="9"/>
  <c r="BX86" i="9"/>
  <c r="BY86" i="9"/>
  <c r="BZ86" i="9"/>
  <c r="CA86" i="9"/>
  <c r="CB86" i="9"/>
  <c r="CC86" i="9"/>
  <c r="CD86" i="9"/>
  <c r="CE86" i="9"/>
  <c r="CF86" i="9"/>
  <c r="CG86" i="9"/>
  <c r="BT87" i="9"/>
  <c r="BU87" i="9"/>
  <c r="BV87" i="9"/>
  <c r="BW87" i="9"/>
  <c r="BX87" i="9"/>
  <c r="BY87" i="9"/>
  <c r="BZ87" i="9"/>
  <c r="CA87" i="9"/>
  <c r="CB87" i="9"/>
  <c r="CC87" i="9"/>
  <c r="CD87" i="9"/>
  <c r="CE87" i="9"/>
  <c r="CF87" i="9"/>
  <c r="CG87" i="9"/>
  <c r="BT88" i="9"/>
  <c r="BU88" i="9"/>
  <c r="BV88" i="9"/>
  <c r="BW88" i="9"/>
  <c r="BX88" i="9"/>
  <c r="BY88" i="9"/>
  <c r="BZ88" i="9"/>
  <c r="CA88" i="9"/>
  <c r="CB88" i="9"/>
  <c r="CC88" i="9"/>
  <c r="CD88" i="9"/>
  <c r="CE88" i="9"/>
  <c r="CF88" i="9"/>
  <c r="CG88" i="9"/>
  <c r="BT89" i="9"/>
  <c r="BU89" i="9"/>
  <c r="BV89" i="9"/>
  <c r="BW89" i="9"/>
  <c r="BX89" i="9"/>
  <c r="BY89" i="9"/>
  <c r="BZ89" i="9"/>
  <c r="CA89" i="9"/>
  <c r="CB89" i="9"/>
  <c r="CC89" i="9"/>
  <c r="CD89" i="9"/>
  <c r="CE89" i="9"/>
  <c r="CF89" i="9"/>
  <c r="CG89" i="9"/>
  <c r="BT90" i="9"/>
  <c r="BU90" i="9"/>
  <c r="BV90" i="9"/>
  <c r="BW90" i="9"/>
  <c r="BX90" i="9"/>
  <c r="BY90" i="9"/>
  <c r="BZ90" i="9"/>
  <c r="CA90" i="9"/>
  <c r="CB90" i="9"/>
  <c r="CC90" i="9"/>
  <c r="CD90" i="9"/>
  <c r="CE90" i="9"/>
  <c r="CF90" i="9"/>
  <c r="CG90" i="9"/>
  <c r="BT91" i="9"/>
  <c r="BU91" i="9"/>
  <c r="BV91" i="9"/>
  <c r="BW91" i="9"/>
  <c r="BX91" i="9"/>
  <c r="BY91" i="9"/>
  <c r="BZ91" i="9"/>
  <c r="CA91" i="9"/>
  <c r="CB91" i="9"/>
  <c r="CC91" i="9"/>
  <c r="CD91" i="9"/>
  <c r="CE91" i="9"/>
  <c r="CF91" i="9"/>
  <c r="CG91" i="9"/>
  <c r="BT92" i="9"/>
  <c r="BU92" i="9"/>
  <c r="BV92" i="9"/>
  <c r="BW92" i="9"/>
  <c r="BX92" i="9"/>
  <c r="BY92" i="9"/>
  <c r="BZ92" i="9"/>
  <c r="CA92" i="9"/>
  <c r="CB92" i="9"/>
  <c r="CC92" i="9"/>
  <c r="CD92" i="9"/>
  <c r="CE92" i="9"/>
  <c r="CF92" i="9"/>
  <c r="CG92" i="9"/>
  <c r="BT93" i="9"/>
  <c r="BU93" i="9"/>
  <c r="BV93" i="9"/>
  <c r="BW93" i="9"/>
  <c r="BX93" i="9"/>
  <c r="BY93" i="9"/>
  <c r="BZ93" i="9"/>
  <c r="CA93" i="9"/>
  <c r="CB93" i="9"/>
  <c r="CC93" i="9"/>
  <c r="CD93" i="9"/>
  <c r="CE93" i="9"/>
  <c r="CF93" i="9"/>
  <c r="CG93" i="9"/>
  <c r="BT94" i="9"/>
  <c r="BU94" i="9"/>
  <c r="BV94" i="9"/>
  <c r="BW94" i="9"/>
  <c r="BX94" i="9"/>
  <c r="BY94" i="9"/>
  <c r="BZ94" i="9"/>
  <c r="CA94" i="9"/>
  <c r="CB94" i="9"/>
  <c r="CC94" i="9"/>
  <c r="CD94" i="9"/>
  <c r="CE94" i="9"/>
  <c r="CF94" i="9"/>
  <c r="CG94" i="9"/>
  <c r="BT95" i="9"/>
  <c r="BU95" i="9"/>
  <c r="BV95" i="9"/>
  <c r="BW95" i="9"/>
  <c r="BX95" i="9"/>
  <c r="BY95" i="9"/>
  <c r="BZ95" i="9"/>
  <c r="CA95" i="9"/>
  <c r="CB95" i="9"/>
  <c r="CC95" i="9"/>
  <c r="CD95" i="9"/>
  <c r="CE95" i="9"/>
  <c r="CF95" i="9"/>
  <c r="CG95" i="9"/>
  <c r="BT96" i="9"/>
  <c r="BU96" i="9"/>
  <c r="BV96" i="9"/>
  <c r="BW96" i="9"/>
  <c r="BX96" i="9"/>
  <c r="BY96" i="9"/>
  <c r="BZ96" i="9"/>
  <c r="CA96" i="9"/>
  <c r="CB96" i="9"/>
  <c r="CC96" i="9"/>
  <c r="CD96" i="9"/>
  <c r="CE96" i="9"/>
  <c r="CF96" i="9"/>
  <c r="CG96" i="9"/>
  <c r="BT97" i="9"/>
  <c r="BU97" i="9"/>
  <c r="BV97" i="9"/>
  <c r="BW97" i="9"/>
  <c r="BX97" i="9"/>
  <c r="BY97" i="9"/>
  <c r="BZ97" i="9"/>
  <c r="CA97" i="9"/>
  <c r="CB97" i="9"/>
  <c r="CC97" i="9"/>
  <c r="CD97" i="9"/>
  <c r="CE97" i="9"/>
  <c r="CF97" i="9"/>
  <c r="CG97" i="9"/>
  <c r="BT98" i="9"/>
  <c r="BU98" i="9"/>
  <c r="BV98" i="9"/>
  <c r="BW98" i="9"/>
  <c r="BX98" i="9"/>
  <c r="BY98" i="9"/>
  <c r="BZ98" i="9"/>
  <c r="CA98" i="9"/>
  <c r="CB98" i="9"/>
  <c r="CC98" i="9"/>
  <c r="CD98" i="9"/>
  <c r="CE98" i="9"/>
  <c r="CF98" i="9"/>
  <c r="CG98" i="9"/>
  <c r="BT99" i="9"/>
  <c r="BU99" i="9"/>
  <c r="BV99" i="9"/>
  <c r="BW99" i="9"/>
  <c r="BX99" i="9"/>
  <c r="BY99" i="9"/>
  <c r="BZ99" i="9"/>
  <c r="CA99" i="9"/>
  <c r="CB99" i="9"/>
  <c r="CC99" i="9"/>
  <c r="CD99" i="9"/>
  <c r="CE99" i="9"/>
  <c r="CF99" i="9"/>
  <c r="CG99" i="9"/>
  <c r="BS87" i="9"/>
  <c r="BS88" i="9"/>
  <c r="BS89" i="9"/>
  <c r="BS90" i="9"/>
  <c r="BS91" i="9"/>
  <c r="BS92" i="9"/>
  <c r="BS93" i="9"/>
  <c r="BS94" i="9"/>
  <c r="BS95" i="9"/>
  <c r="BS96" i="9"/>
  <c r="BS97" i="9"/>
  <c r="BS98" i="9"/>
  <c r="BS99" i="9"/>
  <c r="BS86" i="9"/>
  <c r="BS5" i="9"/>
  <c r="BT111" i="9"/>
  <c r="BU111" i="9"/>
  <c r="BV111" i="9"/>
  <c r="BW111" i="9"/>
  <c r="BX111" i="9"/>
  <c r="BY111" i="9"/>
  <c r="BZ111" i="9"/>
  <c r="CA111" i="9"/>
  <c r="CB111" i="9"/>
  <c r="CC111" i="9"/>
  <c r="CD111" i="9"/>
  <c r="CE111" i="9"/>
  <c r="CF111" i="9"/>
  <c r="CG111" i="9"/>
  <c r="BT112" i="9"/>
  <c r="BU112" i="9"/>
  <c r="BV112" i="9"/>
  <c r="BW112" i="9"/>
  <c r="BX112" i="9"/>
  <c r="BY112" i="9"/>
  <c r="BZ112" i="9"/>
  <c r="CA112" i="9"/>
  <c r="CB112" i="9"/>
  <c r="CC112" i="9"/>
  <c r="CD112" i="9"/>
  <c r="CE112" i="9"/>
  <c r="CF112" i="9"/>
  <c r="CG112" i="9"/>
  <c r="BT113" i="9"/>
  <c r="BU113" i="9"/>
  <c r="BV113" i="9"/>
  <c r="BW113" i="9"/>
  <c r="BX113" i="9"/>
  <c r="BY113" i="9"/>
  <c r="BZ113" i="9"/>
  <c r="CA113" i="9"/>
  <c r="CB113" i="9"/>
  <c r="CC113" i="9"/>
  <c r="CD113" i="9"/>
  <c r="CE113" i="9"/>
  <c r="CF113" i="9"/>
  <c r="CG113" i="9"/>
  <c r="BT114" i="9"/>
  <c r="BU114" i="9"/>
  <c r="BV114" i="9"/>
  <c r="BW114" i="9"/>
  <c r="BX114" i="9"/>
  <c r="BY114" i="9"/>
  <c r="BZ114" i="9"/>
  <c r="CA114" i="9"/>
  <c r="CB114" i="9"/>
  <c r="CC114" i="9"/>
  <c r="CD114" i="9"/>
  <c r="CE114" i="9"/>
  <c r="CF114" i="9"/>
  <c r="CG114" i="9"/>
  <c r="BT115" i="9"/>
  <c r="BU115" i="9"/>
  <c r="BV115" i="9"/>
  <c r="BW115" i="9"/>
  <c r="BX115" i="9"/>
  <c r="BY115" i="9"/>
  <c r="BZ115" i="9"/>
  <c r="CA115" i="9"/>
  <c r="CB115" i="9"/>
  <c r="CC115" i="9"/>
  <c r="CD115" i="9"/>
  <c r="CE115" i="9"/>
  <c r="CF115" i="9"/>
  <c r="CG115" i="9"/>
  <c r="BT116" i="9"/>
  <c r="BU116" i="9"/>
  <c r="BV116" i="9"/>
  <c r="BW116" i="9"/>
  <c r="BX116" i="9"/>
  <c r="BY116" i="9"/>
  <c r="BZ116" i="9"/>
  <c r="CA116" i="9"/>
  <c r="CB116" i="9"/>
  <c r="CC116" i="9"/>
  <c r="CD116" i="9"/>
  <c r="CE116" i="9"/>
  <c r="CF116" i="9"/>
  <c r="CG116" i="9"/>
  <c r="BT117" i="9"/>
  <c r="BU117" i="9"/>
  <c r="BV117" i="9"/>
  <c r="BW117" i="9"/>
  <c r="BX117" i="9"/>
  <c r="BY117" i="9"/>
  <c r="BZ117" i="9"/>
  <c r="CA117" i="9"/>
  <c r="CB117" i="9"/>
  <c r="CC117" i="9"/>
  <c r="CD117" i="9"/>
  <c r="CE117" i="9"/>
  <c r="CF117" i="9"/>
  <c r="CG117" i="9"/>
  <c r="BT118" i="9"/>
  <c r="BU118" i="9"/>
  <c r="BV118" i="9"/>
  <c r="BW118" i="9"/>
  <c r="BX118" i="9"/>
  <c r="BY118" i="9"/>
  <c r="BZ118" i="9"/>
  <c r="CA118" i="9"/>
  <c r="CB118" i="9"/>
  <c r="CC118" i="9"/>
  <c r="CD118" i="9"/>
  <c r="CE118" i="9"/>
  <c r="CF118" i="9"/>
  <c r="CG118" i="9"/>
  <c r="BT119" i="9"/>
  <c r="BU119" i="9"/>
  <c r="BV119" i="9"/>
  <c r="BW119" i="9"/>
  <c r="BX119" i="9"/>
  <c r="BY119" i="9"/>
  <c r="BZ119" i="9"/>
  <c r="CA119" i="9"/>
  <c r="CB119" i="9"/>
  <c r="CC119" i="9"/>
  <c r="CD119" i="9"/>
  <c r="CE119" i="9"/>
  <c r="CF119" i="9"/>
  <c r="CG119" i="9"/>
  <c r="BT120" i="9"/>
  <c r="BU120" i="9"/>
  <c r="BV120" i="9"/>
  <c r="BW120" i="9"/>
  <c r="BX120" i="9"/>
  <c r="BY120" i="9"/>
  <c r="BZ120" i="9"/>
  <c r="CA120" i="9"/>
  <c r="CB120" i="9"/>
  <c r="CC120" i="9"/>
  <c r="CD120" i="9"/>
  <c r="CE120" i="9"/>
  <c r="CF120" i="9"/>
  <c r="CG120" i="9"/>
  <c r="BT121" i="9"/>
  <c r="BU121" i="9"/>
  <c r="BV121" i="9"/>
  <c r="BW121" i="9"/>
  <c r="BX121" i="9"/>
  <c r="BY121" i="9"/>
  <c r="BZ121" i="9"/>
  <c r="CA121" i="9"/>
  <c r="CB121" i="9"/>
  <c r="CC121" i="9"/>
  <c r="CD121" i="9"/>
  <c r="CE121" i="9"/>
  <c r="CF121" i="9"/>
  <c r="CG121" i="9"/>
  <c r="BT122" i="9"/>
  <c r="BU122" i="9"/>
  <c r="BV122" i="9"/>
  <c r="BW122" i="9"/>
  <c r="BX122" i="9"/>
  <c r="BY122" i="9"/>
  <c r="BZ122" i="9"/>
  <c r="CA122" i="9"/>
  <c r="CB122" i="9"/>
  <c r="CC122" i="9"/>
  <c r="CD122" i="9"/>
  <c r="CE122" i="9"/>
  <c r="CF122" i="9"/>
  <c r="CG122" i="9"/>
  <c r="BT123" i="9"/>
  <c r="BU123" i="9"/>
  <c r="BV123" i="9"/>
  <c r="BW123" i="9"/>
  <c r="BX123" i="9"/>
  <c r="BY123" i="9"/>
  <c r="BZ123" i="9"/>
  <c r="CA123" i="9"/>
  <c r="CB123" i="9"/>
  <c r="CC123" i="9"/>
  <c r="CD123" i="9"/>
  <c r="CE123" i="9"/>
  <c r="CF123" i="9"/>
  <c r="CG123" i="9"/>
  <c r="BT124" i="9"/>
  <c r="BU124" i="9"/>
  <c r="BV124" i="9"/>
  <c r="BW124" i="9"/>
  <c r="BX124" i="9"/>
  <c r="BY124" i="9"/>
  <c r="BZ124" i="9"/>
  <c r="CA124" i="9"/>
  <c r="CB124" i="9"/>
  <c r="CC124" i="9"/>
  <c r="CD124" i="9"/>
  <c r="CE124" i="9"/>
  <c r="CF124" i="9"/>
  <c r="CG124" i="9"/>
  <c r="BS112" i="9"/>
  <c r="BS113" i="9"/>
  <c r="BS114" i="9"/>
  <c r="BS115" i="9"/>
  <c r="BS116" i="9"/>
  <c r="BS117" i="9"/>
  <c r="BS118" i="9"/>
  <c r="BS119" i="9"/>
  <c r="BS120" i="9"/>
  <c r="BS121" i="9"/>
  <c r="BS122" i="9"/>
  <c r="BS123" i="9"/>
  <c r="BS124" i="9"/>
  <c r="BS111" i="9"/>
  <c r="BS6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BT18" i="9"/>
  <c r="BU18" i="9"/>
  <c r="BV18" i="9"/>
  <c r="BW18" i="9"/>
  <c r="BX18" i="9"/>
  <c r="BY18" i="9"/>
  <c r="BZ18" i="9"/>
  <c r="CA18" i="9"/>
  <c r="CB18" i="9"/>
  <c r="CC18" i="9"/>
  <c r="CD18" i="9"/>
  <c r="CE18" i="9"/>
  <c r="CF18" i="9"/>
  <c r="CG18" i="9"/>
  <c r="BT19" i="9"/>
  <c r="BU19" i="9"/>
  <c r="BV19" i="9"/>
  <c r="BW19" i="9"/>
  <c r="BX19" i="9"/>
  <c r="BY19" i="9"/>
  <c r="BZ19" i="9"/>
  <c r="CA19" i="9"/>
  <c r="CB19" i="9"/>
  <c r="CC19" i="9"/>
  <c r="CD19" i="9"/>
  <c r="CE19" i="9"/>
  <c r="CF19" i="9"/>
  <c r="CG19" i="9"/>
  <c r="BT20" i="9"/>
  <c r="BU20" i="9"/>
  <c r="BV20" i="9"/>
  <c r="BW20" i="9"/>
  <c r="BX20" i="9"/>
  <c r="BY20" i="9"/>
  <c r="BZ20" i="9"/>
  <c r="CA20" i="9"/>
  <c r="CB20" i="9"/>
  <c r="CC20" i="9"/>
  <c r="CD20" i="9"/>
  <c r="CE20" i="9"/>
  <c r="CF20" i="9"/>
  <c r="CG20" i="9"/>
  <c r="BT21" i="9"/>
  <c r="BU21" i="9"/>
  <c r="BV21" i="9"/>
  <c r="BW21" i="9"/>
  <c r="BX21" i="9"/>
  <c r="BY21" i="9"/>
  <c r="BZ21" i="9"/>
  <c r="CA21" i="9"/>
  <c r="CB21" i="9"/>
  <c r="CC21" i="9"/>
  <c r="CD21" i="9"/>
  <c r="CE21" i="9"/>
  <c r="CF21" i="9"/>
  <c r="CG21" i="9"/>
  <c r="BT22" i="9"/>
  <c r="BU22" i="9"/>
  <c r="BV22" i="9"/>
  <c r="BW22" i="9"/>
  <c r="BX22" i="9"/>
  <c r="BY22" i="9"/>
  <c r="BZ22" i="9"/>
  <c r="CA22" i="9"/>
  <c r="CB22" i="9"/>
  <c r="CC22" i="9"/>
  <c r="CD22" i="9"/>
  <c r="CE22" i="9"/>
  <c r="CF22" i="9"/>
  <c r="CG22" i="9"/>
  <c r="BT23" i="9"/>
  <c r="BU23" i="9"/>
  <c r="BV23" i="9"/>
  <c r="BW23" i="9"/>
  <c r="BX23" i="9"/>
  <c r="BY23" i="9"/>
  <c r="BZ23" i="9"/>
  <c r="CA23" i="9"/>
  <c r="CB23" i="9"/>
  <c r="CC23" i="9"/>
  <c r="CD23" i="9"/>
  <c r="CE23" i="9"/>
  <c r="CF23" i="9"/>
  <c r="CG23" i="9"/>
  <c r="BT24" i="9"/>
  <c r="BU24" i="9"/>
  <c r="BV24" i="9"/>
  <c r="BW24" i="9"/>
  <c r="BX24" i="9"/>
  <c r="BY24" i="9"/>
  <c r="BZ24" i="9"/>
  <c r="CA24" i="9"/>
  <c r="CB24" i="9"/>
  <c r="CC24" i="9"/>
  <c r="CD24" i="9"/>
  <c r="CE24" i="9"/>
  <c r="CF24" i="9"/>
  <c r="CG24" i="9"/>
  <c r="BS12" i="9"/>
  <c r="BS13" i="9"/>
  <c r="BS14" i="9"/>
  <c r="BS15" i="9"/>
  <c r="BS16" i="9"/>
  <c r="BS17" i="9"/>
  <c r="BS18" i="9"/>
  <c r="BS19" i="9"/>
  <c r="BS20" i="9"/>
  <c r="BS21" i="9"/>
  <c r="BS22" i="9"/>
  <c r="BS23" i="9"/>
  <c r="BS24" i="9"/>
  <c r="BS61" i="9"/>
  <c r="BS4" i="9"/>
  <c r="BS36" i="9"/>
  <c r="BS3" i="9"/>
  <c r="BS11" i="9"/>
  <c r="BS2" i="9"/>
  <c r="BU111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BU112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BU113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BU114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BU115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BU116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BU117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BU118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BU119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BU120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BU121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BU122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BU123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BU124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BT112" i="3"/>
  <c r="BT113" i="3"/>
  <c r="BT114" i="3"/>
  <c r="BT115" i="3"/>
  <c r="BT116" i="3"/>
  <c r="BT117" i="3"/>
  <c r="BT118" i="3"/>
  <c r="BT119" i="3"/>
  <c r="BT120" i="3"/>
  <c r="BT121" i="3"/>
  <c r="BT122" i="3"/>
  <c r="BT123" i="3"/>
  <c r="BT124" i="3"/>
  <c r="BT111" i="3"/>
  <c r="BT6" i="3"/>
  <c r="BU86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BU87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BU88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BU89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BU90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BU91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BU92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BU93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BU94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BU95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BU96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BU97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BU98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BU99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BT87" i="3"/>
  <c r="BT88" i="3"/>
  <c r="BT89" i="3"/>
  <c r="BT90" i="3"/>
  <c r="BT91" i="3"/>
  <c r="BT92" i="3"/>
  <c r="BT93" i="3"/>
  <c r="BT94" i="3"/>
  <c r="BT95" i="3"/>
  <c r="BT96" i="3"/>
  <c r="BT97" i="3"/>
  <c r="BT98" i="3"/>
  <c r="BT99" i="3"/>
  <c r="BT86" i="3"/>
  <c r="BT5" i="3"/>
  <c r="BU61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BU62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BU63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BU64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BU65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BU66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BU67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BU68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BU69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BU70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BU71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BU72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BU73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BU74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BT62" i="3"/>
  <c r="BT63" i="3"/>
  <c r="BT64" i="3"/>
  <c r="BT65" i="3"/>
  <c r="BT66" i="3"/>
  <c r="BT67" i="3"/>
  <c r="BT68" i="3"/>
  <c r="BT69" i="3"/>
  <c r="BT70" i="3"/>
  <c r="BT71" i="3"/>
  <c r="BT72" i="3"/>
  <c r="BT73" i="3"/>
  <c r="BT74" i="3"/>
  <c r="BT61" i="3"/>
  <c r="BT4" i="3"/>
  <c r="BU36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BU37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BU38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BU39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BU40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BU41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BU42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BU43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BU44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BU45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BU46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BU47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BU48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BU49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BT37" i="3"/>
  <c r="BT38" i="3"/>
  <c r="BT39" i="3"/>
  <c r="BT40" i="3"/>
  <c r="BT41" i="3"/>
  <c r="BT42" i="3"/>
  <c r="BT43" i="3"/>
  <c r="BT44" i="3"/>
  <c r="BT45" i="3"/>
  <c r="BT46" i="3"/>
  <c r="BT47" i="3"/>
  <c r="BT48" i="3"/>
  <c r="BT49" i="3"/>
  <c r="BT36" i="3"/>
  <c r="BT3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BU17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BU19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BT12" i="3"/>
  <c r="BT13" i="3"/>
  <c r="BT14" i="3"/>
  <c r="BT15" i="3"/>
  <c r="BT16" i="3"/>
  <c r="BT17" i="3"/>
  <c r="BT18" i="3"/>
  <c r="BT19" i="3"/>
  <c r="BT20" i="3"/>
  <c r="BT21" i="3"/>
  <c r="BT22" i="3"/>
  <c r="BT23" i="3"/>
  <c r="BT24" i="3"/>
  <c r="BT11" i="3"/>
  <c r="BT2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C112" i="3"/>
  <c r="BC113" i="3"/>
  <c r="BC114" i="3"/>
  <c r="BC115" i="3"/>
  <c r="BC116" i="3"/>
  <c r="BC117" i="3"/>
  <c r="BC118" i="3"/>
  <c r="BC119" i="3"/>
  <c r="BC120" i="3"/>
  <c r="BC121" i="3"/>
  <c r="BC122" i="3"/>
  <c r="BC123" i="3"/>
  <c r="BC124" i="3"/>
  <c r="BC111" i="3"/>
  <c r="BC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C87" i="3"/>
  <c r="BC88" i="3"/>
  <c r="BC89" i="3"/>
  <c r="BC90" i="3"/>
  <c r="BC91" i="3"/>
  <c r="BC92" i="3"/>
  <c r="BC93" i="3"/>
  <c r="BC94" i="3"/>
  <c r="BC95" i="3"/>
  <c r="BC96" i="3"/>
  <c r="BC97" i="3"/>
  <c r="BC98" i="3"/>
  <c r="BC99" i="3"/>
  <c r="BC86" i="3"/>
  <c r="BC5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C74" i="3"/>
  <c r="BC62" i="3"/>
  <c r="BC63" i="3"/>
  <c r="BC64" i="3"/>
  <c r="BC65" i="3"/>
  <c r="BC66" i="3"/>
  <c r="BC67" i="3"/>
  <c r="BC68" i="3"/>
  <c r="BC69" i="3"/>
  <c r="BC70" i="3"/>
  <c r="BC71" i="3"/>
  <c r="BC72" i="3"/>
  <c r="BC73" i="3"/>
  <c r="BC61" i="3"/>
  <c r="BC4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C37" i="3"/>
  <c r="BC38" i="3"/>
  <c r="BC39" i="3"/>
  <c r="BC40" i="3"/>
  <c r="BC41" i="3"/>
  <c r="BC42" i="3"/>
  <c r="BC43" i="3"/>
  <c r="BC44" i="3"/>
  <c r="BC45" i="3"/>
  <c r="BC46" i="3"/>
  <c r="BC47" i="3"/>
  <c r="BC48" i="3"/>
  <c r="BC49" i="3"/>
  <c r="BC36" i="3"/>
  <c r="BC3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C12" i="3"/>
  <c r="BC13" i="3"/>
  <c r="BC14" i="3"/>
  <c r="BC15" i="3"/>
  <c r="BC16" i="3"/>
  <c r="BC17" i="3"/>
  <c r="BC18" i="3"/>
  <c r="BC19" i="3"/>
  <c r="BC20" i="3"/>
  <c r="BC21" i="3"/>
  <c r="BC22" i="3"/>
  <c r="BC23" i="3"/>
  <c r="BC24" i="3"/>
  <c r="BC11" i="3"/>
  <c r="BC2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86" i="3"/>
  <c r="AL5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11" i="3"/>
  <c r="AL6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61" i="3"/>
  <c r="AL4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36" i="3"/>
  <c r="AL3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11" i="3"/>
  <c r="AL2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11" i="3"/>
  <c r="U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86" i="3"/>
  <c r="U5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61" i="3"/>
  <c r="U4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36" i="3"/>
  <c r="U3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11" i="3"/>
  <c r="U2" i="3"/>
  <c r="G11" i="3" l="1"/>
  <c r="H11" i="3"/>
  <c r="I11" i="3"/>
  <c r="J11" i="3"/>
  <c r="K11" i="3"/>
  <c r="L11" i="3"/>
  <c r="M11" i="3"/>
  <c r="N11" i="3"/>
  <c r="O11" i="3"/>
  <c r="P11" i="3"/>
  <c r="Q11" i="3"/>
  <c r="G12" i="3"/>
  <c r="H12" i="3"/>
  <c r="I12" i="3"/>
  <c r="J12" i="3"/>
  <c r="K12" i="3"/>
  <c r="L12" i="3"/>
  <c r="M12" i="3"/>
  <c r="N12" i="3"/>
  <c r="O12" i="3"/>
  <c r="P12" i="3"/>
  <c r="Q12" i="3"/>
  <c r="G13" i="3"/>
  <c r="H13" i="3"/>
  <c r="I13" i="3"/>
  <c r="J13" i="3"/>
  <c r="K13" i="3"/>
  <c r="L13" i="3"/>
  <c r="M13" i="3"/>
  <c r="N13" i="3"/>
  <c r="O13" i="3"/>
  <c r="P13" i="3"/>
  <c r="Q13" i="3"/>
  <c r="G14" i="3"/>
  <c r="H14" i="3"/>
  <c r="I14" i="3"/>
  <c r="J14" i="3"/>
  <c r="K14" i="3"/>
  <c r="L14" i="3"/>
  <c r="M14" i="3"/>
  <c r="N14" i="3"/>
  <c r="O14" i="3"/>
  <c r="P14" i="3"/>
  <c r="Q14" i="3"/>
  <c r="G15" i="3"/>
  <c r="H15" i="3"/>
  <c r="I15" i="3"/>
  <c r="J15" i="3"/>
  <c r="K15" i="3"/>
  <c r="L15" i="3"/>
  <c r="M15" i="3"/>
  <c r="N15" i="3"/>
  <c r="O15" i="3"/>
  <c r="P15" i="3"/>
  <c r="Q15" i="3"/>
  <c r="G16" i="3"/>
  <c r="H16" i="3"/>
  <c r="I16" i="3"/>
  <c r="J16" i="3"/>
  <c r="K16" i="3"/>
  <c r="L16" i="3"/>
  <c r="M16" i="3"/>
  <c r="N16" i="3"/>
  <c r="O16" i="3"/>
  <c r="P16" i="3"/>
  <c r="Q16" i="3"/>
  <c r="G17" i="3"/>
  <c r="H17" i="3"/>
  <c r="I17" i="3"/>
  <c r="J17" i="3"/>
  <c r="K17" i="3"/>
  <c r="L17" i="3"/>
  <c r="M17" i="3"/>
  <c r="N17" i="3"/>
  <c r="O17" i="3"/>
  <c r="P17" i="3"/>
  <c r="Q17" i="3"/>
  <c r="G18" i="3"/>
  <c r="H18" i="3"/>
  <c r="I18" i="3"/>
  <c r="J18" i="3"/>
  <c r="K18" i="3"/>
  <c r="L18" i="3"/>
  <c r="M18" i="3"/>
  <c r="N18" i="3"/>
  <c r="O18" i="3"/>
  <c r="P18" i="3"/>
  <c r="Q18" i="3"/>
  <c r="G19" i="3"/>
  <c r="H19" i="3"/>
  <c r="I19" i="3"/>
  <c r="J19" i="3"/>
  <c r="K19" i="3"/>
  <c r="L19" i="3"/>
  <c r="M19" i="3"/>
  <c r="N19" i="3"/>
  <c r="O19" i="3"/>
  <c r="P19" i="3"/>
  <c r="Q19" i="3"/>
  <c r="G20" i="3"/>
  <c r="H20" i="3"/>
  <c r="I20" i="3"/>
  <c r="J20" i="3"/>
  <c r="K20" i="3"/>
  <c r="L20" i="3"/>
  <c r="M20" i="3"/>
  <c r="N20" i="3"/>
  <c r="O20" i="3"/>
  <c r="P20" i="3"/>
  <c r="Q20" i="3"/>
  <c r="G21" i="3"/>
  <c r="H21" i="3"/>
  <c r="I21" i="3"/>
  <c r="J21" i="3"/>
  <c r="K21" i="3"/>
  <c r="L21" i="3"/>
  <c r="M21" i="3"/>
  <c r="N21" i="3"/>
  <c r="O21" i="3"/>
  <c r="P21" i="3"/>
  <c r="Q21" i="3"/>
  <c r="G22" i="3"/>
  <c r="H22" i="3"/>
  <c r="I22" i="3"/>
  <c r="J22" i="3"/>
  <c r="K22" i="3"/>
  <c r="L22" i="3"/>
  <c r="M22" i="3"/>
  <c r="N22" i="3"/>
  <c r="O22" i="3"/>
  <c r="P22" i="3"/>
  <c r="Q22" i="3"/>
  <c r="G23" i="3"/>
  <c r="H23" i="3"/>
  <c r="I23" i="3"/>
  <c r="J23" i="3"/>
  <c r="K23" i="3"/>
  <c r="L23" i="3"/>
  <c r="M23" i="3"/>
  <c r="N23" i="3"/>
  <c r="O23" i="3"/>
  <c r="P23" i="3"/>
  <c r="Q23" i="3"/>
  <c r="G24" i="3"/>
  <c r="H24" i="3"/>
  <c r="I24" i="3"/>
  <c r="J24" i="3"/>
  <c r="K24" i="3"/>
  <c r="L24" i="3"/>
  <c r="M24" i="3"/>
  <c r="N24" i="3"/>
  <c r="O24" i="3"/>
  <c r="P24" i="3"/>
  <c r="Q24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11" i="3"/>
  <c r="C13" i="3" l="1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D61" i="3"/>
  <c r="D12" i="3" l="1"/>
  <c r="D13" i="3"/>
  <c r="D14" i="3"/>
  <c r="D15" i="3"/>
  <c r="D16" i="3"/>
  <c r="D17" i="3"/>
  <c r="D18" i="3"/>
  <c r="D19" i="3"/>
  <c r="D20" i="3"/>
  <c r="D21" i="3"/>
  <c r="D22" i="3"/>
  <c r="D23" i="3"/>
  <c r="D24" i="3"/>
  <c r="D11" i="3"/>
  <c r="C112" i="9"/>
  <c r="D112" i="9"/>
  <c r="E112" i="9"/>
  <c r="F112" i="9"/>
  <c r="G112" i="9"/>
  <c r="H112" i="9"/>
  <c r="I112" i="9"/>
  <c r="J112" i="9"/>
  <c r="K112" i="9"/>
  <c r="L112" i="9"/>
  <c r="M112" i="9"/>
  <c r="N112" i="9"/>
  <c r="O112" i="9"/>
  <c r="P112" i="9"/>
  <c r="Q112" i="9"/>
  <c r="C113" i="9"/>
  <c r="D113" i="9"/>
  <c r="E113" i="9"/>
  <c r="F113" i="9"/>
  <c r="G113" i="9"/>
  <c r="H113" i="9"/>
  <c r="I113" i="9"/>
  <c r="J113" i="9"/>
  <c r="K113" i="9"/>
  <c r="L113" i="9"/>
  <c r="M113" i="9"/>
  <c r="N113" i="9"/>
  <c r="O113" i="9"/>
  <c r="P113" i="9"/>
  <c r="Q113" i="9"/>
  <c r="C114" i="9"/>
  <c r="D114" i="9"/>
  <c r="E114" i="9"/>
  <c r="F114" i="9"/>
  <c r="G114" i="9"/>
  <c r="H114" i="9"/>
  <c r="I114" i="9"/>
  <c r="J114" i="9"/>
  <c r="K114" i="9"/>
  <c r="L114" i="9"/>
  <c r="M114" i="9"/>
  <c r="N114" i="9"/>
  <c r="O114" i="9"/>
  <c r="P114" i="9"/>
  <c r="Q114" i="9"/>
  <c r="C115" i="9"/>
  <c r="D115" i="9"/>
  <c r="E115" i="9"/>
  <c r="F115" i="9"/>
  <c r="Y164" i="9" s="1"/>
  <c r="G115" i="9"/>
  <c r="H115" i="9"/>
  <c r="I115" i="9"/>
  <c r="J115" i="9"/>
  <c r="K115" i="9"/>
  <c r="L115" i="9"/>
  <c r="M115" i="9"/>
  <c r="N115" i="9"/>
  <c r="O115" i="9"/>
  <c r="P115" i="9"/>
  <c r="Q115" i="9"/>
  <c r="C116" i="9"/>
  <c r="D116" i="9"/>
  <c r="E116" i="9"/>
  <c r="F116" i="9"/>
  <c r="G116" i="9"/>
  <c r="H116" i="9"/>
  <c r="I116" i="9"/>
  <c r="J116" i="9"/>
  <c r="K116" i="9"/>
  <c r="L116" i="9"/>
  <c r="M116" i="9"/>
  <c r="N116" i="9"/>
  <c r="O116" i="9"/>
  <c r="P116" i="9"/>
  <c r="Q116" i="9"/>
  <c r="C117" i="9"/>
  <c r="D117" i="9"/>
  <c r="E117" i="9"/>
  <c r="F117" i="9"/>
  <c r="Y165" i="9" s="1"/>
  <c r="G117" i="9"/>
  <c r="H117" i="9"/>
  <c r="I117" i="9"/>
  <c r="J117" i="9"/>
  <c r="K117" i="9"/>
  <c r="L117" i="9"/>
  <c r="M117" i="9"/>
  <c r="N117" i="9"/>
  <c r="O117" i="9"/>
  <c r="P117" i="9"/>
  <c r="Q117" i="9"/>
  <c r="C118" i="9"/>
  <c r="D118" i="9"/>
  <c r="E118" i="9"/>
  <c r="F118" i="9"/>
  <c r="G118" i="9"/>
  <c r="H118" i="9"/>
  <c r="I118" i="9"/>
  <c r="J118" i="9"/>
  <c r="K118" i="9"/>
  <c r="L118" i="9"/>
  <c r="M118" i="9"/>
  <c r="N118" i="9"/>
  <c r="O118" i="9"/>
  <c r="P118" i="9"/>
  <c r="Q118" i="9"/>
  <c r="C119" i="9"/>
  <c r="D119" i="9"/>
  <c r="E119" i="9"/>
  <c r="F119" i="9"/>
  <c r="Y162" i="9" s="1"/>
  <c r="G119" i="9"/>
  <c r="H119" i="9"/>
  <c r="I119" i="9"/>
  <c r="J119" i="9"/>
  <c r="K119" i="9"/>
  <c r="L119" i="9"/>
  <c r="M119" i="9"/>
  <c r="N119" i="9"/>
  <c r="O119" i="9"/>
  <c r="P119" i="9"/>
  <c r="Q119" i="9"/>
  <c r="C120" i="9"/>
  <c r="D120" i="9"/>
  <c r="E120" i="9"/>
  <c r="F120" i="9"/>
  <c r="G120" i="9"/>
  <c r="H120" i="9"/>
  <c r="I120" i="9"/>
  <c r="J120" i="9"/>
  <c r="K120" i="9"/>
  <c r="L120" i="9"/>
  <c r="M120" i="9"/>
  <c r="N120" i="9"/>
  <c r="O120" i="9"/>
  <c r="P120" i="9"/>
  <c r="Q120" i="9"/>
  <c r="C121" i="9"/>
  <c r="D121" i="9"/>
  <c r="E121" i="9"/>
  <c r="F121" i="9"/>
  <c r="G121" i="9"/>
  <c r="H121" i="9"/>
  <c r="I121" i="9"/>
  <c r="J121" i="9"/>
  <c r="K121" i="9"/>
  <c r="L121" i="9"/>
  <c r="M121" i="9"/>
  <c r="N121" i="9"/>
  <c r="O121" i="9"/>
  <c r="P121" i="9"/>
  <c r="Q121" i="9"/>
  <c r="C122" i="9"/>
  <c r="D122" i="9"/>
  <c r="E122" i="9"/>
  <c r="F122" i="9"/>
  <c r="G122" i="9"/>
  <c r="H122" i="9"/>
  <c r="I122" i="9"/>
  <c r="J122" i="9"/>
  <c r="K122" i="9"/>
  <c r="L122" i="9"/>
  <c r="M122" i="9"/>
  <c r="N122" i="9"/>
  <c r="O122" i="9"/>
  <c r="P122" i="9"/>
  <c r="Q122" i="9"/>
  <c r="C123" i="9"/>
  <c r="D123" i="9"/>
  <c r="E123" i="9"/>
  <c r="F123" i="9"/>
  <c r="G123" i="9"/>
  <c r="H123" i="9"/>
  <c r="I123" i="9"/>
  <c r="J123" i="9"/>
  <c r="K123" i="9"/>
  <c r="L123" i="9"/>
  <c r="M123" i="9"/>
  <c r="N123" i="9"/>
  <c r="O123" i="9"/>
  <c r="P123" i="9"/>
  <c r="Q123" i="9"/>
  <c r="C124" i="9"/>
  <c r="D124" i="9"/>
  <c r="E124" i="9"/>
  <c r="F124" i="9"/>
  <c r="G124" i="9"/>
  <c r="H124" i="9"/>
  <c r="I124" i="9"/>
  <c r="J124" i="9"/>
  <c r="K124" i="9"/>
  <c r="L124" i="9"/>
  <c r="M124" i="9"/>
  <c r="N124" i="9"/>
  <c r="O124" i="9"/>
  <c r="P124" i="9"/>
  <c r="Q124" i="9"/>
  <c r="D111" i="9"/>
  <c r="E111" i="9"/>
  <c r="F111" i="9"/>
  <c r="G111" i="9"/>
  <c r="H111" i="9"/>
  <c r="I111" i="9"/>
  <c r="J111" i="9"/>
  <c r="K111" i="9"/>
  <c r="L111" i="9"/>
  <c r="M111" i="9"/>
  <c r="N111" i="9"/>
  <c r="O111" i="9"/>
  <c r="P111" i="9"/>
  <c r="Q111" i="9"/>
  <c r="C111" i="9"/>
  <c r="C87" i="9"/>
  <c r="D87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C88" i="9"/>
  <c r="D88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C89" i="9"/>
  <c r="D89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C90" i="9"/>
  <c r="D90" i="9"/>
  <c r="E90" i="9"/>
  <c r="F90" i="9"/>
  <c r="X164" i="9" s="1"/>
  <c r="G90" i="9"/>
  <c r="H90" i="9"/>
  <c r="I90" i="9"/>
  <c r="J90" i="9"/>
  <c r="K90" i="9"/>
  <c r="L90" i="9"/>
  <c r="M90" i="9"/>
  <c r="N90" i="9"/>
  <c r="O90" i="9"/>
  <c r="P90" i="9"/>
  <c r="Q90" i="9"/>
  <c r="C91" i="9"/>
  <c r="D91" i="9"/>
  <c r="E91" i="9"/>
  <c r="F91" i="9"/>
  <c r="X163" i="9" s="1"/>
  <c r="G91" i="9"/>
  <c r="H91" i="9"/>
  <c r="I91" i="9"/>
  <c r="J91" i="9"/>
  <c r="K91" i="9"/>
  <c r="L91" i="9"/>
  <c r="M91" i="9"/>
  <c r="N91" i="9"/>
  <c r="O91" i="9"/>
  <c r="P91" i="9"/>
  <c r="Q91" i="9"/>
  <c r="C92" i="9"/>
  <c r="D92" i="9"/>
  <c r="E92" i="9"/>
  <c r="F92" i="9"/>
  <c r="X165" i="9" s="1"/>
  <c r="G92" i="9"/>
  <c r="H92" i="9"/>
  <c r="I92" i="9"/>
  <c r="J92" i="9"/>
  <c r="K92" i="9"/>
  <c r="L92" i="9"/>
  <c r="M92" i="9"/>
  <c r="N92" i="9"/>
  <c r="O92" i="9"/>
  <c r="P92" i="9"/>
  <c r="Q92" i="9"/>
  <c r="C93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C94" i="9"/>
  <c r="D94" i="9"/>
  <c r="E94" i="9"/>
  <c r="F94" i="9"/>
  <c r="X162" i="9" s="1"/>
  <c r="G94" i="9"/>
  <c r="H94" i="9"/>
  <c r="I94" i="9"/>
  <c r="J94" i="9"/>
  <c r="K94" i="9"/>
  <c r="L94" i="9"/>
  <c r="M94" i="9"/>
  <c r="N94" i="9"/>
  <c r="O94" i="9"/>
  <c r="P94" i="9"/>
  <c r="Q94" i="9"/>
  <c r="C95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C96" i="9"/>
  <c r="D96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C97" i="9"/>
  <c r="D97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C98" i="9"/>
  <c r="D98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C99" i="9"/>
  <c r="D99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D86" i="9"/>
  <c r="E86" i="9"/>
  <c r="F86" i="9"/>
  <c r="G86" i="9"/>
  <c r="H86" i="9"/>
  <c r="I86" i="9"/>
  <c r="J86" i="9"/>
  <c r="K86" i="9"/>
  <c r="L86" i="9"/>
  <c r="M86" i="9"/>
  <c r="N86" i="9"/>
  <c r="O86" i="9"/>
  <c r="P86" i="9"/>
  <c r="Q86" i="9"/>
  <c r="C86" i="9"/>
  <c r="C62" i="9"/>
  <c r="D62" i="9"/>
  <c r="E62" i="9"/>
  <c r="F62" i="9"/>
  <c r="G62" i="9"/>
  <c r="H62" i="9"/>
  <c r="I62" i="9"/>
  <c r="J62" i="9"/>
  <c r="K62" i="9"/>
  <c r="L62" i="9"/>
  <c r="M62" i="9"/>
  <c r="N62" i="9"/>
  <c r="O62" i="9"/>
  <c r="P62" i="9"/>
  <c r="Q62" i="9"/>
  <c r="C63" i="9"/>
  <c r="D63" i="9"/>
  <c r="E63" i="9"/>
  <c r="F63" i="9"/>
  <c r="G63" i="9"/>
  <c r="H63" i="9"/>
  <c r="I63" i="9"/>
  <c r="J63" i="9"/>
  <c r="K63" i="9"/>
  <c r="L63" i="9"/>
  <c r="M63" i="9"/>
  <c r="N63" i="9"/>
  <c r="O63" i="9"/>
  <c r="P63" i="9"/>
  <c r="Q63" i="9"/>
  <c r="C64" i="9"/>
  <c r="D64" i="9"/>
  <c r="E64" i="9"/>
  <c r="F64" i="9"/>
  <c r="G64" i="9"/>
  <c r="H64" i="9"/>
  <c r="I64" i="9"/>
  <c r="J64" i="9"/>
  <c r="K64" i="9"/>
  <c r="L64" i="9"/>
  <c r="M64" i="9"/>
  <c r="N64" i="9"/>
  <c r="O64" i="9"/>
  <c r="P64" i="9"/>
  <c r="Q64" i="9"/>
  <c r="C65" i="9"/>
  <c r="D65" i="9"/>
  <c r="E65" i="9"/>
  <c r="F65" i="9"/>
  <c r="G65" i="9"/>
  <c r="H65" i="9"/>
  <c r="I65" i="9"/>
  <c r="J65" i="9"/>
  <c r="K65" i="9"/>
  <c r="L65" i="9"/>
  <c r="M65" i="9"/>
  <c r="N65" i="9"/>
  <c r="O65" i="9"/>
  <c r="P65" i="9"/>
  <c r="Q65" i="9"/>
  <c r="C66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Q66" i="9"/>
  <c r="C67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Q67" i="9"/>
  <c r="C68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Q68" i="9"/>
  <c r="C69" i="9"/>
  <c r="D69" i="9"/>
  <c r="E69" i="9"/>
  <c r="F69" i="9"/>
  <c r="W162" i="9" s="1"/>
  <c r="G69" i="9"/>
  <c r="H69" i="9"/>
  <c r="I69" i="9"/>
  <c r="J69" i="9"/>
  <c r="K69" i="9"/>
  <c r="L69" i="9"/>
  <c r="M69" i="9"/>
  <c r="N69" i="9"/>
  <c r="O69" i="9"/>
  <c r="P69" i="9"/>
  <c r="Q69" i="9"/>
  <c r="C70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Q70" i="9"/>
  <c r="C71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Q71" i="9"/>
  <c r="C72" i="9"/>
  <c r="D72" i="9"/>
  <c r="E72" i="9"/>
  <c r="F72" i="9"/>
  <c r="G72" i="9"/>
  <c r="H72" i="9"/>
  <c r="I72" i="9"/>
  <c r="J72" i="9"/>
  <c r="K72" i="9"/>
  <c r="L72" i="9"/>
  <c r="M72" i="9"/>
  <c r="N72" i="9"/>
  <c r="O72" i="9"/>
  <c r="P72" i="9"/>
  <c r="Q72" i="9"/>
  <c r="C73" i="9"/>
  <c r="D73" i="9"/>
  <c r="E73" i="9"/>
  <c r="F73" i="9"/>
  <c r="G73" i="9"/>
  <c r="H73" i="9"/>
  <c r="I73" i="9"/>
  <c r="J73" i="9"/>
  <c r="K73" i="9"/>
  <c r="L73" i="9"/>
  <c r="M73" i="9"/>
  <c r="N73" i="9"/>
  <c r="O73" i="9"/>
  <c r="P73" i="9"/>
  <c r="Q73" i="9"/>
  <c r="C74" i="9"/>
  <c r="D74" i="9"/>
  <c r="E74" i="9"/>
  <c r="F74" i="9"/>
  <c r="G74" i="9"/>
  <c r="H74" i="9"/>
  <c r="I74" i="9"/>
  <c r="J74" i="9"/>
  <c r="K74" i="9"/>
  <c r="L74" i="9"/>
  <c r="M74" i="9"/>
  <c r="N74" i="9"/>
  <c r="O74" i="9"/>
  <c r="P74" i="9"/>
  <c r="Q74" i="9"/>
  <c r="D61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C61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C39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C40" i="9"/>
  <c r="D40" i="9"/>
  <c r="E40" i="9"/>
  <c r="F40" i="9"/>
  <c r="V164" i="9" s="1"/>
  <c r="G40" i="9"/>
  <c r="H40" i="9"/>
  <c r="I40" i="9"/>
  <c r="J40" i="9"/>
  <c r="K40" i="9"/>
  <c r="L40" i="9"/>
  <c r="M40" i="9"/>
  <c r="N40" i="9"/>
  <c r="O40" i="9"/>
  <c r="P40" i="9"/>
  <c r="Q40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C42" i="9"/>
  <c r="D42" i="9"/>
  <c r="E42" i="9"/>
  <c r="F42" i="9"/>
  <c r="V165" i="9" s="1"/>
  <c r="G42" i="9"/>
  <c r="H42" i="9"/>
  <c r="I42" i="9"/>
  <c r="J42" i="9"/>
  <c r="K42" i="9"/>
  <c r="L42" i="9"/>
  <c r="M42" i="9"/>
  <c r="N42" i="9"/>
  <c r="O42" i="9"/>
  <c r="P42" i="9"/>
  <c r="Q42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C44" i="9"/>
  <c r="D44" i="9"/>
  <c r="E44" i="9"/>
  <c r="F44" i="9"/>
  <c r="V162" i="9" s="1"/>
  <c r="G44" i="9"/>
  <c r="H44" i="9"/>
  <c r="I44" i="9"/>
  <c r="J44" i="9"/>
  <c r="K44" i="9"/>
  <c r="L44" i="9"/>
  <c r="M44" i="9"/>
  <c r="N44" i="9"/>
  <c r="O44" i="9"/>
  <c r="P44" i="9"/>
  <c r="Q44" i="9"/>
  <c r="C45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C46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C47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C48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C49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C36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C15" i="9"/>
  <c r="D15" i="9"/>
  <c r="E15" i="9"/>
  <c r="F15" i="9"/>
  <c r="U164" i="9" s="1"/>
  <c r="G15" i="9"/>
  <c r="H15" i="9"/>
  <c r="I15" i="9"/>
  <c r="J15" i="9"/>
  <c r="K15" i="9"/>
  <c r="L15" i="9"/>
  <c r="M15" i="9"/>
  <c r="N15" i="9"/>
  <c r="O15" i="9"/>
  <c r="P15" i="9"/>
  <c r="Q15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C17" i="9"/>
  <c r="D17" i="9"/>
  <c r="E17" i="9"/>
  <c r="F17" i="9"/>
  <c r="U165" i="9" s="1"/>
  <c r="G17" i="9"/>
  <c r="H17" i="9"/>
  <c r="I17" i="9"/>
  <c r="J17" i="9"/>
  <c r="K17" i="9"/>
  <c r="L17" i="9"/>
  <c r="M17" i="9"/>
  <c r="N17" i="9"/>
  <c r="O17" i="9"/>
  <c r="P17" i="9"/>
  <c r="Q17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C19" i="9"/>
  <c r="D19" i="9"/>
  <c r="E19" i="9"/>
  <c r="F19" i="9"/>
  <c r="U162" i="9" s="1"/>
  <c r="G19" i="9"/>
  <c r="H19" i="9"/>
  <c r="I19" i="9"/>
  <c r="J19" i="9"/>
  <c r="K19" i="9"/>
  <c r="L19" i="9"/>
  <c r="M19" i="9"/>
  <c r="N19" i="9"/>
  <c r="O19" i="9"/>
  <c r="P19" i="9"/>
  <c r="Q19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C11" i="9"/>
  <c r="A62" i="3"/>
  <c r="A63" i="3"/>
  <c r="A64" i="3"/>
  <c r="A65" i="3"/>
  <c r="A66" i="3"/>
  <c r="A67" i="3"/>
  <c r="A68" i="3"/>
  <c r="A69" i="3"/>
  <c r="A70" i="3"/>
  <c r="A71" i="3"/>
  <c r="A61" i="3"/>
  <c r="G5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D111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D8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D46" i="3"/>
  <c r="A46" i="3" s="1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D36" i="3"/>
  <c r="U163" i="9" l="1"/>
  <c r="Y163" i="9"/>
  <c r="V163" i="9"/>
  <c r="W163" i="9"/>
  <c r="W165" i="9"/>
  <c r="C11" i="3"/>
  <c r="C22" i="3"/>
  <c r="C19" i="3"/>
  <c r="C14" i="3"/>
  <c r="C12" i="3"/>
  <c r="C20" i="3"/>
  <c r="C23" i="3"/>
  <c r="C15" i="3"/>
  <c r="C24" i="3"/>
  <c r="C16" i="3"/>
  <c r="C21" i="3"/>
  <c r="C18" i="3"/>
  <c r="C17" i="3"/>
  <c r="N16" i="1"/>
  <c r="N12" i="1"/>
  <c r="N11" i="1"/>
  <c r="N10" i="1"/>
  <c r="N8" i="1"/>
  <c r="N9" i="1" l="1"/>
  <c r="BB24" i="3" l="1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124" i="3"/>
  <c r="BB123" i="3"/>
  <c r="BB122" i="3"/>
  <c r="BB121" i="3"/>
  <c r="BB120" i="3"/>
  <c r="BB119" i="3"/>
  <c r="BB118" i="3"/>
  <c r="BB117" i="3"/>
  <c r="BB116" i="3"/>
  <c r="BB115" i="3"/>
  <c r="BB114" i="3"/>
  <c r="BB113" i="3"/>
  <c r="BB112" i="3"/>
  <c r="BB111" i="3"/>
  <c r="AK124" i="3"/>
  <c r="AK123" i="3"/>
  <c r="AK122" i="3"/>
  <c r="AK121" i="3"/>
  <c r="AK120" i="3"/>
  <c r="AK119" i="3"/>
  <c r="AK118" i="3"/>
  <c r="AK117" i="3"/>
  <c r="AK116" i="3"/>
  <c r="AK115" i="3"/>
  <c r="AK114" i="3"/>
  <c r="AK113" i="3"/>
  <c r="AK112" i="3"/>
  <c r="AK111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74" i="3"/>
  <c r="AK73" i="3"/>
  <c r="AK72" i="3"/>
  <c r="AK71" i="3"/>
  <c r="AK70" i="3"/>
  <c r="AK69" i="3"/>
  <c r="AK68" i="3"/>
  <c r="AK67" i="3"/>
  <c r="AK66" i="3"/>
  <c r="AK65" i="3"/>
  <c r="AK64" i="3"/>
  <c r="AK63" i="3"/>
  <c r="AK62" i="3"/>
  <c r="AK61" i="3"/>
  <c r="AK49" i="3"/>
  <c r="AK48" i="3"/>
  <c r="AK47" i="3"/>
  <c r="AK46" i="3"/>
  <c r="AK45" i="3"/>
  <c r="AK44" i="3"/>
  <c r="AK43" i="3"/>
  <c r="AK42" i="3"/>
  <c r="AK41" i="3"/>
  <c r="AK40" i="3"/>
  <c r="AK39" i="3"/>
  <c r="AK38" i="3"/>
  <c r="AK37" i="3"/>
  <c r="AK36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102" i="3" l="1"/>
  <c r="C127" i="3"/>
  <c r="T77" i="3"/>
  <c r="T127" i="3"/>
  <c r="T102" i="3"/>
  <c r="T52" i="3"/>
  <c r="C77" i="3"/>
  <c r="C52" i="3"/>
  <c r="C74" i="22" l="1"/>
  <c r="D74" i="22"/>
  <c r="E74" i="22"/>
  <c r="F74" i="22"/>
  <c r="B74" i="22"/>
  <c r="B67" i="22"/>
  <c r="D57" i="22"/>
  <c r="D56" i="22" s="1"/>
  <c r="E57" i="22"/>
  <c r="E56" i="22" s="1"/>
  <c r="F57" i="22"/>
  <c r="F56" i="22" s="1"/>
  <c r="C57" i="22"/>
  <c r="C56" i="22" s="1"/>
  <c r="C67" i="22"/>
  <c r="B57" i="22"/>
  <c r="B56" i="22" s="1"/>
  <c r="B142" i="22"/>
  <c r="C142" i="22"/>
  <c r="C143" i="22"/>
  <c r="C144" i="22"/>
  <c r="B144" i="22"/>
  <c r="B143" i="22"/>
  <c r="E59" i="22" l="1"/>
  <c r="E58" i="22"/>
  <c r="E61" i="22"/>
  <c r="E60" i="22"/>
  <c r="E62" i="22"/>
  <c r="D59" i="22"/>
  <c r="D58" i="22"/>
  <c r="D62" i="22"/>
  <c r="D61" i="22"/>
  <c r="D60" i="22"/>
  <c r="C61" i="22"/>
  <c r="C60" i="22"/>
  <c r="C59" i="22"/>
  <c r="C58" i="22"/>
  <c r="C62" i="22"/>
  <c r="AJ6" i="3"/>
  <c r="S6" i="3"/>
  <c r="BR6" i="3"/>
  <c r="BA6" i="3"/>
  <c r="B180" i="9" l="1"/>
  <c r="B181" i="9"/>
  <c r="B182" i="9"/>
  <c r="B179" i="9"/>
  <c r="B169" i="9"/>
  <c r="B170" i="9"/>
  <c r="B171" i="9"/>
  <c r="B172" i="9"/>
  <c r="B162" i="9"/>
  <c r="B163" i="9"/>
  <c r="B164" i="9"/>
  <c r="B165" i="9"/>
  <c r="B161" i="9"/>
  <c r="B153" i="9"/>
  <c r="K154" i="9" l="1"/>
  <c r="AA154" i="9" s="1"/>
  <c r="AA162" i="9" s="1"/>
  <c r="K155" i="9"/>
  <c r="AA155" i="9" s="1"/>
  <c r="AA163" i="9" s="1"/>
  <c r="K156" i="9"/>
  <c r="AA156" i="9" s="1"/>
  <c r="AA164" i="9" s="1"/>
  <c r="K157" i="9"/>
  <c r="AA157" i="9" s="1"/>
  <c r="AA165" i="9" s="1"/>
  <c r="K146" i="9"/>
  <c r="AA146" i="9" s="1"/>
  <c r="K147" i="9"/>
  <c r="AA147" i="9" s="1"/>
  <c r="K148" i="9"/>
  <c r="AA148" i="9" s="1"/>
  <c r="K149" i="9"/>
  <c r="AA149" i="9" s="1"/>
  <c r="K153" i="9"/>
  <c r="AA153" i="9" s="1"/>
  <c r="AA161" i="9" s="1"/>
  <c r="K145" i="9"/>
  <c r="B145" i="9"/>
  <c r="B154" i="9"/>
  <c r="B155" i="9"/>
  <c r="B156" i="9"/>
  <c r="B157" i="9"/>
  <c r="B147" i="9"/>
  <c r="B148" i="9"/>
  <c r="B149" i="9"/>
  <c r="B146" i="9"/>
  <c r="B192" i="9" l="1"/>
  <c r="B197" i="9"/>
  <c r="B194" i="9"/>
  <c r="B189" i="9"/>
  <c r="B193" i="9"/>
  <c r="B188" i="9"/>
  <c r="B190" i="9"/>
  <c r="B195" i="9"/>
  <c r="B191" i="9"/>
  <c r="B196" i="9"/>
  <c r="AA173" i="9"/>
  <c r="AA181" i="9" s="1"/>
  <c r="AA188" i="9" s="1"/>
  <c r="AA196" i="9"/>
  <c r="AA195" i="9"/>
  <c r="AA172" i="9"/>
  <c r="AA180" i="9" s="1"/>
  <c r="AA187" i="9" s="1"/>
  <c r="B201" i="9"/>
  <c r="AA145" i="9"/>
  <c r="AA171" i="9"/>
  <c r="AA179" i="9" s="1"/>
  <c r="AA186" i="9" s="1"/>
  <c r="AA194" i="9"/>
  <c r="AA169" i="9"/>
  <c r="AA192" i="9"/>
  <c r="AA193" i="9"/>
  <c r="AA170" i="9"/>
  <c r="AA178" i="9" s="1"/>
  <c r="AA185" i="9" s="1"/>
  <c r="B205" i="9"/>
  <c r="K205" i="9"/>
  <c r="K192" i="9"/>
  <c r="B209" i="9"/>
  <c r="K204" i="9"/>
  <c r="K191" i="9"/>
  <c r="B208" i="9"/>
  <c r="K190" i="9"/>
  <c r="K203" i="9"/>
  <c r="B207" i="9"/>
  <c r="K189" i="9"/>
  <c r="K202" i="9"/>
  <c r="B204" i="9"/>
  <c r="K201" i="9"/>
  <c r="K188" i="9"/>
  <c r="B206" i="9"/>
  <c r="B202" i="9"/>
  <c r="B203" i="9"/>
  <c r="B210" i="9"/>
  <c r="F67" i="22"/>
  <c r="G106" i="22" s="1"/>
  <c r="E67" i="22"/>
  <c r="F127" i="22" s="1"/>
  <c r="D67" i="22"/>
  <c r="E86" i="22" s="1"/>
  <c r="C127" i="22"/>
  <c r="B97" i="22" l="1"/>
  <c r="B118" i="22"/>
  <c r="F118" i="22"/>
  <c r="C106" i="22"/>
  <c r="F106" i="22"/>
  <c r="D127" i="22"/>
  <c r="E97" i="22"/>
  <c r="D118" i="22"/>
  <c r="D86" i="22"/>
  <c r="F97" i="22"/>
  <c r="D106" i="22"/>
  <c r="E118" i="22"/>
  <c r="C86" i="22"/>
  <c r="D97" i="22"/>
  <c r="C118" i="22"/>
  <c r="G86" i="22"/>
  <c r="C97" i="22"/>
  <c r="E127" i="22"/>
  <c r="E106" i="22"/>
  <c r="F86" i="22"/>
  <c r="G127" i="22"/>
  <c r="B6" i="3"/>
  <c r="B95" i="22" l="1"/>
  <c r="B65" i="22"/>
  <c r="B127" i="22"/>
  <c r="B106" i="22"/>
  <c r="A90" i="22"/>
  <c r="A89" i="22"/>
  <c r="A87" i="22"/>
  <c r="A88" i="22"/>
  <c r="A70" i="22"/>
  <c r="A69" i="22"/>
  <c r="A100" i="22"/>
  <c r="A99" i="22"/>
  <c r="A121" i="22"/>
  <c r="A120" i="22"/>
  <c r="A43" i="23" l="1"/>
  <c r="H43" i="23" s="1"/>
  <c r="O43" i="23" s="1"/>
  <c r="A34" i="23"/>
  <c r="H34" i="23" s="1"/>
  <c r="O34" i="23" s="1"/>
  <c r="A25" i="23"/>
  <c r="H25" i="23" s="1"/>
  <c r="O25" i="23" s="1"/>
  <c r="A16" i="23"/>
  <c r="H16" i="23" s="1"/>
  <c r="O16" i="23" s="1"/>
  <c r="A7" i="23"/>
  <c r="H7" i="23" s="1"/>
  <c r="O7" i="23" s="1"/>
  <c r="B17" i="23" l="1"/>
  <c r="B26" i="23" s="1"/>
  <c r="I8" i="23"/>
  <c r="P8" i="23" s="1"/>
  <c r="F17" i="23"/>
  <c r="E17" i="23"/>
  <c r="D17" i="23"/>
  <c r="C17" i="23"/>
  <c r="AC146" i="9"/>
  <c r="AC170" i="9"/>
  <c r="AD146" i="9"/>
  <c r="AD170" i="9"/>
  <c r="AE170" i="9"/>
  <c r="AF170" i="9"/>
  <c r="AG170" i="9"/>
  <c r="AG171" i="9"/>
  <c r="AF171" i="9"/>
  <c r="AE171" i="9"/>
  <c r="AD147" i="9"/>
  <c r="AD171" i="9"/>
  <c r="AC171" i="9"/>
  <c r="AC148" i="9"/>
  <c r="AC172" i="9"/>
  <c r="AD148" i="9"/>
  <c r="AD172" i="9"/>
  <c r="AE172" i="9"/>
  <c r="AF172" i="9"/>
  <c r="AG172" i="9"/>
  <c r="AG173" i="9"/>
  <c r="AF173" i="9"/>
  <c r="AE173" i="9"/>
  <c r="AD173" i="9"/>
  <c r="AC145" i="9" l="1"/>
  <c r="AD145" i="9"/>
  <c r="AD169" i="9"/>
  <c r="AD181" i="9" s="1"/>
  <c r="AD188" i="9" s="1"/>
  <c r="AE169" i="9"/>
  <c r="AE178" i="9" s="1"/>
  <c r="AE185" i="9" s="1"/>
  <c r="AF169" i="9"/>
  <c r="AF181" i="9" s="1"/>
  <c r="AF188" i="9" s="1"/>
  <c r="AG169" i="9"/>
  <c r="AG178" i="9" s="1"/>
  <c r="AG185" i="9" s="1"/>
  <c r="O149" i="9"/>
  <c r="F205" i="9" s="1"/>
  <c r="M147" i="9"/>
  <c r="D203" i="9" s="1"/>
  <c r="P148" i="9"/>
  <c r="G204" i="9" s="1"/>
  <c r="P149" i="9"/>
  <c r="G205" i="9" s="1"/>
  <c r="N148" i="9"/>
  <c r="E204" i="9" s="1"/>
  <c r="M146" i="9"/>
  <c r="D202" i="9" s="1"/>
  <c r="P145" i="9"/>
  <c r="G201" i="9" s="1"/>
  <c r="N149" i="9"/>
  <c r="E205" i="9" s="1"/>
  <c r="N145" i="9"/>
  <c r="E201" i="9" s="1"/>
  <c r="M148" i="9"/>
  <c r="D204" i="9" s="1"/>
  <c r="M145" i="9"/>
  <c r="D201" i="9" s="1"/>
  <c r="AD155" i="9"/>
  <c r="AD163" i="9" s="1"/>
  <c r="E155" i="9"/>
  <c r="AG145" i="9"/>
  <c r="H145" i="9"/>
  <c r="H188" i="9" s="1"/>
  <c r="E149" i="9"/>
  <c r="AD149" i="9"/>
  <c r="AG157" i="9"/>
  <c r="H157" i="9"/>
  <c r="AG148" i="9"/>
  <c r="H148" i="9"/>
  <c r="H191" i="9" s="1"/>
  <c r="AD156" i="9"/>
  <c r="AD164" i="9" s="1"/>
  <c r="E156" i="9"/>
  <c r="E196" i="9" s="1"/>
  <c r="AE155" i="9"/>
  <c r="F155" i="9"/>
  <c r="G147" i="9"/>
  <c r="AF147" i="9"/>
  <c r="AF154" i="9"/>
  <c r="G154" i="9"/>
  <c r="G194" i="9" s="1"/>
  <c r="AE146" i="9"/>
  <c r="F146" i="9"/>
  <c r="F189" i="9" s="1"/>
  <c r="N146" i="9"/>
  <c r="E202" i="9" s="1"/>
  <c r="AC153" i="9"/>
  <c r="AC161" i="9" s="1"/>
  <c r="AC192" i="9" s="1"/>
  <c r="D153" i="9"/>
  <c r="D193" i="9" s="1"/>
  <c r="AG153" i="9"/>
  <c r="H153" i="9"/>
  <c r="H193" i="9" s="1"/>
  <c r="H149" i="9"/>
  <c r="AG149" i="9"/>
  <c r="AE147" i="9"/>
  <c r="F147" i="9"/>
  <c r="AG154" i="9"/>
  <c r="H154" i="9"/>
  <c r="H194" i="9" s="1"/>
  <c r="AF153" i="9"/>
  <c r="G153" i="9"/>
  <c r="G193" i="9" s="1"/>
  <c r="E157" i="9"/>
  <c r="AD157" i="9"/>
  <c r="F149" i="9"/>
  <c r="AE149" i="9"/>
  <c r="H156" i="9"/>
  <c r="H196" i="9" s="1"/>
  <c r="AG156" i="9"/>
  <c r="G148" i="9"/>
  <c r="G191" i="9" s="1"/>
  <c r="AF148" i="9"/>
  <c r="AC156" i="9"/>
  <c r="AC164" i="9" s="1"/>
  <c r="D156" i="9"/>
  <c r="D196" i="9" s="1"/>
  <c r="D147" i="9"/>
  <c r="AC147" i="9"/>
  <c r="N147" i="9"/>
  <c r="E203" i="9" s="1"/>
  <c r="G155" i="9"/>
  <c r="AF155" i="9"/>
  <c r="AG147" i="9"/>
  <c r="H147" i="9"/>
  <c r="AE154" i="9"/>
  <c r="F154" i="9"/>
  <c r="F194" i="9" s="1"/>
  <c r="E153" i="9"/>
  <c r="E193" i="9" s="1"/>
  <c r="AD153" i="9"/>
  <c r="AD161" i="9" s="1"/>
  <c r="AD192" i="9" s="1"/>
  <c r="AE145" i="9"/>
  <c r="F145" i="9"/>
  <c r="F188" i="9" s="1"/>
  <c r="F156" i="9"/>
  <c r="F196" i="9" s="1"/>
  <c r="AE156" i="9"/>
  <c r="D154" i="9"/>
  <c r="D194" i="9" s="1"/>
  <c r="AC154" i="9"/>
  <c r="AC162" i="9" s="1"/>
  <c r="AE157" i="9"/>
  <c r="F157" i="9"/>
  <c r="G149" i="9"/>
  <c r="AF149" i="9"/>
  <c r="AE148" i="9"/>
  <c r="F148" i="9"/>
  <c r="F191" i="9" s="1"/>
  <c r="AC155" i="9"/>
  <c r="D155" i="9"/>
  <c r="AG146" i="9"/>
  <c r="H146" i="9"/>
  <c r="H189" i="9" s="1"/>
  <c r="AD154" i="9"/>
  <c r="AD162" i="9" s="1"/>
  <c r="E154" i="9"/>
  <c r="E194" i="9" s="1"/>
  <c r="G156" i="9"/>
  <c r="G196" i="9" s="1"/>
  <c r="AF156" i="9"/>
  <c r="H155" i="9"/>
  <c r="AG155" i="9"/>
  <c r="AE153" i="9"/>
  <c r="F153" i="9"/>
  <c r="F193" i="9" s="1"/>
  <c r="AF145" i="9"/>
  <c r="G145" i="9"/>
  <c r="G188" i="9" s="1"/>
  <c r="AF157" i="9"/>
  <c r="G157" i="9"/>
  <c r="AF146" i="9"/>
  <c r="G146" i="9"/>
  <c r="G189" i="9" s="1"/>
  <c r="D161" i="9"/>
  <c r="AC169" i="9"/>
  <c r="AC180" i="9" s="1"/>
  <c r="AC187" i="9" s="1"/>
  <c r="D148" i="9"/>
  <c r="D191" i="9" s="1"/>
  <c r="P146" i="9"/>
  <c r="G202" i="9" s="1"/>
  <c r="D146" i="9"/>
  <c r="D189" i="9" s="1"/>
  <c r="D164" i="9"/>
  <c r="G163" i="9"/>
  <c r="F162" i="9"/>
  <c r="E161" i="9"/>
  <c r="E164" i="9"/>
  <c r="G162" i="9"/>
  <c r="E165" i="9"/>
  <c r="H164" i="9"/>
  <c r="F165" i="9"/>
  <c r="G164" i="9"/>
  <c r="D163" i="9"/>
  <c r="H163" i="9"/>
  <c r="E162" i="9"/>
  <c r="F161" i="9"/>
  <c r="G165" i="9"/>
  <c r="F164" i="9"/>
  <c r="E163" i="9"/>
  <c r="H162" i="9"/>
  <c r="D162" i="9"/>
  <c r="G161" i="9"/>
  <c r="H165" i="9"/>
  <c r="F163" i="9"/>
  <c r="F170" i="9" s="1"/>
  <c r="H161" i="9"/>
  <c r="M155" i="9"/>
  <c r="D208" i="9" s="1"/>
  <c r="Q155" i="9"/>
  <c r="H208" i="9" s="1"/>
  <c r="Q148" i="9"/>
  <c r="H204" i="9" s="1"/>
  <c r="E148" i="9"/>
  <c r="E191" i="9" s="1"/>
  <c r="P147" i="9"/>
  <c r="G203" i="9" s="1"/>
  <c r="O146" i="9"/>
  <c r="F202" i="9" s="1"/>
  <c r="D145" i="9"/>
  <c r="D188" i="9" s="1"/>
  <c r="N157" i="9"/>
  <c r="E210" i="9" s="1"/>
  <c r="O157" i="9"/>
  <c r="F210" i="9" s="1"/>
  <c r="P157" i="9"/>
  <c r="G210" i="9" s="1"/>
  <c r="Q149" i="9"/>
  <c r="H205" i="9" s="1"/>
  <c r="Q157" i="9"/>
  <c r="H210" i="9" s="1"/>
  <c r="M156" i="9"/>
  <c r="D209" i="9" s="1"/>
  <c r="Q156" i="9"/>
  <c r="H209" i="9" s="1"/>
  <c r="P156" i="9"/>
  <c r="G209" i="9" s="1"/>
  <c r="O148" i="9"/>
  <c r="F204" i="9" s="1"/>
  <c r="O156" i="9"/>
  <c r="F209" i="9" s="1"/>
  <c r="N156" i="9"/>
  <c r="E209" i="9" s="1"/>
  <c r="P155" i="9"/>
  <c r="G208" i="9" s="1"/>
  <c r="Q147" i="9"/>
  <c r="H203" i="9" s="1"/>
  <c r="O147" i="9"/>
  <c r="F203" i="9" s="1"/>
  <c r="N155" i="9"/>
  <c r="E208" i="9" s="1"/>
  <c r="E147" i="9"/>
  <c r="O155" i="9"/>
  <c r="F208" i="9" s="1"/>
  <c r="O154" i="9"/>
  <c r="F207" i="9" s="1"/>
  <c r="Q146" i="9"/>
  <c r="H202" i="9" s="1"/>
  <c r="N154" i="9"/>
  <c r="E207" i="9" s="1"/>
  <c r="E146" i="9"/>
  <c r="E189" i="9" s="1"/>
  <c r="Q154" i="9"/>
  <c r="H207" i="9" s="1"/>
  <c r="M154" i="9"/>
  <c r="D207" i="9" s="1"/>
  <c r="P154" i="9"/>
  <c r="G207" i="9" s="1"/>
  <c r="N153" i="9"/>
  <c r="E206" i="9" s="1"/>
  <c r="E145" i="9"/>
  <c r="E188" i="9" s="1"/>
  <c r="O145" i="9"/>
  <c r="F201" i="9" s="1"/>
  <c r="O153" i="9"/>
  <c r="F206" i="9" s="1"/>
  <c r="P153" i="9"/>
  <c r="G206" i="9" s="1"/>
  <c r="Q145" i="9"/>
  <c r="H201" i="9" s="1"/>
  <c r="M153" i="9"/>
  <c r="D206" i="9" s="1"/>
  <c r="Q153" i="9"/>
  <c r="H206" i="9" s="1"/>
  <c r="T105" i="9"/>
  <c r="L21" i="23" s="1"/>
  <c r="T103" i="9"/>
  <c r="T80" i="9"/>
  <c r="K21" i="23" s="1"/>
  <c r="C128" i="9"/>
  <c r="M10" i="23" s="1"/>
  <c r="T128" i="9"/>
  <c r="T28" i="9"/>
  <c r="T129" i="9"/>
  <c r="T131" i="9"/>
  <c r="T102" i="9"/>
  <c r="T29" i="9"/>
  <c r="T31" i="9"/>
  <c r="C27" i="9"/>
  <c r="I9" i="23" s="1"/>
  <c r="T104" i="9"/>
  <c r="T106" i="9"/>
  <c r="T77" i="9"/>
  <c r="T78" i="9"/>
  <c r="K19" i="23" s="1"/>
  <c r="T55" i="9"/>
  <c r="J21" i="23" s="1"/>
  <c r="T79" i="9"/>
  <c r="T81" i="9"/>
  <c r="T52" i="9"/>
  <c r="AK28" i="9"/>
  <c r="I28" i="23" s="1"/>
  <c r="T130" i="9"/>
  <c r="M21" i="23" s="1"/>
  <c r="T53" i="9"/>
  <c r="J19" i="23" s="1"/>
  <c r="T30" i="9"/>
  <c r="I21" i="23" s="1"/>
  <c r="T127" i="9"/>
  <c r="T54" i="9"/>
  <c r="T56" i="9"/>
  <c r="T27" i="9"/>
  <c r="CB50" i="9"/>
  <c r="BV75" i="9"/>
  <c r="CF100" i="9"/>
  <c r="BC125" i="9"/>
  <c r="BE100" i="9"/>
  <c r="BO75" i="9"/>
  <c r="BI50" i="9"/>
  <c r="BK25" i="9"/>
  <c r="AV25" i="9"/>
  <c r="AX50" i="9"/>
  <c r="AR75" i="9"/>
  <c r="AT100" i="9"/>
  <c r="AL100" i="9"/>
  <c r="AV125" i="9"/>
  <c r="AN125" i="9"/>
  <c r="AG125" i="9"/>
  <c r="AA100" i="9"/>
  <c r="AC75" i="9"/>
  <c r="W50" i="9"/>
  <c r="AG25" i="9"/>
  <c r="J25" i="9"/>
  <c r="L50" i="9"/>
  <c r="F75" i="9"/>
  <c r="P100" i="9"/>
  <c r="Y125" i="9"/>
  <c r="U75" i="9"/>
  <c r="AE50" i="9"/>
  <c r="Y25" i="9"/>
  <c r="D50" i="9"/>
  <c r="P75" i="10"/>
  <c r="BT50" i="9"/>
  <c r="CD75" i="9"/>
  <c r="BX100" i="9"/>
  <c r="BZ125" i="9"/>
  <c r="BK125" i="9"/>
  <c r="BM100" i="9"/>
  <c r="BG75" i="9"/>
  <c r="BC25" i="9"/>
  <c r="AN25" i="9"/>
  <c r="AP50" i="9"/>
  <c r="N75" i="9"/>
  <c r="H100" i="9"/>
  <c r="H75" i="10"/>
  <c r="BS50" i="9"/>
  <c r="BU75" i="9"/>
  <c r="BY125" i="9"/>
  <c r="BT75" i="9"/>
  <c r="BX125" i="9"/>
  <c r="BE75" i="9"/>
  <c r="BG50" i="9"/>
  <c r="AN50" i="9"/>
  <c r="AR100" i="9"/>
  <c r="AL125" i="9"/>
  <c r="AE125" i="9"/>
  <c r="AC50" i="9"/>
  <c r="AE25" i="9"/>
  <c r="BT100" i="9"/>
  <c r="BI100" i="9"/>
  <c r="CE50" i="9"/>
  <c r="BY75" i="9"/>
  <c r="BS100" i="9"/>
  <c r="BF125" i="9"/>
  <c r="BH100" i="9"/>
  <c r="BB75" i="9"/>
  <c r="AQ25" i="9"/>
  <c r="AU75" i="9"/>
  <c r="AO100" i="9"/>
  <c r="AB125" i="9"/>
  <c r="X75" i="9"/>
  <c r="AH50" i="9"/>
  <c r="C30" i="9"/>
  <c r="I12" i="23" s="1"/>
  <c r="O50" i="9"/>
  <c r="K100" i="9"/>
  <c r="K75" i="10"/>
  <c r="C75" i="10"/>
  <c r="CC75" i="9"/>
  <c r="BW100" i="9"/>
  <c r="CG125" i="9"/>
  <c r="BB125" i="9"/>
  <c r="BL100" i="9"/>
  <c r="CD100" i="9"/>
  <c r="BI125" i="9"/>
  <c r="BC100" i="9"/>
  <c r="BM75" i="9"/>
  <c r="BI25" i="9"/>
  <c r="AT25" i="9"/>
  <c r="AV50" i="9"/>
  <c r="AX75" i="9"/>
  <c r="AT125" i="9"/>
  <c r="AG100" i="9"/>
  <c r="P25" i="9"/>
  <c r="CF50" i="9"/>
  <c r="BZ75" i="9"/>
  <c r="CB100" i="9"/>
  <c r="BV125" i="9"/>
  <c r="BO125" i="9"/>
  <c r="CG75" i="9"/>
  <c r="CA100" i="9"/>
  <c r="BU125" i="9"/>
  <c r="BN125" i="9"/>
  <c r="BJ75" i="9"/>
  <c r="AS50" i="9"/>
  <c r="AM75" i="9"/>
  <c r="AY125" i="9"/>
  <c r="AD100" i="9"/>
  <c r="Z50" i="9"/>
  <c r="T25" i="9"/>
  <c r="E25" i="9"/>
  <c r="G50" i="9"/>
  <c r="I75" i="9"/>
  <c r="C100" i="9"/>
  <c r="CD50" i="9"/>
  <c r="BV50" i="9"/>
  <c r="CF75" i="9"/>
  <c r="BX75" i="9"/>
  <c r="BZ100" i="9"/>
  <c r="CB125" i="9"/>
  <c r="BT125" i="9"/>
  <c r="BM125" i="9"/>
  <c r="BE125" i="9"/>
  <c r="BO100" i="9"/>
  <c r="BG100" i="9"/>
  <c r="BZ50" i="9"/>
  <c r="BX50" i="9"/>
  <c r="CD125" i="9"/>
  <c r="BG125" i="9"/>
  <c r="BW50" i="9"/>
  <c r="CC125" i="9"/>
  <c r="BP100" i="9"/>
  <c r="BL50" i="9"/>
  <c r="BD50" i="9"/>
  <c r="BN25" i="9"/>
  <c r="BF25" i="9"/>
  <c r="AY25" i="9"/>
  <c r="AK50" i="9"/>
  <c r="AW100" i="9"/>
  <c r="AQ125" i="9"/>
  <c r="T125" i="9"/>
  <c r="V100" i="9"/>
  <c r="AF75" i="9"/>
  <c r="AB25" i="9"/>
  <c r="M25" i="9"/>
  <c r="Q75" i="9"/>
  <c r="CC50" i="9"/>
  <c r="BU50" i="9"/>
  <c r="CE75" i="9"/>
  <c r="BW75" i="9"/>
  <c r="CG100" i="9"/>
  <c r="BY100" i="9"/>
  <c r="CA125" i="9"/>
  <c r="BS125" i="9"/>
  <c r="BL125" i="9"/>
  <c r="BD125" i="9"/>
  <c r="BN100" i="9"/>
  <c r="BF100" i="9"/>
  <c r="BP75" i="9"/>
  <c r="CA50" i="9"/>
  <c r="CE100" i="9"/>
  <c r="BJ125" i="9"/>
  <c r="BD100" i="9"/>
  <c r="CB75" i="9"/>
  <c r="BV100" i="9"/>
  <c r="CF125" i="9"/>
  <c r="BK100" i="9"/>
  <c r="BO50" i="9"/>
  <c r="AL25" i="9"/>
  <c r="AP75" i="9"/>
  <c r="W125" i="9"/>
  <c r="Y100" i="9"/>
  <c r="AA75" i="9"/>
  <c r="U50" i="9"/>
  <c r="W25" i="9"/>
  <c r="H25" i="9"/>
  <c r="J50" i="9"/>
  <c r="L75" i="9"/>
  <c r="D75" i="9"/>
  <c r="N100" i="9"/>
  <c r="F100" i="9"/>
  <c r="N75" i="10"/>
  <c r="F75" i="10"/>
  <c r="CG50" i="9"/>
  <c r="BY50" i="9"/>
  <c r="CA75" i="9"/>
  <c r="BS75" i="9"/>
  <c r="CC100" i="9"/>
  <c r="BU100" i="9"/>
  <c r="CE125" i="9"/>
  <c r="BW125" i="9"/>
  <c r="BP125" i="9"/>
  <c r="BH125" i="9"/>
  <c r="BJ100" i="9"/>
  <c r="BB100" i="9"/>
  <c r="BI75" i="9"/>
  <c r="BK50" i="9"/>
  <c r="BC50" i="9"/>
  <c r="BM25" i="9"/>
  <c r="BE25" i="9"/>
  <c r="AX25" i="9"/>
  <c r="AP25" i="9"/>
  <c r="AR50" i="9"/>
  <c r="AT75" i="9"/>
  <c r="AL75" i="9"/>
  <c r="AV100" i="9"/>
  <c r="AN100" i="9"/>
  <c r="AX125" i="9"/>
  <c r="AP125" i="9"/>
  <c r="AA125" i="9"/>
  <c r="AC100" i="9"/>
  <c r="U100" i="9"/>
  <c r="AE75" i="9"/>
  <c r="W75" i="9"/>
  <c r="AG50" i="9"/>
  <c r="Y50" i="9"/>
  <c r="AA25" i="9"/>
  <c r="L25" i="9"/>
  <c r="D25" i="9"/>
  <c r="N50" i="9"/>
  <c r="F50" i="9"/>
  <c r="P75" i="9"/>
  <c r="H75" i="9"/>
  <c r="J100" i="9"/>
  <c r="J75" i="10"/>
  <c r="BH75" i="9"/>
  <c r="BJ50" i="9"/>
  <c r="BB50" i="9"/>
  <c r="BL25" i="9"/>
  <c r="BD25" i="9"/>
  <c r="AW25" i="9"/>
  <c r="AO25" i="9"/>
  <c r="AK52" i="9"/>
  <c r="J27" i="23" s="1"/>
  <c r="AY50" i="9"/>
  <c r="AQ50" i="9"/>
  <c r="AS75" i="9"/>
  <c r="AK75" i="9"/>
  <c r="AU100" i="9"/>
  <c r="AM100" i="9"/>
  <c r="AW125" i="9"/>
  <c r="AO125" i="9"/>
  <c r="AH125" i="9"/>
  <c r="Z125" i="9"/>
  <c r="AB100" i="9"/>
  <c r="T100" i="9"/>
  <c r="AD75" i="9"/>
  <c r="V75" i="9"/>
  <c r="AF50" i="9"/>
  <c r="X50" i="9"/>
  <c r="AH25" i="9"/>
  <c r="Z25" i="9"/>
  <c r="K25" i="9"/>
  <c r="C25" i="9"/>
  <c r="M50" i="9"/>
  <c r="E50" i="9"/>
  <c r="O75" i="9"/>
  <c r="G75" i="9"/>
  <c r="C102" i="9"/>
  <c r="L9" i="23" s="1"/>
  <c r="Q100" i="9"/>
  <c r="I100" i="9"/>
  <c r="Q75" i="10"/>
  <c r="I75" i="10"/>
  <c r="BN75" i="9"/>
  <c r="BF75" i="9"/>
  <c r="BP50" i="9"/>
  <c r="BH50" i="9"/>
  <c r="BJ25" i="9"/>
  <c r="BB25" i="9"/>
  <c r="AU25" i="9"/>
  <c r="AM25" i="9"/>
  <c r="AW50" i="9"/>
  <c r="AO50" i="9"/>
  <c r="AY75" i="9"/>
  <c r="AQ75" i="9"/>
  <c r="AS100" i="9"/>
  <c r="AK100" i="9"/>
  <c r="AU125" i="9"/>
  <c r="AM125" i="9"/>
  <c r="AF125" i="9"/>
  <c r="X125" i="9"/>
  <c r="AH100" i="9"/>
  <c r="Z100" i="9"/>
  <c r="AB75" i="9"/>
  <c r="T75" i="9"/>
  <c r="AD50" i="9"/>
  <c r="V50" i="9"/>
  <c r="AF25" i="9"/>
  <c r="X25" i="9"/>
  <c r="Q25" i="9"/>
  <c r="I25" i="9"/>
  <c r="K50" i="9"/>
  <c r="C50" i="9"/>
  <c r="C81" i="9"/>
  <c r="K13" i="23" s="1"/>
  <c r="M75" i="9"/>
  <c r="E75" i="9"/>
  <c r="O100" i="9"/>
  <c r="G100" i="9"/>
  <c r="O75" i="10"/>
  <c r="G75" i="10"/>
  <c r="BL75" i="9"/>
  <c r="BD75" i="9"/>
  <c r="BN50" i="9"/>
  <c r="BF50" i="9"/>
  <c r="BP25" i="9"/>
  <c r="BH25" i="9"/>
  <c r="AS25" i="9"/>
  <c r="AK25" i="9"/>
  <c r="AU50" i="9"/>
  <c r="AM50" i="9"/>
  <c r="AW75" i="9"/>
  <c r="AO75" i="9"/>
  <c r="AY100" i="9"/>
  <c r="AQ100" i="9"/>
  <c r="AS125" i="9"/>
  <c r="AK125" i="9"/>
  <c r="AD125" i="9"/>
  <c r="V125" i="9"/>
  <c r="AF100" i="9"/>
  <c r="X100" i="9"/>
  <c r="AH75" i="9"/>
  <c r="Z75" i="9"/>
  <c r="AB50" i="9"/>
  <c r="T50" i="9"/>
  <c r="AD25" i="9"/>
  <c r="V25" i="9"/>
  <c r="O25" i="9"/>
  <c r="G25" i="9"/>
  <c r="Q50" i="9"/>
  <c r="I50" i="9"/>
  <c r="K75" i="9"/>
  <c r="C75" i="9"/>
  <c r="M100" i="9"/>
  <c r="E100" i="9"/>
  <c r="M75" i="10"/>
  <c r="E75" i="10"/>
  <c r="BK75" i="9"/>
  <c r="BC75" i="9"/>
  <c r="BM50" i="9"/>
  <c r="BE50" i="9"/>
  <c r="BO25" i="9"/>
  <c r="BG25" i="9"/>
  <c r="AR25" i="9"/>
  <c r="AT50" i="9"/>
  <c r="AL50" i="9"/>
  <c r="AV75" i="9"/>
  <c r="AN75" i="9"/>
  <c r="AX100" i="9"/>
  <c r="AP100" i="9"/>
  <c r="AR125" i="9"/>
  <c r="AC125" i="9"/>
  <c r="U125" i="9"/>
  <c r="AE100" i="9"/>
  <c r="W100" i="9"/>
  <c r="AG75" i="9"/>
  <c r="Y75" i="9"/>
  <c r="AA50" i="9"/>
  <c r="AC25" i="9"/>
  <c r="U25" i="9"/>
  <c r="N25" i="9"/>
  <c r="F25" i="9"/>
  <c r="P50" i="9"/>
  <c r="H50" i="9"/>
  <c r="J75" i="9"/>
  <c r="L100" i="9"/>
  <c r="D100" i="9"/>
  <c r="L75" i="10"/>
  <c r="D75" i="10"/>
  <c r="C106" i="9"/>
  <c r="L13" i="23" s="1"/>
  <c r="BB81" i="9"/>
  <c r="K40" i="23" s="1"/>
  <c r="AK56" i="9"/>
  <c r="J31" i="23" s="1"/>
  <c r="AK31" i="9"/>
  <c r="I31" i="23" s="1"/>
  <c r="AK131" i="9"/>
  <c r="M31" i="23" s="1"/>
  <c r="C130" i="9"/>
  <c r="M12" i="23" s="1"/>
  <c r="AK77" i="9"/>
  <c r="K27" i="23" s="1"/>
  <c r="BB28" i="9"/>
  <c r="I37" i="23" s="1"/>
  <c r="AK130" i="9"/>
  <c r="M30" i="23" s="1"/>
  <c r="AK53" i="9"/>
  <c r="J28" i="23" s="1"/>
  <c r="C55" i="9"/>
  <c r="I21" i="22" s="1"/>
  <c r="C105" i="9"/>
  <c r="L12" i="23" s="1"/>
  <c r="BS52" i="9"/>
  <c r="J45" i="23" s="1"/>
  <c r="BB27" i="9"/>
  <c r="I36" i="23" s="1"/>
  <c r="C103" i="9"/>
  <c r="L10" i="23" s="1"/>
  <c r="BS127" i="9"/>
  <c r="M45" i="23" s="1"/>
  <c r="AK27" i="9"/>
  <c r="I27" i="23" s="1"/>
  <c r="AK106" i="9"/>
  <c r="L31" i="23" s="1"/>
  <c r="AK128" i="9"/>
  <c r="M28" i="23" s="1"/>
  <c r="BB80" i="9"/>
  <c r="K39" i="23" s="1"/>
  <c r="BB30" i="9"/>
  <c r="I39" i="23" s="1"/>
  <c r="AK127" i="9"/>
  <c r="M27" i="23" s="1"/>
  <c r="BS104" i="9"/>
  <c r="L47" i="23" s="1"/>
  <c r="BS106" i="9"/>
  <c r="L49" i="23" s="1"/>
  <c r="M125" i="9"/>
  <c r="E125" i="9"/>
  <c r="BS55" i="9"/>
  <c r="J48" i="23" s="1"/>
  <c r="BB79" i="9"/>
  <c r="K38" i="23" s="1"/>
  <c r="AK54" i="9"/>
  <c r="K20" i="22" s="1"/>
  <c r="C104" i="9"/>
  <c r="L11" i="23" s="1"/>
  <c r="C127" i="9"/>
  <c r="M9" i="23" s="1"/>
  <c r="L125" i="9"/>
  <c r="D125" i="9"/>
  <c r="K125" i="9"/>
  <c r="BS53" i="9"/>
  <c r="J46" i="23" s="1"/>
  <c r="BS129" i="9"/>
  <c r="M47" i="23" s="1"/>
  <c r="BB131" i="9"/>
  <c r="M40" i="23" s="1"/>
  <c r="BB77" i="9"/>
  <c r="K36" i="23" s="1"/>
  <c r="BB54" i="9"/>
  <c r="L20" i="22" s="1"/>
  <c r="BB31" i="9"/>
  <c r="I40" i="23" s="1"/>
  <c r="AK79" i="9"/>
  <c r="K29" i="23" s="1"/>
  <c r="C29" i="9"/>
  <c r="I11" i="23" s="1"/>
  <c r="C52" i="9"/>
  <c r="J9" i="23" s="1"/>
  <c r="C129" i="9"/>
  <c r="M11" i="23" s="1"/>
  <c r="C131" i="9"/>
  <c r="M13" i="23" s="1"/>
  <c r="J125" i="9"/>
  <c r="BS54" i="9"/>
  <c r="J47" i="23" s="1"/>
  <c r="BS56" i="9"/>
  <c r="J49" i="23" s="1"/>
  <c r="C53" i="9"/>
  <c r="I19" i="22" s="1"/>
  <c r="Q125" i="9"/>
  <c r="I125" i="9"/>
  <c r="BB129" i="9"/>
  <c r="M38" i="23" s="1"/>
  <c r="BB29" i="9"/>
  <c r="I38" i="23" s="1"/>
  <c r="AK104" i="9"/>
  <c r="L29" i="23" s="1"/>
  <c r="C54" i="9"/>
  <c r="J11" i="23" s="1"/>
  <c r="C56" i="9"/>
  <c r="I22" i="22" s="1"/>
  <c r="P125" i="9"/>
  <c r="H125" i="9"/>
  <c r="C125" i="9"/>
  <c r="BS79" i="9"/>
  <c r="K47" i="23" s="1"/>
  <c r="O125" i="9"/>
  <c r="G125" i="9"/>
  <c r="BB104" i="9"/>
  <c r="L38" i="23" s="1"/>
  <c r="AK29" i="9"/>
  <c r="I29" i="23" s="1"/>
  <c r="AK129" i="9"/>
  <c r="M29" i="23" s="1"/>
  <c r="C79" i="9"/>
  <c r="K11" i="23" s="1"/>
  <c r="N125" i="9"/>
  <c r="F125" i="9"/>
  <c r="T18" i="23"/>
  <c r="S48" i="22"/>
  <c r="F131" i="22" s="1"/>
  <c r="Q37" i="23"/>
  <c r="R31" i="23"/>
  <c r="P22" i="23"/>
  <c r="P31" i="23"/>
  <c r="S40" i="22"/>
  <c r="T13" i="22"/>
  <c r="P45" i="23"/>
  <c r="R49" i="23"/>
  <c r="T30" i="22"/>
  <c r="S45" i="23"/>
  <c r="T48" i="23"/>
  <c r="T19" i="23"/>
  <c r="P27" i="23"/>
  <c r="S27" i="23"/>
  <c r="Q39" i="23"/>
  <c r="T37" i="23"/>
  <c r="T49" i="23"/>
  <c r="P40" i="23"/>
  <c r="Q36" i="23"/>
  <c r="S49" i="22"/>
  <c r="F132" i="22" s="1"/>
  <c r="Q49" i="23"/>
  <c r="T40" i="22"/>
  <c r="T46" i="23"/>
  <c r="T45" i="23"/>
  <c r="R22" i="23"/>
  <c r="S18" i="23"/>
  <c r="P28" i="23"/>
  <c r="R27" i="23"/>
  <c r="S28" i="23"/>
  <c r="T13" i="23"/>
  <c r="Q49" i="22"/>
  <c r="D132" i="22" s="1"/>
  <c r="T21" i="23"/>
  <c r="P30" i="23"/>
  <c r="S31" i="23"/>
  <c r="R39" i="22"/>
  <c r="Q40" i="23"/>
  <c r="R40" i="23"/>
  <c r="S36" i="23"/>
  <c r="T36" i="23"/>
  <c r="P11" i="22"/>
  <c r="B130" i="22" s="1"/>
  <c r="P29" i="22"/>
  <c r="Q20" i="23"/>
  <c r="P29" i="23"/>
  <c r="T29" i="23"/>
  <c r="S38" i="23"/>
  <c r="R20" i="23"/>
  <c r="T11" i="23"/>
  <c r="S20" i="23"/>
  <c r="R29" i="23"/>
  <c r="Q38" i="23"/>
  <c r="P47" i="23"/>
  <c r="T47" i="23"/>
  <c r="R47" i="23"/>
  <c r="S11" i="23"/>
  <c r="P18" i="23"/>
  <c r="Q29" i="23"/>
  <c r="P38" i="23"/>
  <c r="T38" i="23"/>
  <c r="Q11" i="23"/>
  <c r="P20" i="23"/>
  <c r="T20" i="23"/>
  <c r="S29" i="23"/>
  <c r="R38" i="23"/>
  <c r="S47" i="23"/>
  <c r="Q47" i="23"/>
  <c r="BB130" i="9"/>
  <c r="M39" i="23" s="1"/>
  <c r="P22" i="22"/>
  <c r="R10" i="23"/>
  <c r="BB127" i="9"/>
  <c r="M36" i="23" s="1"/>
  <c r="BB102" i="9"/>
  <c r="L36" i="23" s="1"/>
  <c r="BB78" i="9"/>
  <c r="K37" i="23" s="1"/>
  <c r="C31" i="9"/>
  <c r="I13" i="23" s="1"/>
  <c r="P9" i="23"/>
  <c r="BS80" i="9"/>
  <c r="K48" i="23" s="1"/>
  <c r="P12" i="22"/>
  <c r="B131" i="22" s="1"/>
  <c r="BS81" i="9"/>
  <c r="K49" i="23" s="1"/>
  <c r="BS103" i="9"/>
  <c r="L46" i="23" s="1"/>
  <c r="P10" i="23"/>
  <c r="P13" i="23"/>
  <c r="S22" i="23"/>
  <c r="S21" i="23"/>
  <c r="R30" i="22"/>
  <c r="P37" i="23"/>
  <c r="P36" i="23"/>
  <c r="P39" i="23"/>
  <c r="R46" i="23"/>
  <c r="R45" i="23"/>
  <c r="T12" i="23"/>
  <c r="BS77" i="9"/>
  <c r="K45" i="23" s="1"/>
  <c r="S46" i="23"/>
  <c r="T39" i="22"/>
  <c r="S9" i="23"/>
  <c r="BS128" i="9"/>
  <c r="M46" i="23" s="1"/>
  <c r="C28" i="9"/>
  <c r="I10" i="23" s="1"/>
  <c r="Q10" i="23"/>
  <c r="Q9" i="23"/>
  <c r="T10" i="23"/>
  <c r="T9" i="23"/>
  <c r="BB53" i="9"/>
  <c r="J37" i="23" s="1"/>
  <c r="BB52" i="9"/>
  <c r="J36" i="23" s="1"/>
  <c r="BB55" i="9"/>
  <c r="J39" i="23" s="1"/>
  <c r="S10" i="23"/>
  <c r="S19" i="23"/>
  <c r="BB128" i="9"/>
  <c r="M37" i="23" s="1"/>
  <c r="BB103" i="9"/>
  <c r="L37" i="23" s="1"/>
  <c r="BB106" i="9"/>
  <c r="L40" i="23" s="1"/>
  <c r="BB105" i="9"/>
  <c r="L39" i="23" s="1"/>
  <c r="AK103" i="9"/>
  <c r="L28" i="23" s="1"/>
  <c r="AK102" i="9"/>
  <c r="L27" i="23" s="1"/>
  <c r="AK105" i="9"/>
  <c r="L30" i="23" s="1"/>
  <c r="BS78" i="9"/>
  <c r="K46" i="23" s="1"/>
  <c r="R9" i="23"/>
  <c r="P19" i="23"/>
  <c r="R28" i="23"/>
  <c r="T28" i="23"/>
  <c r="R37" i="23"/>
  <c r="R36" i="23"/>
  <c r="BS102" i="9"/>
  <c r="L45" i="23" s="1"/>
  <c r="BS105" i="9"/>
  <c r="L48" i="23" s="1"/>
  <c r="AK30" i="9"/>
  <c r="I30" i="23" s="1"/>
  <c r="AK55" i="9"/>
  <c r="J30" i="23" s="1"/>
  <c r="Q19" i="23"/>
  <c r="Q18" i="23"/>
  <c r="C78" i="9"/>
  <c r="K10" i="23" s="1"/>
  <c r="C77" i="9"/>
  <c r="K9" i="23" s="1"/>
  <c r="T27" i="23"/>
  <c r="S37" i="23"/>
  <c r="Q46" i="23"/>
  <c r="Q45" i="23"/>
  <c r="BS131" i="9"/>
  <c r="M49" i="23" s="1"/>
  <c r="BS130" i="9"/>
  <c r="M48" i="23" s="1"/>
  <c r="BB56" i="9"/>
  <c r="J40" i="23" s="1"/>
  <c r="AK78" i="9"/>
  <c r="K28" i="23" s="1"/>
  <c r="AK81" i="9"/>
  <c r="K31" i="23" s="1"/>
  <c r="AK80" i="9"/>
  <c r="K30" i="23" s="1"/>
  <c r="C80" i="9"/>
  <c r="K12" i="23" s="1"/>
  <c r="R19" i="23"/>
  <c r="R18" i="23"/>
  <c r="Q28" i="23"/>
  <c r="Q27" i="23"/>
  <c r="P46" i="23"/>
  <c r="C26" i="23"/>
  <c r="J17" i="23"/>
  <c r="Q17" i="23" s="1"/>
  <c r="D26" i="23"/>
  <c r="K17" i="23"/>
  <c r="R17" i="23" s="1"/>
  <c r="E26" i="23"/>
  <c r="L17" i="23"/>
  <c r="S17" i="23" s="1"/>
  <c r="F26" i="23"/>
  <c r="M17" i="23"/>
  <c r="T17" i="23" s="1"/>
  <c r="B35" i="23"/>
  <c r="I26" i="23"/>
  <c r="P26" i="23" s="1"/>
  <c r="M8" i="23"/>
  <c r="T8" i="23" s="1"/>
  <c r="I17" i="23"/>
  <c r="P17" i="23" s="1"/>
  <c r="J8" i="23"/>
  <c r="Q8" i="23" s="1"/>
  <c r="K8" i="23"/>
  <c r="R8" i="23" s="1"/>
  <c r="L8" i="23"/>
  <c r="S8" i="23" s="1"/>
  <c r="BB30" i="3"/>
  <c r="BB55" i="3"/>
  <c r="BB80" i="3"/>
  <c r="BB105" i="3"/>
  <c r="BB130" i="3"/>
  <c r="AK30" i="3"/>
  <c r="AK55" i="3"/>
  <c r="AK80" i="3"/>
  <c r="AK105" i="3"/>
  <c r="AK130" i="3"/>
  <c r="T30" i="3"/>
  <c r="T55" i="3"/>
  <c r="T80" i="3"/>
  <c r="T105" i="3"/>
  <c r="T130" i="3"/>
  <c r="B62" i="22"/>
  <c r="C130" i="3"/>
  <c r="B61" i="22"/>
  <c r="C105" i="3"/>
  <c r="B60" i="22"/>
  <c r="F8" i="22"/>
  <c r="M8" i="22" s="1"/>
  <c r="T8" i="22" s="1"/>
  <c r="E8" i="22"/>
  <c r="E17" i="22" s="1"/>
  <c r="D8" i="22"/>
  <c r="D17" i="22" s="1"/>
  <c r="C8" i="22"/>
  <c r="J8" i="22" s="1"/>
  <c r="Q8" i="22" s="1"/>
  <c r="B8" i="22"/>
  <c r="B17" i="22" s="1"/>
  <c r="X145" i="9" l="1"/>
  <c r="X147" i="9"/>
  <c r="W147" i="9"/>
  <c r="W155" i="9"/>
  <c r="V147" i="9"/>
  <c r="X153" i="9"/>
  <c r="V153" i="9"/>
  <c r="W153" i="9"/>
  <c r="V155" i="9"/>
  <c r="X155" i="9"/>
  <c r="Y153" i="9"/>
  <c r="Y155" i="9"/>
  <c r="W145" i="9"/>
  <c r="V145" i="9"/>
  <c r="Y147" i="9"/>
  <c r="Y145" i="9"/>
  <c r="D169" i="9"/>
  <c r="D179" i="9" s="1"/>
  <c r="D170" i="9"/>
  <c r="D180" i="9" s="1"/>
  <c r="AF162" i="9"/>
  <c r="AF180" i="9"/>
  <c r="AF187" i="9" s="1"/>
  <c r="P205" i="9"/>
  <c r="AF178" i="9"/>
  <c r="AF185" i="9" s="1"/>
  <c r="E197" i="9"/>
  <c r="P204" i="9"/>
  <c r="AG179" i="9"/>
  <c r="AG186" i="9" s="1"/>
  <c r="AG180" i="9"/>
  <c r="AG187" i="9" s="1"/>
  <c r="F180" i="9"/>
  <c r="AD178" i="9"/>
  <c r="AD185" i="9" s="1"/>
  <c r="AD193" i="9" s="1"/>
  <c r="AD180" i="9"/>
  <c r="AD187" i="9" s="1"/>
  <c r="AD195" i="9" s="1"/>
  <c r="AE179" i="9"/>
  <c r="AE186" i="9" s="1"/>
  <c r="AE180" i="9"/>
  <c r="AE187" i="9" s="1"/>
  <c r="AE181" i="9"/>
  <c r="AE188" i="9" s="1"/>
  <c r="AG181" i="9"/>
  <c r="AG188" i="9" s="1"/>
  <c r="AD179" i="9"/>
  <c r="O205" i="9"/>
  <c r="AF179" i="9"/>
  <c r="AF186" i="9" s="1"/>
  <c r="AC178" i="9"/>
  <c r="AC185" i="9" s="1"/>
  <c r="AC193" i="9" s="1"/>
  <c r="AC179" i="9"/>
  <c r="AC186" i="9" s="1"/>
  <c r="Y166" i="9"/>
  <c r="V166" i="9"/>
  <c r="AC195" i="9"/>
  <c r="P201" i="9"/>
  <c r="AG162" i="9"/>
  <c r="AG193" i="9" s="1"/>
  <c r="D171" i="9"/>
  <c r="AG163" i="9"/>
  <c r="Q188" i="9"/>
  <c r="G195" i="9"/>
  <c r="G192" i="9"/>
  <c r="N202" i="9"/>
  <c r="D195" i="9"/>
  <c r="G197" i="9"/>
  <c r="AF163" i="9"/>
  <c r="F190" i="9"/>
  <c r="Q46" i="22"/>
  <c r="D129" i="22" s="1"/>
  <c r="X166" i="9"/>
  <c r="AF165" i="9"/>
  <c r="AF196" i="9" s="1"/>
  <c r="F195" i="9"/>
  <c r="AG165" i="9"/>
  <c r="AD165" i="9"/>
  <c r="AD196" i="9" s="1"/>
  <c r="V172" i="9" s="1"/>
  <c r="T53" i="3"/>
  <c r="C19" i="22" s="1"/>
  <c r="AK78" i="3"/>
  <c r="D28" i="23" s="1"/>
  <c r="AE161" i="9"/>
  <c r="AE192" i="9" s="1"/>
  <c r="AE162" i="9"/>
  <c r="AE193" i="9" s="1"/>
  <c r="AE163" i="9"/>
  <c r="E192" i="9"/>
  <c r="F169" i="9"/>
  <c r="W166" i="9"/>
  <c r="AC163" i="9"/>
  <c r="AG164" i="9"/>
  <c r="E195" i="9"/>
  <c r="H197" i="9"/>
  <c r="H190" i="9"/>
  <c r="N203" i="9"/>
  <c r="AG161" i="9"/>
  <c r="AG192" i="9" s="1"/>
  <c r="E190" i="9"/>
  <c r="H195" i="9"/>
  <c r="F197" i="9"/>
  <c r="D190" i="9"/>
  <c r="H192" i="9"/>
  <c r="O188" i="9"/>
  <c r="AE165" i="9"/>
  <c r="G190" i="9"/>
  <c r="AF161" i="9"/>
  <c r="AF192" i="9" s="1"/>
  <c r="AE164" i="9"/>
  <c r="AF164" i="9"/>
  <c r="F192" i="9"/>
  <c r="M188" i="9"/>
  <c r="P202" i="9"/>
  <c r="M189" i="9"/>
  <c r="H169" i="9"/>
  <c r="K27" i="22"/>
  <c r="H172" i="9"/>
  <c r="H182" i="9" s="1"/>
  <c r="H170" i="9"/>
  <c r="K19" i="22"/>
  <c r="E169" i="9"/>
  <c r="E171" i="9"/>
  <c r="G171" i="9"/>
  <c r="G170" i="9"/>
  <c r="J12" i="22"/>
  <c r="I37" i="22"/>
  <c r="E170" i="9"/>
  <c r="F172" i="9"/>
  <c r="F182" i="9" s="1"/>
  <c r="J48" i="22"/>
  <c r="D110" i="22" s="1"/>
  <c r="O203" i="9"/>
  <c r="F171" i="9"/>
  <c r="H171" i="9"/>
  <c r="G172" i="9"/>
  <c r="G182" i="9" s="1"/>
  <c r="E172" i="9"/>
  <c r="E182" i="9" s="1"/>
  <c r="G169" i="9"/>
  <c r="N204" i="9"/>
  <c r="N188" i="9"/>
  <c r="J21" i="22"/>
  <c r="J39" i="22"/>
  <c r="K13" i="22"/>
  <c r="N205" i="9"/>
  <c r="N201" i="9"/>
  <c r="M203" i="9"/>
  <c r="O204" i="9"/>
  <c r="Q205" i="9"/>
  <c r="P188" i="9"/>
  <c r="L49" i="22"/>
  <c r="F111" i="22" s="1"/>
  <c r="Q202" i="9"/>
  <c r="Q204" i="9"/>
  <c r="K49" i="22"/>
  <c r="E111" i="22" s="1"/>
  <c r="O201" i="9"/>
  <c r="O202" i="9"/>
  <c r="M201" i="9"/>
  <c r="Q203" i="9"/>
  <c r="Q201" i="9"/>
  <c r="M202" i="9"/>
  <c r="P203" i="9"/>
  <c r="M204" i="9"/>
  <c r="T48" i="22"/>
  <c r="G131" i="22" s="1"/>
  <c r="T27" i="22"/>
  <c r="L31" i="22"/>
  <c r="K9" i="22"/>
  <c r="S30" i="23"/>
  <c r="S32" i="23" s="1"/>
  <c r="J30" i="22"/>
  <c r="I20" i="22"/>
  <c r="I47" i="22"/>
  <c r="C109" i="22" s="1"/>
  <c r="C128" i="3"/>
  <c r="B46" i="22" s="1"/>
  <c r="C89" i="22" s="1"/>
  <c r="P12" i="23"/>
  <c r="L19" i="22"/>
  <c r="P48" i="22"/>
  <c r="C131" i="22" s="1"/>
  <c r="E18" i="23"/>
  <c r="D18" i="23"/>
  <c r="Q48" i="22"/>
  <c r="D131" i="22" s="1"/>
  <c r="P11" i="23"/>
  <c r="F18" i="23"/>
  <c r="M22" i="22"/>
  <c r="K22" i="22"/>
  <c r="J12" i="23"/>
  <c r="S46" i="22"/>
  <c r="F129" i="22" s="1"/>
  <c r="T39" i="23"/>
  <c r="T41" i="23" s="1"/>
  <c r="S12" i="22"/>
  <c r="M38" i="22"/>
  <c r="T45" i="22"/>
  <c r="G128" i="22" s="1"/>
  <c r="L47" i="22"/>
  <c r="F109" i="22" s="1"/>
  <c r="T31" i="22"/>
  <c r="D100" i="3"/>
  <c r="U75" i="3"/>
  <c r="BC125" i="3"/>
  <c r="BT50" i="3"/>
  <c r="K14" i="23"/>
  <c r="L41" i="23"/>
  <c r="P32" i="23"/>
  <c r="K50" i="23"/>
  <c r="Q41" i="23"/>
  <c r="L14" i="23"/>
  <c r="M50" i="23"/>
  <c r="K41" i="23"/>
  <c r="M14" i="23"/>
  <c r="C100" i="3"/>
  <c r="T75" i="3"/>
  <c r="AK100" i="3"/>
  <c r="AM50" i="3"/>
  <c r="BB100" i="3"/>
  <c r="BU100" i="3"/>
  <c r="BU25" i="9"/>
  <c r="L36" i="22"/>
  <c r="I46" i="22"/>
  <c r="C108" i="22" s="1"/>
  <c r="L32" i="23"/>
  <c r="M32" i="23"/>
  <c r="I41" i="23"/>
  <c r="U125" i="3"/>
  <c r="U25" i="3"/>
  <c r="AL50" i="3"/>
  <c r="BC75" i="3"/>
  <c r="BT100" i="3"/>
  <c r="BT25" i="9"/>
  <c r="I36" i="22"/>
  <c r="P46" i="22"/>
  <c r="C129" i="22" s="1"/>
  <c r="T14" i="23"/>
  <c r="S23" i="23"/>
  <c r="J50" i="23"/>
  <c r="V125" i="3"/>
  <c r="D75" i="3"/>
  <c r="U100" i="3"/>
  <c r="AL125" i="3"/>
  <c r="AL25" i="3"/>
  <c r="BC50" i="3"/>
  <c r="BT75" i="3"/>
  <c r="M39" i="22"/>
  <c r="S11" i="22"/>
  <c r="P41" i="23"/>
  <c r="J38" i="23"/>
  <c r="J41" i="23" s="1"/>
  <c r="T50" i="23"/>
  <c r="AL100" i="3"/>
  <c r="I32" i="23"/>
  <c r="V50" i="3"/>
  <c r="AM75" i="3"/>
  <c r="BB125" i="3"/>
  <c r="BU125" i="3"/>
  <c r="BU25" i="3"/>
  <c r="C125" i="3"/>
  <c r="T50" i="3"/>
  <c r="V25" i="3"/>
  <c r="AK75" i="3"/>
  <c r="BD75" i="3"/>
  <c r="E75" i="3"/>
  <c r="T125" i="3"/>
  <c r="V100" i="3"/>
  <c r="T25" i="3"/>
  <c r="AM125" i="3"/>
  <c r="AK50" i="3"/>
  <c r="AM25" i="3"/>
  <c r="BB75" i="3"/>
  <c r="BD50" i="3"/>
  <c r="BU75" i="3"/>
  <c r="BS25" i="9"/>
  <c r="K18" i="22"/>
  <c r="I40" i="22"/>
  <c r="R11" i="22"/>
  <c r="C75" i="3"/>
  <c r="E100" i="3"/>
  <c r="T100" i="3"/>
  <c r="V75" i="3"/>
  <c r="AK125" i="3"/>
  <c r="AM100" i="3"/>
  <c r="AK25" i="3"/>
  <c r="BD125" i="3"/>
  <c r="BB50" i="3"/>
  <c r="BU50" i="3"/>
  <c r="L22" i="22"/>
  <c r="I12" i="22"/>
  <c r="B110" i="22" s="1"/>
  <c r="L39" i="22"/>
  <c r="S19" i="22"/>
  <c r="T23" i="23"/>
  <c r="E125" i="3"/>
  <c r="BD100" i="3"/>
  <c r="P38" i="22"/>
  <c r="M41" i="23"/>
  <c r="D125" i="3"/>
  <c r="U50" i="3"/>
  <c r="AL75" i="3"/>
  <c r="BC100" i="3"/>
  <c r="BT125" i="3"/>
  <c r="BT25" i="3"/>
  <c r="I31" i="22"/>
  <c r="L46" i="22"/>
  <c r="F108" i="22" s="1"/>
  <c r="R38" i="22"/>
  <c r="L50" i="23"/>
  <c r="I14" i="23"/>
  <c r="K32" i="23"/>
  <c r="BD25" i="3"/>
  <c r="BC25" i="3"/>
  <c r="BB25" i="3"/>
  <c r="T28" i="3"/>
  <c r="B19" i="23" s="1"/>
  <c r="AK53" i="3"/>
  <c r="C28" i="23" s="1"/>
  <c r="BB78" i="3"/>
  <c r="D37" i="23" s="1"/>
  <c r="M30" i="22"/>
  <c r="L11" i="22"/>
  <c r="M29" i="22"/>
  <c r="L10" i="22"/>
  <c r="M31" i="22"/>
  <c r="J13" i="23"/>
  <c r="K29" i="22"/>
  <c r="J10" i="23"/>
  <c r="L28" i="22"/>
  <c r="K46" i="22"/>
  <c r="E108" i="22" s="1"/>
  <c r="M21" i="22"/>
  <c r="M27" i="22"/>
  <c r="M40" i="22"/>
  <c r="I38" i="22"/>
  <c r="I45" i="22"/>
  <c r="C107" i="22" s="1"/>
  <c r="K11" i="22"/>
  <c r="L13" i="22"/>
  <c r="L27" i="22"/>
  <c r="L38" i="22"/>
  <c r="L48" i="22"/>
  <c r="F110" i="22" s="1"/>
  <c r="M45" i="22"/>
  <c r="G107" i="22" s="1"/>
  <c r="K38" i="22"/>
  <c r="K48" i="22"/>
  <c r="E110" i="22" s="1"/>
  <c r="L45" i="22"/>
  <c r="F107" i="22" s="1"/>
  <c r="K10" i="22"/>
  <c r="I39" i="22"/>
  <c r="L29" i="22"/>
  <c r="M48" i="22"/>
  <c r="G110" i="22" s="1"/>
  <c r="K36" i="22"/>
  <c r="M47" i="22"/>
  <c r="G109" i="22" s="1"/>
  <c r="K45" i="22"/>
  <c r="E107" i="22" s="1"/>
  <c r="I18" i="22"/>
  <c r="M20" i="22"/>
  <c r="I13" i="22"/>
  <c r="B111" i="22" s="1"/>
  <c r="I10" i="22"/>
  <c r="B108" i="22" s="1"/>
  <c r="K39" i="22"/>
  <c r="L30" i="22"/>
  <c r="L12" i="22"/>
  <c r="L9" i="22"/>
  <c r="K40" i="22"/>
  <c r="M19" i="22"/>
  <c r="I30" i="22"/>
  <c r="I27" i="22"/>
  <c r="M36" i="22"/>
  <c r="L21" i="22"/>
  <c r="I9" i="22"/>
  <c r="B107" i="22" s="1"/>
  <c r="L40" i="22"/>
  <c r="J29" i="23"/>
  <c r="J32" i="23" s="1"/>
  <c r="K47" i="22"/>
  <c r="E109" i="22" s="1"/>
  <c r="M37" i="22"/>
  <c r="M46" i="22"/>
  <c r="G108" i="22" s="1"/>
  <c r="T28" i="22"/>
  <c r="S38" i="22"/>
  <c r="T46" i="22"/>
  <c r="G129" i="22" s="1"/>
  <c r="R13" i="22"/>
  <c r="S29" i="22"/>
  <c r="R19" i="22"/>
  <c r="T22" i="23"/>
  <c r="Q9" i="22"/>
  <c r="P36" i="22"/>
  <c r="P47" i="22"/>
  <c r="C130" i="22" s="1"/>
  <c r="T9" i="22"/>
  <c r="Q36" i="22"/>
  <c r="Q45" i="22"/>
  <c r="D128" i="22" s="1"/>
  <c r="S21" i="22"/>
  <c r="T19" i="22"/>
  <c r="P45" i="22"/>
  <c r="C128" i="22" s="1"/>
  <c r="T10" i="22"/>
  <c r="T36" i="22"/>
  <c r="S45" i="22"/>
  <c r="F128" i="22" s="1"/>
  <c r="P13" i="22"/>
  <c r="B132" i="22" s="1"/>
  <c r="S18" i="22"/>
  <c r="Q10" i="22"/>
  <c r="R10" i="22"/>
  <c r="R29" i="22"/>
  <c r="R37" i="22"/>
  <c r="R45" i="22"/>
  <c r="E128" i="22" s="1"/>
  <c r="R47" i="22"/>
  <c r="E130" i="22" s="1"/>
  <c r="T40" i="23"/>
  <c r="T22" i="22"/>
  <c r="R30" i="23"/>
  <c r="R32" i="23" s="1"/>
  <c r="Q20" i="22"/>
  <c r="S47" i="22"/>
  <c r="F130" i="22" s="1"/>
  <c r="S40" i="23"/>
  <c r="S22" i="22"/>
  <c r="R31" i="22"/>
  <c r="R9" i="22"/>
  <c r="R27" i="22"/>
  <c r="Q13" i="22"/>
  <c r="P37" i="22"/>
  <c r="R40" i="22"/>
  <c r="S20" i="22"/>
  <c r="T47" i="22"/>
  <c r="G130" i="22" s="1"/>
  <c r="S13" i="22"/>
  <c r="S31" i="22"/>
  <c r="Q47" i="22"/>
  <c r="D130" i="22" s="1"/>
  <c r="P49" i="22"/>
  <c r="C132" i="22" s="1"/>
  <c r="R11" i="23"/>
  <c r="R36" i="22"/>
  <c r="R12" i="22"/>
  <c r="P49" i="23"/>
  <c r="R20" i="22"/>
  <c r="Q29" i="22"/>
  <c r="S36" i="22"/>
  <c r="T38" i="22"/>
  <c r="R48" i="23"/>
  <c r="R50" i="23" s="1"/>
  <c r="T49" i="22"/>
  <c r="G132" i="22" s="1"/>
  <c r="S48" i="23"/>
  <c r="S50" i="23" s="1"/>
  <c r="Q37" i="22"/>
  <c r="S49" i="23"/>
  <c r="Q31" i="22"/>
  <c r="P9" i="22"/>
  <c r="B128" i="22" s="1"/>
  <c r="Q11" i="22"/>
  <c r="P28" i="22"/>
  <c r="Q28" i="22"/>
  <c r="T29" i="22"/>
  <c r="S9" i="22"/>
  <c r="R28" i="22"/>
  <c r="T20" i="22"/>
  <c r="S28" i="22"/>
  <c r="P19" i="22"/>
  <c r="T37" i="22"/>
  <c r="Q13" i="23"/>
  <c r="J19" i="22"/>
  <c r="T54" i="3"/>
  <c r="C20" i="23" s="1"/>
  <c r="T27" i="3"/>
  <c r="B18" i="23" s="1"/>
  <c r="AK79" i="3"/>
  <c r="D29" i="23" s="1"/>
  <c r="AK52" i="3"/>
  <c r="C27" i="23" s="1"/>
  <c r="BB104" i="3"/>
  <c r="E38" i="23" s="1"/>
  <c r="BB77" i="3"/>
  <c r="D36" i="23" s="1"/>
  <c r="BS129" i="3"/>
  <c r="F47" i="23" s="1"/>
  <c r="BS29" i="3"/>
  <c r="B47" i="23" s="1"/>
  <c r="AK28" i="3"/>
  <c r="B28" i="23" s="1"/>
  <c r="BB53" i="3"/>
  <c r="C37" i="23" s="1"/>
  <c r="T11" i="22"/>
  <c r="Q39" i="22"/>
  <c r="C129" i="3"/>
  <c r="B47" i="22" s="1"/>
  <c r="C87" i="22" s="1"/>
  <c r="K28" i="22"/>
  <c r="P18" i="22"/>
  <c r="K12" i="22"/>
  <c r="K30" i="22"/>
  <c r="I28" i="22"/>
  <c r="Q18" i="22"/>
  <c r="Q38" i="22"/>
  <c r="T128" i="3"/>
  <c r="C46" i="22" s="1"/>
  <c r="D89" i="22" s="1"/>
  <c r="T103" i="3"/>
  <c r="E19" i="23" s="1"/>
  <c r="AK128" i="3"/>
  <c r="D46" i="22" s="1"/>
  <c r="E89" i="22" s="1"/>
  <c r="T129" i="3"/>
  <c r="F20" i="23" s="1"/>
  <c r="T29" i="3"/>
  <c r="B20" i="23" s="1"/>
  <c r="AK127" i="3"/>
  <c r="D45" i="22" s="1"/>
  <c r="AK54" i="3"/>
  <c r="C29" i="23" s="1"/>
  <c r="AK27" i="3"/>
  <c r="B27" i="23" s="1"/>
  <c r="BB79" i="3"/>
  <c r="D38" i="23" s="1"/>
  <c r="BB52" i="3"/>
  <c r="E18" i="22" s="1"/>
  <c r="E76" i="22" s="1"/>
  <c r="BS104" i="3"/>
  <c r="F38" i="22" s="1"/>
  <c r="C103" i="3"/>
  <c r="E10" i="23" s="1"/>
  <c r="T78" i="3"/>
  <c r="C28" i="22" s="1"/>
  <c r="AK103" i="3"/>
  <c r="E28" i="23" s="1"/>
  <c r="BB128" i="3"/>
  <c r="E46" i="22" s="1"/>
  <c r="F89" i="22" s="1"/>
  <c r="BB28" i="3"/>
  <c r="B37" i="23" s="1"/>
  <c r="I11" i="22"/>
  <c r="B109" i="22" s="1"/>
  <c r="L37" i="22"/>
  <c r="I49" i="22"/>
  <c r="C111" i="22" s="1"/>
  <c r="P27" i="22"/>
  <c r="C79" i="3"/>
  <c r="D11" i="23" s="1"/>
  <c r="E9" i="23"/>
  <c r="T104" i="3"/>
  <c r="E20" i="23" s="1"/>
  <c r="AK129" i="3"/>
  <c r="F29" i="23" s="1"/>
  <c r="AK102" i="3"/>
  <c r="E27" i="23" s="1"/>
  <c r="AK29" i="3"/>
  <c r="D11" i="22" s="1"/>
  <c r="BB127" i="3"/>
  <c r="F36" i="23" s="1"/>
  <c r="BB54" i="3"/>
  <c r="C38" i="23" s="1"/>
  <c r="BB27" i="3"/>
  <c r="B36" i="23" s="1"/>
  <c r="BS79" i="3"/>
  <c r="D47" i="23" s="1"/>
  <c r="K31" i="22"/>
  <c r="S10" i="22"/>
  <c r="Q27" i="22"/>
  <c r="BB103" i="3"/>
  <c r="E37" i="23" s="1"/>
  <c r="P10" i="22"/>
  <c r="B129" i="22" s="1"/>
  <c r="R18" i="22"/>
  <c r="C104" i="3"/>
  <c r="E11" i="23" s="1"/>
  <c r="T79" i="3"/>
  <c r="D20" i="23" s="1"/>
  <c r="C18" i="23"/>
  <c r="AK104" i="3"/>
  <c r="D38" i="22" s="1"/>
  <c r="AK77" i="3"/>
  <c r="D27" i="23" s="1"/>
  <c r="BB129" i="3"/>
  <c r="E47" i="22" s="1"/>
  <c r="F87" i="22" s="1"/>
  <c r="BB102" i="3"/>
  <c r="E36" i="23" s="1"/>
  <c r="BB29" i="3"/>
  <c r="E11" i="22" s="1"/>
  <c r="BS54" i="3"/>
  <c r="C47" i="23" s="1"/>
  <c r="M18" i="22"/>
  <c r="K21" i="22"/>
  <c r="R46" i="22"/>
  <c r="E129" i="22" s="1"/>
  <c r="Q40" i="22"/>
  <c r="E12" i="23"/>
  <c r="B39" i="22"/>
  <c r="D21" i="23"/>
  <c r="C30" i="22"/>
  <c r="E30" i="23"/>
  <c r="D39" i="22"/>
  <c r="F39" i="23"/>
  <c r="E48" i="22"/>
  <c r="F90" i="22" s="1"/>
  <c r="B39" i="23"/>
  <c r="E12" i="22"/>
  <c r="D30" i="23"/>
  <c r="D30" i="22"/>
  <c r="E39" i="23"/>
  <c r="E39" i="22"/>
  <c r="F21" i="23"/>
  <c r="C48" i="22"/>
  <c r="D90" i="22" s="1"/>
  <c r="B21" i="23"/>
  <c r="C12" i="22"/>
  <c r="C30" i="23"/>
  <c r="D21" i="22"/>
  <c r="D39" i="23"/>
  <c r="E30" i="22"/>
  <c r="F12" i="23"/>
  <c r="B48" i="22"/>
  <c r="C90" i="22" s="1"/>
  <c r="C21" i="23"/>
  <c r="C21" i="22"/>
  <c r="E21" i="23"/>
  <c r="C39" i="22"/>
  <c r="F30" i="23"/>
  <c r="D48" i="22"/>
  <c r="E90" i="22" s="1"/>
  <c r="B30" i="23"/>
  <c r="D12" i="22"/>
  <c r="C39" i="23"/>
  <c r="E21" i="22"/>
  <c r="J38" i="22"/>
  <c r="L20" i="23"/>
  <c r="J20" i="22"/>
  <c r="J20" i="23"/>
  <c r="P39" i="22"/>
  <c r="S12" i="23"/>
  <c r="S14" i="23" s="1"/>
  <c r="Q21" i="22"/>
  <c r="Q21" i="23"/>
  <c r="Q23" i="23" s="1"/>
  <c r="S30" i="22"/>
  <c r="R39" i="23"/>
  <c r="R41" i="23" s="1"/>
  <c r="Q22" i="22"/>
  <c r="Q22" i="23"/>
  <c r="J40" i="22"/>
  <c r="L22" i="23"/>
  <c r="J22" i="22"/>
  <c r="J22" i="23"/>
  <c r="T30" i="23"/>
  <c r="T32" i="23" s="1"/>
  <c r="R48" i="22"/>
  <c r="E131" i="22" s="1"/>
  <c r="P40" i="22"/>
  <c r="S13" i="23"/>
  <c r="J45" i="22"/>
  <c r="D107" i="22" s="1"/>
  <c r="M18" i="23"/>
  <c r="J27" i="22"/>
  <c r="K18" i="23"/>
  <c r="J9" i="22"/>
  <c r="I18" i="23"/>
  <c r="J28" i="22"/>
  <c r="Q30" i="23"/>
  <c r="Q32" i="23" s="1"/>
  <c r="R21" i="22"/>
  <c r="S39" i="22"/>
  <c r="S39" i="23"/>
  <c r="S41" i="23" s="1"/>
  <c r="R12" i="23"/>
  <c r="P30" i="22"/>
  <c r="J46" i="22"/>
  <c r="D108" i="22" s="1"/>
  <c r="M19" i="23"/>
  <c r="J10" i="22"/>
  <c r="I19" i="23"/>
  <c r="P20" i="22"/>
  <c r="R49" i="22"/>
  <c r="E132" i="22" s="1"/>
  <c r="T31" i="23"/>
  <c r="J47" i="22"/>
  <c r="D109" i="22" s="1"/>
  <c r="M20" i="23"/>
  <c r="J29" i="22"/>
  <c r="K20" i="23"/>
  <c r="J11" i="22"/>
  <c r="I20" i="23"/>
  <c r="J49" i="22"/>
  <c r="D111" i="22" s="1"/>
  <c r="M22" i="23"/>
  <c r="J31" i="22"/>
  <c r="K22" i="23"/>
  <c r="J13" i="22"/>
  <c r="I22" i="23"/>
  <c r="M49" i="22"/>
  <c r="G111" i="22" s="1"/>
  <c r="I48" i="22"/>
  <c r="C110" i="22" s="1"/>
  <c r="T18" i="22"/>
  <c r="R21" i="23"/>
  <c r="R23" i="23" s="1"/>
  <c r="Q30" i="22"/>
  <c r="Q31" i="23"/>
  <c r="R22" i="22"/>
  <c r="T12" i="22"/>
  <c r="P48" i="23"/>
  <c r="P50" i="23" s="1"/>
  <c r="J36" i="22"/>
  <c r="L18" i="23"/>
  <c r="J18" i="22"/>
  <c r="J18" i="23"/>
  <c r="I29" i="22"/>
  <c r="P21" i="22"/>
  <c r="Q12" i="23"/>
  <c r="Q14" i="23" s="1"/>
  <c r="J37" i="22"/>
  <c r="L19" i="23"/>
  <c r="L18" i="22"/>
  <c r="M28" i="22"/>
  <c r="K37" i="22"/>
  <c r="Q19" i="22"/>
  <c r="S27" i="22"/>
  <c r="S37" i="22"/>
  <c r="T21" i="22"/>
  <c r="Q48" i="23"/>
  <c r="Q50" i="23" s="1"/>
  <c r="P21" i="23"/>
  <c r="P23" i="23" s="1"/>
  <c r="Q12" i="22"/>
  <c r="P31" i="22"/>
  <c r="R13" i="23"/>
  <c r="F35" i="23"/>
  <c r="M26" i="23"/>
  <c r="T26" i="23" s="1"/>
  <c r="E35" i="23"/>
  <c r="L26" i="23"/>
  <c r="S26" i="23" s="1"/>
  <c r="D35" i="23"/>
  <c r="K26" i="23"/>
  <c r="R26" i="23" s="1"/>
  <c r="B44" i="23"/>
  <c r="I44" i="23" s="1"/>
  <c r="P44" i="23" s="1"/>
  <c r="I35" i="23"/>
  <c r="P35" i="23" s="1"/>
  <c r="C35" i="23"/>
  <c r="J26" i="23"/>
  <c r="Q26" i="23" s="1"/>
  <c r="C78" i="3"/>
  <c r="C80" i="3"/>
  <c r="L8" i="22"/>
  <c r="S8" i="22" s="1"/>
  <c r="F17" i="22"/>
  <c r="L17" i="22"/>
  <c r="S17" i="22" s="1"/>
  <c r="E26" i="22"/>
  <c r="D26" i="22"/>
  <c r="K17" i="22"/>
  <c r="R17" i="22" s="1"/>
  <c r="K8" i="22"/>
  <c r="R8" i="22" s="1"/>
  <c r="C17" i="22"/>
  <c r="B26" i="22"/>
  <c r="I17" i="22"/>
  <c r="P17" i="22" s="1"/>
  <c r="I8" i="22"/>
  <c r="P8" i="22" s="1"/>
  <c r="D79" i="22" l="1"/>
  <c r="E88" i="22"/>
  <c r="X172" i="9"/>
  <c r="AF195" i="9"/>
  <c r="AF193" i="9"/>
  <c r="AE194" i="9"/>
  <c r="H181" i="9"/>
  <c r="Q191" i="9" s="1"/>
  <c r="H179" i="9"/>
  <c r="Q189" i="9" s="1"/>
  <c r="H180" i="9"/>
  <c r="AG195" i="9"/>
  <c r="AG194" i="9"/>
  <c r="G180" i="9"/>
  <c r="G179" i="9"/>
  <c r="P189" i="9" s="1"/>
  <c r="G181" i="9"/>
  <c r="P191" i="9" s="1"/>
  <c r="F181" i="9"/>
  <c r="O191" i="9" s="1"/>
  <c r="AE196" i="9"/>
  <c r="W172" i="9" s="1"/>
  <c r="F179" i="9"/>
  <c r="O189" i="9" s="1"/>
  <c r="E180" i="9"/>
  <c r="E181" i="9"/>
  <c r="N191" i="9" s="1"/>
  <c r="E179" i="9"/>
  <c r="N189" i="9" s="1"/>
  <c r="AD186" i="9"/>
  <c r="AD194" i="9" s="1"/>
  <c r="AC194" i="9"/>
  <c r="D181" i="9"/>
  <c r="M191" i="9" s="1"/>
  <c r="AE195" i="9"/>
  <c r="AF194" i="9"/>
  <c r="AG196" i="9"/>
  <c r="Y172" i="9" s="1"/>
  <c r="M190" i="9"/>
  <c r="O190" i="9"/>
  <c r="C19" i="23"/>
  <c r="C23" i="23" s="1"/>
  <c r="F10" i="23"/>
  <c r="D28" i="22"/>
  <c r="O192" i="9"/>
  <c r="W171" i="9" s="1"/>
  <c r="N192" i="9"/>
  <c r="V171" i="9" s="1"/>
  <c r="Q192" i="9"/>
  <c r="Y171" i="9" s="1"/>
  <c r="P192" i="9"/>
  <c r="X171" i="9" s="1"/>
  <c r="I23" i="22"/>
  <c r="D37" i="22"/>
  <c r="P14" i="23"/>
  <c r="J14" i="23"/>
  <c r="L23" i="22"/>
  <c r="E29" i="23"/>
  <c r="E32" i="23" s="1"/>
  <c r="F11" i="23"/>
  <c r="K32" i="22"/>
  <c r="D99" i="22" s="1"/>
  <c r="K23" i="23"/>
  <c r="L23" i="23"/>
  <c r="M23" i="22"/>
  <c r="D41" i="23"/>
  <c r="R41" i="22"/>
  <c r="M23" i="23"/>
  <c r="R14" i="23"/>
  <c r="J32" i="22"/>
  <c r="C99" i="22" s="1"/>
  <c r="P50" i="22"/>
  <c r="B121" i="22" s="1"/>
  <c r="Q14" i="22"/>
  <c r="C119" i="22" s="1"/>
  <c r="I32" i="22"/>
  <c r="B99" i="22" s="1"/>
  <c r="Q23" i="22"/>
  <c r="K23" i="22"/>
  <c r="T50" i="22"/>
  <c r="F121" i="22" s="1"/>
  <c r="K14" i="22"/>
  <c r="D98" i="22" s="1"/>
  <c r="J14" i="22"/>
  <c r="C98" i="22" s="1"/>
  <c r="T32" i="22"/>
  <c r="F120" i="22" s="1"/>
  <c r="J23" i="23"/>
  <c r="J23" i="22"/>
  <c r="I50" i="22"/>
  <c r="B100" i="22" s="1"/>
  <c r="B23" i="23"/>
  <c r="E41" i="23"/>
  <c r="R23" i="22"/>
  <c r="P23" i="22"/>
  <c r="S50" i="22"/>
  <c r="E121" i="22" s="1"/>
  <c r="T14" i="22"/>
  <c r="F119" i="22" s="1"/>
  <c r="I14" i="22"/>
  <c r="B98" i="22" s="1"/>
  <c r="T23" i="22"/>
  <c r="Q32" i="22"/>
  <c r="C120" i="22" s="1"/>
  <c r="B38" i="22"/>
  <c r="Q41" i="22"/>
  <c r="L14" i="22"/>
  <c r="E98" i="22" s="1"/>
  <c r="S32" i="22"/>
  <c r="E120" i="22" s="1"/>
  <c r="E27" i="22"/>
  <c r="E77" i="22" s="1"/>
  <c r="S14" i="22"/>
  <c r="E119" i="22" s="1"/>
  <c r="R50" i="22"/>
  <c r="D121" i="22" s="1"/>
  <c r="T41" i="22"/>
  <c r="K41" i="22"/>
  <c r="M50" i="22"/>
  <c r="F100" i="22" s="1"/>
  <c r="L41" i="22"/>
  <c r="P32" i="22"/>
  <c r="B120" i="22" s="1"/>
  <c r="L32" i="22"/>
  <c r="E99" i="22" s="1"/>
  <c r="D20" i="22"/>
  <c r="J50" i="22"/>
  <c r="C100" i="22" s="1"/>
  <c r="R14" i="22"/>
  <c r="D119" i="22" s="1"/>
  <c r="K50" i="22"/>
  <c r="D100" i="22" s="1"/>
  <c r="I23" i="23"/>
  <c r="D32" i="23"/>
  <c r="E14" i="23"/>
  <c r="P41" i="22"/>
  <c r="M41" i="22"/>
  <c r="M32" i="22"/>
  <c r="F99" i="22" s="1"/>
  <c r="I41" i="22"/>
  <c r="C32" i="23"/>
  <c r="J41" i="22"/>
  <c r="E23" i="23"/>
  <c r="P14" i="22"/>
  <c r="B119" i="22" s="1"/>
  <c r="S41" i="22"/>
  <c r="R32" i="22"/>
  <c r="D120" i="22" s="1"/>
  <c r="S23" i="22"/>
  <c r="Q50" i="22"/>
  <c r="C121" i="22" s="1"/>
  <c r="L50" i="22"/>
  <c r="E100" i="22" s="1"/>
  <c r="D47" i="22"/>
  <c r="E87" i="22" s="1"/>
  <c r="C47" i="22"/>
  <c r="D87" i="22" s="1"/>
  <c r="E47" i="23"/>
  <c r="F38" i="23"/>
  <c r="E10" i="22"/>
  <c r="F29" i="22"/>
  <c r="C45" i="22"/>
  <c r="C36" i="23"/>
  <c r="C41" i="23" s="1"/>
  <c r="D19" i="22"/>
  <c r="F37" i="23"/>
  <c r="E29" i="22"/>
  <c r="C37" i="22"/>
  <c r="F19" i="23"/>
  <c r="F23" i="23" s="1"/>
  <c r="C27" i="22"/>
  <c r="C77" i="22" s="1"/>
  <c r="C10" i="22"/>
  <c r="C38" i="22"/>
  <c r="F28" i="23"/>
  <c r="D9" i="22"/>
  <c r="D75" i="22" s="1"/>
  <c r="D27" i="22"/>
  <c r="D77" i="22" s="1"/>
  <c r="E9" i="22"/>
  <c r="E75" i="22" s="1"/>
  <c r="B36" i="22"/>
  <c r="B78" i="22" s="1"/>
  <c r="F47" i="22"/>
  <c r="G87" i="22" s="1"/>
  <c r="C11" i="22"/>
  <c r="C20" i="22"/>
  <c r="F11" i="22"/>
  <c r="D29" i="22"/>
  <c r="B29" i="23"/>
  <c r="B32" i="23" s="1"/>
  <c r="E19" i="22"/>
  <c r="D36" i="22"/>
  <c r="D78" i="22" s="1"/>
  <c r="B37" i="22"/>
  <c r="D10" i="22"/>
  <c r="C9" i="22"/>
  <c r="C75" i="22" s="1"/>
  <c r="E28" i="22"/>
  <c r="B38" i="23"/>
  <c r="B41" i="23" s="1"/>
  <c r="E36" i="22"/>
  <c r="E78" i="22" s="1"/>
  <c r="F20" i="22"/>
  <c r="E38" i="22"/>
  <c r="C29" i="22"/>
  <c r="B29" i="22"/>
  <c r="E20" i="22"/>
  <c r="C36" i="22"/>
  <c r="C78" i="22" s="1"/>
  <c r="D18" i="22"/>
  <c r="D76" i="22" s="1"/>
  <c r="D19" i="23"/>
  <c r="D23" i="23" s="1"/>
  <c r="F27" i="23"/>
  <c r="C18" i="22"/>
  <c r="C76" i="22" s="1"/>
  <c r="E37" i="22"/>
  <c r="E45" i="22"/>
  <c r="D12" i="23"/>
  <c r="B30" i="22"/>
  <c r="D10" i="23"/>
  <c r="B28" i="22"/>
  <c r="E44" i="23"/>
  <c r="L44" i="23" s="1"/>
  <c r="S44" i="23" s="1"/>
  <c r="L35" i="23"/>
  <c r="S35" i="23" s="1"/>
  <c r="D44" i="23"/>
  <c r="K44" i="23" s="1"/>
  <c r="R44" i="23" s="1"/>
  <c r="K35" i="23"/>
  <c r="R35" i="23" s="1"/>
  <c r="C44" i="23"/>
  <c r="J44" i="23" s="1"/>
  <c r="Q44" i="23" s="1"/>
  <c r="J35" i="23"/>
  <c r="Q35" i="23" s="1"/>
  <c r="F44" i="23"/>
  <c r="M44" i="23" s="1"/>
  <c r="T44" i="23" s="1"/>
  <c r="M35" i="23"/>
  <c r="T35" i="23" s="1"/>
  <c r="D35" i="22"/>
  <c r="K26" i="22"/>
  <c r="R26" i="22" s="1"/>
  <c r="E35" i="22"/>
  <c r="L26" i="22"/>
  <c r="S26" i="22" s="1"/>
  <c r="B35" i="22"/>
  <c r="I26" i="22"/>
  <c r="P26" i="22" s="1"/>
  <c r="M17" i="22"/>
  <c r="T17" i="22" s="1"/>
  <c r="F26" i="22"/>
  <c r="J17" i="22"/>
  <c r="Q17" i="22" s="1"/>
  <c r="C26" i="22"/>
  <c r="W146" i="9" l="1"/>
  <c r="W148" i="9" s="1"/>
  <c r="X146" i="9"/>
  <c r="X148" i="9" s="1"/>
  <c r="Y146" i="9"/>
  <c r="Y148" i="9" s="1"/>
  <c r="V146" i="9"/>
  <c r="V148" i="9" s="1"/>
  <c r="E79" i="22"/>
  <c r="F88" i="22"/>
  <c r="C79" i="22"/>
  <c r="D88" i="22"/>
  <c r="W154" i="9"/>
  <c r="W156" i="9" s="1"/>
  <c r="Q190" i="9"/>
  <c r="Y154" i="9"/>
  <c r="Y156" i="9" s="1"/>
  <c r="X154" i="9"/>
  <c r="X156" i="9" s="1"/>
  <c r="V154" i="9"/>
  <c r="V156" i="9" s="1"/>
  <c r="N190" i="9"/>
  <c r="P190" i="9"/>
  <c r="C23" i="22"/>
  <c r="D41" i="22"/>
  <c r="F41" i="23"/>
  <c r="D50" i="22"/>
  <c r="D70" i="22" s="1"/>
  <c r="E14" i="22"/>
  <c r="E68" i="22" s="1"/>
  <c r="E50" i="22"/>
  <c r="E70" i="22" s="1"/>
  <c r="B41" i="22"/>
  <c r="D23" i="22"/>
  <c r="E23" i="22"/>
  <c r="E41" i="22"/>
  <c r="C41" i="22"/>
  <c r="C50" i="22"/>
  <c r="C70" i="22" s="1"/>
  <c r="E32" i="22"/>
  <c r="E69" i="22" s="1"/>
  <c r="C32" i="22"/>
  <c r="C69" i="22" s="1"/>
  <c r="C14" i="22"/>
  <c r="C68" i="22" s="1"/>
  <c r="D32" i="22"/>
  <c r="D69" i="22" s="1"/>
  <c r="F32" i="23"/>
  <c r="D14" i="22"/>
  <c r="D68" i="22" s="1"/>
  <c r="F35" i="22"/>
  <c r="M26" i="22"/>
  <c r="T26" i="22" s="1"/>
  <c r="B44" i="22"/>
  <c r="I44" i="22" s="1"/>
  <c r="P44" i="22" s="1"/>
  <c r="I35" i="22"/>
  <c r="P35" i="22" s="1"/>
  <c r="E44" i="22"/>
  <c r="L44" i="22" s="1"/>
  <c r="S44" i="22" s="1"/>
  <c r="L35" i="22"/>
  <c r="S35" i="22" s="1"/>
  <c r="C35" i="22"/>
  <c r="J26" i="22"/>
  <c r="Q26" i="22" s="1"/>
  <c r="D44" i="22"/>
  <c r="K44" i="22" s="1"/>
  <c r="R44" i="22" s="1"/>
  <c r="K35" i="22"/>
  <c r="R35" i="22" s="1"/>
  <c r="C44" i="22" l="1"/>
  <c r="J44" i="22" s="1"/>
  <c r="Q44" i="22" s="1"/>
  <c r="J35" i="22"/>
  <c r="Q35" i="22" s="1"/>
  <c r="F44" i="22"/>
  <c r="M44" i="22" s="1"/>
  <c r="T44" i="22" s="1"/>
  <c r="M35" i="22"/>
  <c r="T35" i="22" s="1"/>
  <c r="BR6" i="10" l="1"/>
  <c r="BR58" i="10" s="1"/>
  <c r="AC173" i="9"/>
  <c r="BR6" i="9"/>
  <c r="BR58" i="9" s="1"/>
  <c r="BS111" i="3"/>
  <c r="F62" i="22" s="1"/>
  <c r="BS112" i="3"/>
  <c r="BS113" i="3"/>
  <c r="BS114" i="3"/>
  <c r="BS115" i="3"/>
  <c r="BS116" i="3"/>
  <c r="BS117" i="3"/>
  <c r="BS118" i="3"/>
  <c r="BS119" i="3"/>
  <c r="BS120" i="3"/>
  <c r="BS121" i="3"/>
  <c r="BS122" i="3"/>
  <c r="BS123" i="3"/>
  <c r="BS124" i="3"/>
  <c r="BS130" i="3" s="1"/>
  <c r="BS86" i="3"/>
  <c r="F61" i="22" s="1"/>
  <c r="BS87" i="3"/>
  <c r="BS88" i="3"/>
  <c r="BS89" i="3"/>
  <c r="BS90" i="3"/>
  <c r="BS91" i="3"/>
  <c r="BS92" i="3"/>
  <c r="BS93" i="3"/>
  <c r="BS94" i="3"/>
  <c r="BS95" i="3"/>
  <c r="BS96" i="3"/>
  <c r="BS97" i="3"/>
  <c r="BS98" i="3"/>
  <c r="BS99" i="3"/>
  <c r="BS105" i="3" s="1"/>
  <c r="BS61" i="3"/>
  <c r="F60" i="22" s="1"/>
  <c r="BS62" i="3"/>
  <c r="BS63" i="3"/>
  <c r="BS64" i="3"/>
  <c r="BS65" i="3"/>
  <c r="BS66" i="3"/>
  <c r="BS67" i="3"/>
  <c r="BS68" i="3"/>
  <c r="BS69" i="3"/>
  <c r="BS70" i="3"/>
  <c r="BS71" i="3"/>
  <c r="BS72" i="3"/>
  <c r="BS73" i="3"/>
  <c r="BS74" i="3"/>
  <c r="BS80" i="3" s="1"/>
  <c r="BS36" i="3"/>
  <c r="F59" i="22" s="1"/>
  <c r="BS37" i="3"/>
  <c r="BS38" i="3"/>
  <c r="BS39" i="3"/>
  <c r="BS40" i="3"/>
  <c r="BS41" i="3"/>
  <c r="BS42" i="3"/>
  <c r="BS43" i="3"/>
  <c r="BS44" i="3"/>
  <c r="BS45" i="3"/>
  <c r="BS46" i="3"/>
  <c r="BS47" i="3"/>
  <c r="BS48" i="3"/>
  <c r="BS49" i="3"/>
  <c r="BS55" i="3" s="1"/>
  <c r="BS11" i="3"/>
  <c r="F58" i="22" s="1"/>
  <c r="BS12" i="3"/>
  <c r="BS13" i="3"/>
  <c r="BS14" i="3"/>
  <c r="BS15" i="3"/>
  <c r="BS16" i="3"/>
  <c r="BS17" i="3"/>
  <c r="BS18" i="3"/>
  <c r="BS19" i="3"/>
  <c r="BS20" i="3"/>
  <c r="BS21" i="3"/>
  <c r="BS22" i="3"/>
  <c r="BS23" i="3"/>
  <c r="BS24" i="3"/>
  <c r="BS30" i="3" s="1"/>
  <c r="BR108" i="3"/>
  <c r="BR83" i="3"/>
  <c r="BR58" i="3"/>
  <c r="BR33" i="3"/>
  <c r="BR8" i="3"/>
  <c r="BA6" i="10"/>
  <c r="BA58" i="10" s="1"/>
  <c r="BA6" i="9"/>
  <c r="BA108" i="9" s="1"/>
  <c r="BA108" i="3"/>
  <c r="BA83" i="3"/>
  <c r="BA58" i="3"/>
  <c r="BA33" i="3"/>
  <c r="BA8" i="3"/>
  <c r="AJ6" i="10"/>
  <c r="AJ33" i="10" s="1"/>
  <c r="AJ6" i="9"/>
  <c r="AJ108" i="9" s="1"/>
  <c r="AJ108" i="3"/>
  <c r="AJ83" i="3"/>
  <c r="AJ58" i="3"/>
  <c r="AJ33" i="3"/>
  <c r="AJ8" i="3"/>
  <c r="S6" i="10"/>
  <c r="S8" i="10" s="1"/>
  <c r="S6" i="9"/>
  <c r="S8" i="9" s="1"/>
  <c r="S108" i="3"/>
  <c r="S83" i="3"/>
  <c r="S58" i="3"/>
  <c r="S33" i="3"/>
  <c r="S8" i="3"/>
  <c r="B6" i="9"/>
  <c r="B33" i="9" s="1"/>
  <c r="B6" i="10"/>
  <c r="B83" i="10" s="1"/>
  <c r="B108" i="3"/>
  <c r="B83" i="3"/>
  <c r="B58" i="3"/>
  <c r="B33" i="3"/>
  <c r="B8" i="3"/>
  <c r="BS128" i="3" l="1"/>
  <c r="F46" i="22" s="1"/>
  <c r="G89" i="22" s="1"/>
  <c r="BS53" i="3"/>
  <c r="F19" i="22" s="1"/>
  <c r="BS103" i="3"/>
  <c r="F37" i="22" s="1"/>
  <c r="BS78" i="3"/>
  <c r="D46" i="23" s="1"/>
  <c r="BS28" i="3"/>
  <c r="B46" i="23" s="1"/>
  <c r="F21" i="22"/>
  <c r="C48" i="23"/>
  <c r="F48" i="23"/>
  <c r="F48" i="22"/>
  <c r="G90" i="22" s="1"/>
  <c r="C46" i="23"/>
  <c r="C27" i="3"/>
  <c r="F12" i="22"/>
  <c r="B48" i="23"/>
  <c r="D48" i="23"/>
  <c r="F30" i="22"/>
  <c r="BS25" i="3"/>
  <c r="BS27" i="3"/>
  <c r="BS52" i="3"/>
  <c r="BS50" i="3"/>
  <c r="BS75" i="3"/>
  <c r="BS77" i="3"/>
  <c r="BS100" i="3"/>
  <c r="BS102" i="3"/>
  <c r="BS125" i="3"/>
  <c r="BS127" i="3"/>
  <c r="E48" i="23"/>
  <c r="F39" i="22"/>
  <c r="AC181" i="9"/>
  <c r="AC188" i="9" s="1"/>
  <c r="M149" i="9"/>
  <c r="D205" i="9" s="1"/>
  <c r="AC157" i="9"/>
  <c r="D157" i="9"/>
  <c r="D149" i="9"/>
  <c r="AC149" i="9"/>
  <c r="D165" i="9"/>
  <c r="D172" i="9" s="1"/>
  <c r="M157" i="9"/>
  <c r="D210" i="9" s="1"/>
  <c r="P25" i="3"/>
  <c r="AQ100" i="3"/>
  <c r="BE125" i="3"/>
  <c r="CD25" i="9"/>
  <c r="BV25" i="9"/>
  <c r="I100" i="3"/>
  <c r="AH100" i="3"/>
  <c r="Q50" i="3"/>
  <c r="K100" i="3"/>
  <c r="AB100" i="3"/>
  <c r="AR100" i="3"/>
  <c r="AR125" i="3"/>
  <c r="BF125" i="3"/>
  <c r="CD25" i="3"/>
  <c r="CD75" i="3"/>
  <c r="BV100" i="3"/>
  <c r="BW25" i="9"/>
  <c r="J125" i="3"/>
  <c r="M25" i="3"/>
  <c r="E25" i="3"/>
  <c r="N50" i="3"/>
  <c r="F50" i="3"/>
  <c r="P75" i="3"/>
  <c r="H75" i="3"/>
  <c r="P100" i="3"/>
  <c r="H100" i="3"/>
  <c r="P125" i="3"/>
  <c r="H125" i="3"/>
  <c r="AG25" i="3"/>
  <c r="Y25" i="3"/>
  <c r="AG50" i="3"/>
  <c r="Y50" i="3"/>
  <c r="AG75" i="3"/>
  <c r="Y75" i="3"/>
  <c r="AG100" i="3"/>
  <c r="Y100" i="3"/>
  <c r="AG125" i="3"/>
  <c r="Y125" i="3"/>
  <c r="AW25" i="3"/>
  <c r="AO25" i="3"/>
  <c r="AW50" i="3"/>
  <c r="AO50" i="3"/>
  <c r="AW75" i="3"/>
  <c r="AO75" i="3"/>
  <c r="AW100" i="3"/>
  <c r="AO100" i="3"/>
  <c r="AW125" i="3"/>
  <c r="AO125" i="3"/>
  <c r="BK50" i="3"/>
  <c r="BK75" i="3"/>
  <c r="BK100" i="3"/>
  <c r="BK125" i="3"/>
  <c r="CA25" i="3"/>
  <c r="CA50" i="3"/>
  <c r="CA75" i="3"/>
  <c r="CA100" i="3"/>
  <c r="CA125" i="3"/>
  <c r="CB25" i="9"/>
  <c r="AB50" i="3"/>
  <c r="AR25" i="3"/>
  <c r="AR50" i="3"/>
  <c r="AR75" i="3"/>
  <c r="BN50" i="3"/>
  <c r="BF100" i="3"/>
  <c r="BV50" i="3"/>
  <c r="CD125" i="3"/>
  <c r="O25" i="3"/>
  <c r="J100" i="3"/>
  <c r="AA50" i="3"/>
  <c r="AA100" i="3"/>
  <c r="AY50" i="3"/>
  <c r="BE100" i="3"/>
  <c r="G50" i="3"/>
  <c r="I75" i="3"/>
  <c r="L25" i="3"/>
  <c r="D25" i="3"/>
  <c r="M50" i="3"/>
  <c r="E50" i="3"/>
  <c r="O75" i="3"/>
  <c r="G75" i="3"/>
  <c r="O100" i="3"/>
  <c r="G100" i="3"/>
  <c r="O125" i="3"/>
  <c r="G125" i="3"/>
  <c r="AF25" i="3"/>
  <c r="X25" i="3"/>
  <c r="AF50" i="3"/>
  <c r="X50" i="3"/>
  <c r="AF75" i="3"/>
  <c r="X75" i="3"/>
  <c r="AF100" i="3"/>
  <c r="X100" i="3"/>
  <c r="AF125" i="3"/>
  <c r="X125" i="3"/>
  <c r="AV25" i="3"/>
  <c r="AN25" i="3"/>
  <c r="AV50" i="3"/>
  <c r="AN50" i="3"/>
  <c r="AV75" i="3"/>
  <c r="AN75" i="3"/>
  <c r="AV100" i="3"/>
  <c r="AN100" i="3"/>
  <c r="AV125" i="3"/>
  <c r="AN125" i="3"/>
  <c r="BJ50" i="3"/>
  <c r="BJ75" i="3"/>
  <c r="BJ100" i="3"/>
  <c r="BJ125" i="3"/>
  <c r="BZ25" i="3"/>
  <c r="BZ50" i="3"/>
  <c r="BZ75" i="3"/>
  <c r="BZ100" i="3"/>
  <c r="BZ125" i="3"/>
  <c r="CA25" i="9"/>
  <c r="BE50" i="3"/>
  <c r="F25" i="3"/>
  <c r="Q125" i="3"/>
  <c r="Z25" i="3"/>
  <c r="K25" i="3"/>
  <c r="L50" i="3"/>
  <c r="D50" i="3"/>
  <c r="N75" i="3"/>
  <c r="F75" i="3"/>
  <c r="N100" i="3"/>
  <c r="F100" i="3"/>
  <c r="N125" i="3"/>
  <c r="F125" i="3"/>
  <c r="AE25" i="3"/>
  <c r="W25" i="3"/>
  <c r="AE50" i="3"/>
  <c r="W50" i="3"/>
  <c r="AE75" i="3"/>
  <c r="W75" i="3"/>
  <c r="AE100" i="3"/>
  <c r="W100" i="3"/>
  <c r="AE125" i="3"/>
  <c r="W125" i="3"/>
  <c r="AU25" i="3"/>
  <c r="AU50" i="3"/>
  <c r="AU75" i="3"/>
  <c r="AU100" i="3"/>
  <c r="AU125" i="3"/>
  <c r="BI50" i="3"/>
  <c r="BI75" i="3"/>
  <c r="BI100" i="3"/>
  <c r="BI125" i="3"/>
  <c r="CG25" i="3"/>
  <c r="BY25" i="3"/>
  <c r="CG50" i="3"/>
  <c r="BY50" i="3"/>
  <c r="CG75" i="3"/>
  <c r="BY75" i="3"/>
  <c r="CG100" i="3"/>
  <c r="BY100" i="3"/>
  <c r="CG125" i="3"/>
  <c r="BY125" i="3"/>
  <c r="BZ25" i="9"/>
  <c r="O50" i="3"/>
  <c r="J25" i="3"/>
  <c r="K50" i="3"/>
  <c r="M75" i="3"/>
  <c r="M100" i="3"/>
  <c r="M125" i="3"/>
  <c r="AD25" i="3"/>
  <c r="AD50" i="3"/>
  <c r="AD75" i="3"/>
  <c r="AD100" i="3"/>
  <c r="AD125" i="3"/>
  <c r="AT25" i="3"/>
  <c r="AT50" i="3"/>
  <c r="AT75" i="3"/>
  <c r="AT100" i="3"/>
  <c r="AT125" i="3"/>
  <c r="BP50" i="3"/>
  <c r="BH50" i="3"/>
  <c r="BP75" i="3"/>
  <c r="BH75" i="3"/>
  <c r="BP100" i="3"/>
  <c r="BH100" i="3"/>
  <c r="BP125" i="3"/>
  <c r="BH125" i="3"/>
  <c r="CF25" i="3"/>
  <c r="BX25" i="3"/>
  <c r="CF50" i="3"/>
  <c r="BX50" i="3"/>
  <c r="CF75" i="3"/>
  <c r="BX75" i="3"/>
  <c r="CF100" i="3"/>
  <c r="BX100" i="3"/>
  <c r="CF125" i="3"/>
  <c r="BX125" i="3"/>
  <c r="CG25" i="9"/>
  <c r="BY25" i="9"/>
  <c r="H25" i="3"/>
  <c r="AB125" i="3"/>
  <c r="BF50" i="3"/>
  <c r="BF75" i="3"/>
  <c r="BN100" i="3"/>
  <c r="BN125" i="3"/>
  <c r="CD100" i="3"/>
  <c r="CE25" i="9"/>
  <c r="H50" i="3"/>
  <c r="J75" i="3"/>
  <c r="AA25" i="3"/>
  <c r="AA75" i="3"/>
  <c r="AQ25" i="3"/>
  <c r="AQ75" i="3"/>
  <c r="AQ125" i="3"/>
  <c r="BM75" i="3"/>
  <c r="N25" i="3"/>
  <c r="Q100" i="3"/>
  <c r="I125" i="3"/>
  <c r="Q25" i="3"/>
  <c r="I25" i="3"/>
  <c r="J50" i="3"/>
  <c r="L75" i="3"/>
  <c r="L100" i="3"/>
  <c r="L125" i="3"/>
  <c r="AC25" i="3"/>
  <c r="AC50" i="3"/>
  <c r="AC75" i="3"/>
  <c r="AC100" i="3"/>
  <c r="AC125" i="3"/>
  <c r="AS25" i="3"/>
  <c r="AS50" i="3"/>
  <c r="AS75" i="3"/>
  <c r="AS100" i="3"/>
  <c r="AS125" i="3"/>
  <c r="BO50" i="3"/>
  <c r="BG50" i="3"/>
  <c r="BO75" i="3"/>
  <c r="BG75" i="3"/>
  <c r="BO100" i="3"/>
  <c r="BG100" i="3"/>
  <c r="BO125" i="3"/>
  <c r="BG125" i="3"/>
  <c r="CE25" i="3"/>
  <c r="BW25" i="3"/>
  <c r="CE50" i="3"/>
  <c r="BW50" i="3"/>
  <c r="CE75" i="3"/>
  <c r="BW75" i="3"/>
  <c r="CE100" i="3"/>
  <c r="BW100" i="3"/>
  <c r="CE125" i="3"/>
  <c r="BW125" i="3"/>
  <c r="CF25" i="9"/>
  <c r="BX25" i="9"/>
  <c r="I50" i="3"/>
  <c r="K75" i="3"/>
  <c r="K125" i="3"/>
  <c r="AB25" i="3"/>
  <c r="AB75" i="3"/>
  <c r="BN75" i="3"/>
  <c r="BV25" i="3"/>
  <c r="CD50" i="3"/>
  <c r="BV75" i="3"/>
  <c r="BV125" i="3"/>
  <c r="G25" i="3"/>
  <c r="P50" i="3"/>
  <c r="AA125" i="3"/>
  <c r="AY25" i="3"/>
  <c r="AQ50" i="3"/>
  <c r="AY75" i="3"/>
  <c r="AY100" i="3"/>
  <c r="AY125" i="3"/>
  <c r="BM50" i="3"/>
  <c r="BE75" i="3"/>
  <c r="BM100" i="3"/>
  <c r="BM125" i="3"/>
  <c r="CC25" i="3"/>
  <c r="CC50" i="3"/>
  <c r="CC75" i="3"/>
  <c r="CC100" i="3"/>
  <c r="CC125" i="3"/>
  <c r="Q75" i="3"/>
  <c r="AH25" i="3"/>
  <c r="AH50" i="3"/>
  <c r="Z50" i="3"/>
  <c r="AH75" i="3"/>
  <c r="Z75" i="3"/>
  <c r="Z100" i="3"/>
  <c r="AH125" i="3"/>
  <c r="Z125" i="3"/>
  <c r="AX25" i="3"/>
  <c r="AP25" i="3"/>
  <c r="AX50" i="3"/>
  <c r="AP50" i="3"/>
  <c r="AX75" i="3"/>
  <c r="AP75" i="3"/>
  <c r="AX100" i="3"/>
  <c r="AP100" i="3"/>
  <c r="AX125" i="3"/>
  <c r="AP125" i="3"/>
  <c r="BL50" i="3"/>
  <c r="BL75" i="3"/>
  <c r="BL100" i="3"/>
  <c r="BL125" i="3"/>
  <c r="CB25" i="3"/>
  <c r="CB50" i="3"/>
  <c r="CB75" i="3"/>
  <c r="CB100" i="3"/>
  <c r="CB125" i="3"/>
  <c r="CC25" i="9"/>
  <c r="BL25" i="3"/>
  <c r="BN25" i="3"/>
  <c r="BF25" i="3"/>
  <c r="BP25" i="3"/>
  <c r="BM25" i="3"/>
  <c r="BE25" i="3"/>
  <c r="BK25" i="3"/>
  <c r="BJ25" i="3"/>
  <c r="BI25" i="3"/>
  <c r="BH25" i="3"/>
  <c r="BO25" i="3"/>
  <c r="BG25" i="3"/>
  <c r="BS31" i="9"/>
  <c r="I49" i="23" s="1"/>
  <c r="BS28" i="9"/>
  <c r="BS30" i="9"/>
  <c r="BS29" i="9"/>
  <c r="BS27" i="9"/>
  <c r="C53" i="3"/>
  <c r="C54" i="3"/>
  <c r="C55" i="3"/>
  <c r="C30" i="3"/>
  <c r="C28" i="3"/>
  <c r="C29" i="3"/>
  <c r="BR83" i="9"/>
  <c r="BA33" i="9"/>
  <c r="BR8" i="10"/>
  <c r="BR83" i="10"/>
  <c r="BA8" i="9"/>
  <c r="BA58" i="9"/>
  <c r="BA83" i="9"/>
  <c r="BA8" i="10"/>
  <c r="BA33" i="10"/>
  <c r="AJ58" i="10"/>
  <c r="AJ83" i="10"/>
  <c r="AJ108" i="10"/>
  <c r="AJ8" i="9"/>
  <c r="AJ33" i="9"/>
  <c r="AJ58" i="9"/>
  <c r="AJ83" i="9"/>
  <c r="AJ8" i="10"/>
  <c r="BR33" i="10"/>
  <c r="BR108" i="10"/>
  <c r="BR8" i="9"/>
  <c r="BR33" i="9"/>
  <c r="BR108" i="9"/>
  <c r="BA83" i="10"/>
  <c r="BA108" i="10"/>
  <c r="S108" i="9"/>
  <c r="B108" i="10"/>
  <c r="S83" i="10"/>
  <c r="B58" i="9"/>
  <c r="S33" i="10"/>
  <c r="B8" i="10"/>
  <c r="B33" i="10"/>
  <c r="B58" i="10"/>
  <c r="S58" i="10"/>
  <c r="S83" i="9"/>
  <c r="S108" i="10"/>
  <c r="S58" i="9"/>
  <c r="S33" i="9"/>
  <c r="B83" i="9"/>
  <c r="B108" i="9"/>
  <c r="B8" i="9"/>
  <c r="B59" i="22"/>
  <c r="F28" i="22" l="1"/>
  <c r="U145" i="9"/>
  <c r="U153" i="9"/>
  <c r="U147" i="9"/>
  <c r="U155" i="9"/>
  <c r="F46" i="23"/>
  <c r="F10" i="22"/>
  <c r="E46" i="23"/>
  <c r="B45" i="23"/>
  <c r="B50" i="23" s="1"/>
  <c r="F9" i="22"/>
  <c r="F75" i="22" s="1"/>
  <c r="D45" i="23"/>
  <c r="D50" i="23" s="1"/>
  <c r="F27" i="22"/>
  <c r="F77" i="22" s="1"/>
  <c r="F45" i="23"/>
  <c r="F45" i="22"/>
  <c r="F18" i="22"/>
  <c r="F76" i="22" s="1"/>
  <c r="C45" i="23"/>
  <c r="C50" i="23" s="1"/>
  <c r="E45" i="23"/>
  <c r="F36" i="22"/>
  <c r="F78" i="22" s="1"/>
  <c r="D182" i="9"/>
  <c r="U154" i="9" s="1"/>
  <c r="C25" i="3"/>
  <c r="B58" i="22"/>
  <c r="M205" i="9"/>
  <c r="AC165" i="9"/>
  <c r="AC196" i="9" s="1"/>
  <c r="U172" i="9" s="1"/>
  <c r="U166" i="9"/>
  <c r="D197" i="9"/>
  <c r="D192" i="9"/>
  <c r="C50" i="3"/>
  <c r="M13" i="22"/>
  <c r="B10" i="23"/>
  <c r="B10" i="22"/>
  <c r="B89" i="22" s="1"/>
  <c r="C10" i="23"/>
  <c r="B19" i="22"/>
  <c r="B11" i="23"/>
  <c r="B11" i="22"/>
  <c r="B87" i="22" s="1"/>
  <c r="C11" i="23"/>
  <c r="B20" i="22"/>
  <c r="I45" i="23"/>
  <c r="M9" i="22"/>
  <c r="I47" i="23"/>
  <c r="M11" i="22"/>
  <c r="I48" i="23"/>
  <c r="M12" i="22"/>
  <c r="I46" i="23"/>
  <c r="M10" i="22"/>
  <c r="B12" i="23"/>
  <c r="B12" i="22"/>
  <c r="B90" i="22" s="1"/>
  <c r="C12" i="23"/>
  <c r="B21" i="22"/>
  <c r="F50" i="23" l="1"/>
  <c r="E50" i="23"/>
  <c r="U156" i="9"/>
  <c r="F79" i="22"/>
  <c r="G88" i="22"/>
  <c r="U146" i="9"/>
  <c r="U148" i="9" s="1"/>
  <c r="F23" i="22"/>
  <c r="F50" i="22"/>
  <c r="F70" i="22" s="1"/>
  <c r="F14" i="22"/>
  <c r="F68" i="22" s="1"/>
  <c r="F32" i="22"/>
  <c r="F69" i="22" s="1"/>
  <c r="F41" i="22"/>
  <c r="M192" i="9"/>
  <c r="U171" i="9" s="1"/>
  <c r="D9" i="23"/>
  <c r="D14" i="23" s="1"/>
  <c r="B27" i="22"/>
  <c r="B77" i="22" s="1"/>
  <c r="B45" i="22"/>
  <c r="F9" i="23"/>
  <c r="F14" i="23" s="1"/>
  <c r="M14" i="22"/>
  <c r="F98" i="22" s="1"/>
  <c r="I50" i="23"/>
  <c r="B9" i="23"/>
  <c r="B14" i="23" s="1"/>
  <c r="B9" i="22"/>
  <c r="B75" i="22" s="1"/>
  <c r="C9" i="23"/>
  <c r="C14" i="23" s="1"/>
  <c r="B18" i="22"/>
  <c r="B76" i="22" s="1"/>
  <c r="C88" i="22" l="1"/>
  <c r="B79" i="22"/>
  <c r="B23" i="22"/>
  <c r="B32" i="22"/>
  <c r="B69" i="22" s="1"/>
  <c r="B50" i="22"/>
  <c r="B70" i="22" s="1"/>
  <c r="B14" i="22"/>
  <c r="B68" i="22" s="1"/>
  <c r="B88" i="22"/>
</calcChain>
</file>

<file path=xl/sharedStrings.xml><?xml version="1.0" encoding="utf-8"?>
<sst xmlns="http://schemas.openxmlformats.org/spreadsheetml/2006/main" count="11734" uniqueCount="517">
  <si>
    <r>
      <t>Aanpassing van de Runnaam alleen in CEL B3 (</t>
    </r>
    <r>
      <rPr>
        <sz val="11"/>
        <color theme="6"/>
        <rFont val="Calibri"/>
        <family val="2"/>
        <scheme val="minor"/>
      </rPr>
      <t>met een groene achtergrond</t>
    </r>
    <r>
      <rPr>
        <sz val="11"/>
        <color theme="1"/>
        <rFont val="Calibri"/>
        <family val="2"/>
        <scheme val="minor"/>
      </rPr>
      <t>), waarbij de naam maximaal 31 karakters mag zijn (maximum tabblad naam binnen Excel), Cel B4 (</t>
    </r>
    <r>
      <rPr>
        <sz val="11"/>
        <color rgb="FFFF0000"/>
        <rFont val="Calibri"/>
        <family val="2"/>
        <scheme val="minor"/>
      </rPr>
      <t>rode achtergrond</t>
    </r>
    <r>
      <rPr>
        <sz val="11"/>
        <color theme="1"/>
        <rFont val="Calibri"/>
        <family val="2"/>
        <scheme val="minor"/>
      </rPr>
      <t>) ongewijzigd laten!</t>
    </r>
  </si>
  <si>
    <t>GebouwVerbetering</t>
  </si>
  <si>
    <t>LokaleOpwekking</t>
  </si>
  <si>
    <t>Gas</t>
  </si>
  <si>
    <t>Elektra</t>
  </si>
  <si>
    <t>RestWarmte</t>
  </si>
  <si>
    <t>GeoThermie</t>
  </si>
  <si>
    <t>WKO</t>
  </si>
  <si>
    <t>WijkWKK</t>
  </si>
  <si>
    <t>BioWKK</t>
  </si>
  <si>
    <t>Onderhoud &amp; Verbruik</t>
  </si>
  <si>
    <t>CO2 Heffing</t>
  </si>
  <si>
    <t>Energie heffing</t>
  </si>
  <si>
    <t>BTW</t>
  </si>
  <si>
    <t>RisicoPremie</t>
  </si>
  <si>
    <t>Cost_Flow</t>
  </si>
  <si>
    <t>Energy_Flow</t>
  </si>
  <si>
    <t>CO2_Flow</t>
  </si>
  <si>
    <t>Totaal</t>
  </si>
  <si>
    <t>Input</t>
  </si>
  <si>
    <t>Netto</t>
  </si>
  <si>
    <t>Woning</t>
  </si>
  <si>
    <t>UitlegWoning</t>
  </si>
  <si>
    <t>Utiliteit</t>
  </si>
  <si>
    <t>Uitlegutil</t>
  </si>
  <si>
    <t>Glastuinbouw</t>
  </si>
  <si>
    <t>UItlegGlTb</t>
  </si>
  <si>
    <t>subsidie</t>
  </si>
  <si>
    <t>PJ/jaar</t>
  </si>
  <si>
    <t>Meuro/jaar</t>
  </si>
  <si>
    <t>MtonCO2/jaar</t>
  </si>
  <si>
    <t>Cost flow</t>
  </si>
  <si>
    <t>Energy flow</t>
  </si>
  <si>
    <t>CO2 flow</t>
  </si>
  <si>
    <t>Maatschappelijke kosten</t>
  </si>
  <si>
    <t>Winst/Verlies warmtebedrijven</t>
  </si>
  <si>
    <t>Overheid</t>
  </si>
  <si>
    <t>Risicopremie</t>
  </si>
  <si>
    <t>Elektriciteit</t>
  </si>
  <si>
    <t>Warmtebedrijven</t>
  </si>
  <si>
    <t>Zon-PV/Zonneboiler</t>
  </si>
  <si>
    <t>Bijstook</t>
  </si>
  <si>
    <t>_x001A_</t>
  </si>
  <si>
    <t>Totaal:</t>
  </si>
  <si>
    <t>Miljoen euro/jaar</t>
  </si>
  <si>
    <t>Mton/jaar</t>
  </si>
  <si>
    <t>Resultaten vertaald in grafieken</t>
  </si>
  <si>
    <t>Grafiektitel:</t>
  </si>
  <si>
    <t>Titel Y-as</t>
  </si>
  <si>
    <t>Energie</t>
  </si>
  <si>
    <t>Totale energievraag/aanbod over de tijd</t>
  </si>
  <si>
    <t>Energievraag voor 2050</t>
  </si>
  <si>
    <t>CO2</t>
  </si>
  <si>
    <t>Totale CO2-emissies over de tijd</t>
  </si>
  <si>
    <t>CO2-emissies in 2050</t>
  </si>
  <si>
    <t>Gas, woningen</t>
  </si>
  <si>
    <t>Warmte, woningen</t>
  </si>
  <si>
    <t>Gas, utiliteit</t>
  </si>
  <si>
    <t>Warmte, utiliteit</t>
  </si>
  <si>
    <t>Energieverbruik utiliteit</t>
  </si>
  <si>
    <t>Energieverbruik woningen</t>
  </si>
  <si>
    <t>Elektriciteitsverbruik, woningen</t>
  </si>
  <si>
    <t>Elektriciteitsverbruik eWP, woningen</t>
  </si>
  <si>
    <t>Coefficient of Performance (COP) eWP</t>
  </si>
  <si>
    <t>Warmte-opwekking eWP, woningen</t>
  </si>
  <si>
    <t>Gasvraag bestaande bouw, woningen</t>
  </si>
  <si>
    <t>Warmtevraag bestaande bouw, woningen</t>
  </si>
  <si>
    <t>Energievraag bestaande bouw, woningen</t>
  </si>
  <si>
    <t>Elektriciteitsverbruik bestaande bouw, woningen</t>
  </si>
  <si>
    <t>Warmte-opwekking eWP bestaande bouw, woningen</t>
  </si>
  <si>
    <t>Energievraag bestaande bouw (excl eWP), woningen</t>
  </si>
  <si>
    <t>Uitgangspunten en bevindingen van de WLO scenario's</t>
  </si>
  <si>
    <t>WLO uitgangsscenario:</t>
  </si>
  <si>
    <t>WLO Hoog</t>
  </si>
  <si>
    <t>Dit houdt in dat de volgende aannames van toepassing zijn:</t>
  </si>
  <si>
    <t>Economische groei</t>
  </si>
  <si>
    <t>Hoog</t>
  </si>
  <si>
    <t>Bevolkingsgroei</t>
  </si>
  <si>
    <t>Temperatuur stijging ivm energievraag</t>
  </si>
  <si>
    <t>Energieprijzen (wereldhandel)</t>
  </si>
  <si>
    <t>Laag</t>
  </si>
  <si>
    <t>Energiebelasting en CO2-heffing</t>
  </si>
  <si>
    <t>Bron voor energieprijzen</t>
  </si>
  <si>
    <t>Energiebelasting op aardgas in 2010, voor kleinverbruik</t>
  </si>
  <si>
    <t>euro2010/m3</t>
  </si>
  <si>
    <t>Energiebelasting op aardgas in 2020, voor kleinverbruik</t>
  </si>
  <si>
    <t>Energiebelasting op aardgas in 2030, voor kleinverbruik</t>
  </si>
  <si>
    <t>Energiebelasting op aardgas in 2040, voor kleinverbruik</t>
  </si>
  <si>
    <t>Energiebelasting op aardgas in 2050, voor kleinverbruik</t>
  </si>
  <si>
    <t>Energiebelasting op aardgas in 2010, voor glastuinbouw</t>
  </si>
  <si>
    <t>Energiebelasting op aardgas in 2020, voor glastuinbouw</t>
  </si>
  <si>
    <t>Energiebelasting op aardgas in 2030, voor glastuinbouw</t>
  </si>
  <si>
    <t>Energiebelasting op aardgas in 2040, voor glastuinbouw</t>
  </si>
  <si>
    <t>Energiebelasting op aardgas in 2050, voor glastuinbouw</t>
  </si>
  <si>
    <t>euro2010/kWh</t>
  </si>
  <si>
    <t>CO2 heffing</t>
  </si>
  <si>
    <t>CO2 intensiteit elektriciteit</t>
  </si>
  <si>
    <t>CO2 intensiteit elektriciteit in 2010</t>
  </si>
  <si>
    <t>kg CO2/kWh</t>
  </si>
  <si>
    <t>CO2 intensiteit elektriciteit in 2020</t>
  </si>
  <si>
    <t>CO2 intensiteit elektriciteit in 2030</t>
  </si>
  <si>
    <t>CO2 intensiteit elektriciteit in 2040</t>
  </si>
  <si>
    <t>CO2 intensiteit elektriciteit in 2050</t>
  </si>
  <si>
    <t>CO2-prijs</t>
  </si>
  <si>
    <t>CO2 prijs in 2010</t>
  </si>
  <si>
    <t>euro2010/ton CO2</t>
  </si>
  <si>
    <t>CO2 prijs in 2020</t>
  </si>
  <si>
    <t>CO2 prijs in 2030</t>
  </si>
  <si>
    <t>CO2 prijs in 2040</t>
  </si>
  <si>
    <t>CO2 prijs in 2050</t>
  </si>
  <si>
    <t>CO2-heffing voor aardgas</t>
  </si>
  <si>
    <t>Is er een CO2-heffing van toepassing op aardgas vanaf 2030?</t>
  </si>
  <si>
    <t>Ja/Nee</t>
  </si>
  <si>
    <t>Nee</t>
  </si>
  <si>
    <t>Subsidies op investeringen</t>
  </si>
  <si>
    <t>Gebouweigenaar</t>
  </si>
  <si>
    <t>Percentage van gesubsidieerde investeringskosten bij schilverbetering</t>
  </si>
  <si>
    <t>%</t>
  </si>
  <si>
    <t>Percentage van gesubsidieerde investeringskosten bij lokale opwekking</t>
  </si>
  <si>
    <t>Warmtenetten</t>
  </si>
  <si>
    <t>Percentage van gesubsidieerde investeringskosten bij warmteproducent</t>
  </si>
  <si>
    <t>Percentage van gesubsidieerde investeringskosten bij distributeur</t>
  </si>
  <si>
    <t>Percentage van gesubsidieerde investeringskosten bij transporteur</t>
  </si>
  <si>
    <t>Percentage van gesubsidieerde investeringskosten bij gebouweigenaar</t>
  </si>
  <si>
    <t>Is een vaste warmteprijs meegenomen</t>
  </si>
  <si>
    <t>Zo ja, wat is de hoogte van deze warmteprijs</t>
  </si>
  <si>
    <t>Euro2010/GJ</t>
  </si>
  <si>
    <t>Nvt</t>
  </si>
  <si>
    <t>Lagere rendementseis voor publiek-private investeringen</t>
  </si>
  <si>
    <t>Verplichte energieprestatie woningen en utiliteit</t>
  </si>
  <si>
    <t>Opleggen van energieprestatie of rendabel draaien?</t>
  </si>
  <si>
    <t>Opgelegd/rendabel</t>
  </si>
  <si>
    <t>Rendabel</t>
  </si>
  <si>
    <t>Wordt in 2020 een energielabel opgelegd, of wordt de labelsprong bepaald obv rentabiliteit?</t>
  </si>
  <si>
    <t>Wordt in 2030 een energielabel opgelegd, of wordt de labelsprong bepaald obv rentabiliteit?</t>
  </si>
  <si>
    <t>Wordt in 2040 een energielabel opgelegd, of wordt de labelsprong bepaald obv rentabiliteit?</t>
  </si>
  <si>
    <t>Wordt in 2050 een energielabel opgelegd, of wordt de labelsprong bepaald obv rentabiliteit?</t>
  </si>
  <si>
    <t>Welk energielabel wordt opgelegd wanneer deze verplicht wordt?</t>
  </si>
  <si>
    <t>Opgelegde label in 2010</t>
  </si>
  <si>
    <t>Label/Nvt</t>
  </si>
  <si>
    <t>Opgelegde label in 2020</t>
  </si>
  <si>
    <t>Opgelegde label in 2030</t>
  </si>
  <si>
    <t>Opgelegde label in 2040</t>
  </si>
  <si>
    <t>Opgelegde label in 2050</t>
  </si>
  <si>
    <t>Eenheid</t>
  </si>
  <si>
    <t>Complete run naam (zoals op Vesta server)</t>
  </si>
  <si>
    <t>Run naam, zoals gebruikt in output grafieken</t>
  </si>
  <si>
    <t>Run 1</t>
  </si>
  <si>
    <t>Run 2</t>
  </si>
  <si>
    <t>Run 3</t>
  </si>
  <si>
    <t>Run 4</t>
  </si>
  <si>
    <t>Run 5</t>
  </si>
  <si>
    <t>Bestaand</t>
  </si>
  <si>
    <t>Bestaand + Nieuwbouw</t>
  </si>
  <si>
    <t>CO2-emissie, Variant: Energiebelasting</t>
  </si>
  <si>
    <t>CO2-emissie 2050, Variant: Energiebelasting</t>
  </si>
  <si>
    <t>Warmteprijs</t>
  </si>
  <si>
    <t>Mate waarin wordt vastgehouden aan het NMDA-principe (1 is helemaal, &lt;1 gaat warmteprijs omlaag ten opzichte van gasprijs)</t>
  </si>
  <si>
    <t>0-1</t>
  </si>
  <si>
    <t>CO2-intensiteit elektriciteit</t>
  </si>
  <si>
    <t>WLO Laag</t>
  </si>
  <si>
    <t>Mton Co2/TWH</t>
  </si>
  <si>
    <t>Reductie van CO2-intensiteit in procenten t.o.v. 2010</t>
  </si>
  <si>
    <t>Investeringskosten energiebesparing</t>
  </si>
  <si>
    <t>Warmte- en elektriciteitsvraag, Variant: Energiebelasting</t>
  </si>
  <si>
    <t>Warmte- en elektriciteitsvraag 2050, Variant: Energiebelasting</t>
  </si>
  <si>
    <t>Kleinverbruik (&lt;5.000 m3/jr)</t>
  </si>
  <si>
    <t>Klein-Middelgroot Gebruik  (5001 t/m 170,000 m3)</t>
  </si>
  <si>
    <t>Midden Middelgroot Gebruik (170 duizend m3 tot 1 miljoen m3)</t>
  </si>
  <si>
    <t>Groot Middelgroot Gebruik &amp; Grootgebruik (&gt;1 miljoen m3)</t>
  </si>
  <si>
    <t>Energiebelasting op aardgas in 2010, voor kleine-middelgrote gebruikers</t>
  </si>
  <si>
    <t>Energiebelasting op aardgas in 2020, voor kleine-middelgrote gebruikers</t>
  </si>
  <si>
    <t>Energiebelasting op aardgas in 2030, voor kleine-middelgrote gebruikers</t>
  </si>
  <si>
    <t>Energiebelasting op aardgas in 2040, voor kleine-middelgrote gebruikers</t>
  </si>
  <si>
    <t>Energiebelasting op aardgas in 2050, voor kleine-middelgrote gebruikers</t>
  </si>
  <si>
    <t>Energiebelasting op aardgas in 2010, voor midden-middelgrote gebruikers</t>
  </si>
  <si>
    <t>Energiebelasting op aardgas in 2020, voor midden-middelgrote gebruikers</t>
  </si>
  <si>
    <t>Energiebelasting op aardgas in 2030, voor midden-middelgrote gebruikers</t>
  </si>
  <si>
    <t>Energiebelasting op aardgas in 2040, voor midden-middelgrote gebruikers</t>
  </si>
  <si>
    <t>Energiebelasting op aardgas in 2050, voor midden-middelgrote gebruikers</t>
  </si>
  <si>
    <t>Energiebelasting op aardgas in 2010, voor grote-middelgrote gebruikers &amp; grootgebruikers</t>
  </si>
  <si>
    <t>Energiebelasting op aardgas in 2020, voor grote-middelgrote gebruikers &amp; grootgebruikers</t>
  </si>
  <si>
    <t>Energiebelasting op aardgas in 2030, voor grote-middelgrote gebruikers &amp; grootgebruikers</t>
  </si>
  <si>
    <t>Energiebelasting op aardgas in 2040, voor grote-middelgrote gebruikers &amp; grootgebruikers</t>
  </si>
  <si>
    <t>Energiebelasting op aardgas in 2050, voor grote-middelgrote gebruikers &amp; grootgebruikers</t>
  </si>
  <si>
    <t>KleinGebruik (&lt;10.000 kWh/jr)</t>
  </si>
  <si>
    <t>Energiebelasting op elektriciteit in 2010, voor kleingebruikers</t>
  </si>
  <si>
    <t>Energiebelasting op elektriciteit in 2020, voor kleingebruikers</t>
  </si>
  <si>
    <t>Energiebelasting op elektriciteit in 2030, voor kleingebruikers</t>
  </si>
  <si>
    <t>Energiebelasting op elektriciteit in 2040, voor kleingebruikers</t>
  </si>
  <si>
    <t>Energiebelasting op elektriciteit in 2050, voor kleingebruikers</t>
  </si>
  <si>
    <t>Klein-Middelgroot Gebruik (10,001 t/m 50,000 kWh)</t>
  </si>
  <si>
    <t>Energiebelasting op elektriciteit in 2010, voor kleine-middelgrote gebruikers</t>
  </si>
  <si>
    <t>Energiebelasting op elektriciteit in 2020, voor kleine-middelgrote gebruikers</t>
  </si>
  <si>
    <t>Energiebelasting op elektriciteit in 2030, voor kleine-middelgrote gebruikers</t>
  </si>
  <si>
    <t>Energiebelasting op elektriciteit in 2040, voor kleine-middelgrote gebruikers</t>
  </si>
  <si>
    <t>Energiebelasting op elektriciteit in 2050, voor kleine-middelgrote gebruikers</t>
  </si>
  <si>
    <t>Midden Middelgroot Gebruik (50,001 t/m 10 miljoen kWh)</t>
  </si>
  <si>
    <t>Energiebelasting op elektriciteit in 2010, voor midden-middelgrote gebruikers</t>
  </si>
  <si>
    <t>Energiebelasting op elektriciteit in 2020, voor midden-middelgrote gebruikers</t>
  </si>
  <si>
    <t>Energiebelasting op elektriciteit in 2030, voor midden-middelgrote gebruikers</t>
  </si>
  <si>
    <t>Energiebelasting op elektriciteit in 2040, voor midden-middelgrote gebruikers</t>
  </si>
  <si>
    <t>Energiebelasting op elektriciteit in 2050, voor midden-middelgrote gebruikers</t>
  </si>
  <si>
    <t>GrootGebruik (meer dan 10 miljoen kWh)</t>
  </si>
  <si>
    <t>Energiebelasting op elektriciteit in 2010, voor grote-middelgrote gebruikers</t>
  </si>
  <si>
    <t>Energiebelasting op elektriciteit in 2020, voor grote-middelgrote gebruikers</t>
  </si>
  <si>
    <t>Energiebelasting op elektriciteit in 2030, voor grote-middelgrote gebruikers</t>
  </si>
  <si>
    <t>Energiebelasting op elektriciteit in 2040, voor grote-middelgrote gebruikers</t>
  </si>
  <si>
    <t>Energiebelasting op elektriciteit in 2050, voor grote-middelgrote gebruikers</t>
  </si>
  <si>
    <t>Maatschappelijk:</t>
  </si>
  <si>
    <t>Opwekker:</t>
  </si>
  <si>
    <t>Transporteur:</t>
  </si>
  <si>
    <t>Distributeur:</t>
  </si>
  <si>
    <t>Leverancier:</t>
  </si>
  <si>
    <t>Inpandige distributie:</t>
  </si>
  <si>
    <t>Gebouweigenaar (bestaand en nieuw)</t>
  </si>
  <si>
    <t>Huishouden:</t>
  </si>
  <si>
    <t>Utiliteit:</t>
  </si>
  <si>
    <t>Glastuinbouw:</t>
  </si>
  <si>
    <t>Gebouwgebruiker (bestaand en nieuw)</t>
  </si>
  <si>
    <t>Wordt de hybride warmtepomp ingezet</t>
  </si>
  <si>
    <t>Voor welke labels wordt in 2010 de hybride warmtepomp ingezet</t>
  </si>
  <si>
    <t>Voor welke labels wordt in 2020 de hybride warmtepomp ingezet</t>
  </si>
  <si>
    <t>Voor welke labels wordt in 2030 de hybride warmtepomp ingezet</t>
  </si>
  <si>
    <t>Voor welke labels wordt in 2040 de hybride warmtepomp ingezet</t>
  </si>
  <si>
    <t>Voor welke labels wordt in 2050 de hybride warmtepomp ingezet</t>
  </si>
  <si>
    <t>Fractie van gebouwtypes die een hybride warmtepomp installeert</t>
  </si>
  <si>
    <t>Fractie van gebouwtypes die in 2010 overgaat op de hybride warmtepomp</t>
  </si>
  <si>
    <t>Per Label (0-1)</t>
  </si>
  <si>
    <t>Fractie van gebouwtypes die in 2020 overgaat op de hybride warmtepomp</t>
  </si>
  <si>
    <t>Fractie van gebouwtypes die in 2030 overgaat op de hybride warmtepomp</t>
  </si>
  <si>
    <t>Fractie van gebouwtypes die in 2040 overgaat op de hybride warmtepomp</t>
  </si>
  <si>
    <t>Fractie van gebouwtypes die in 2050 overgaat op de hybride warmtepomp</t>
  </si>
  <si>
    <t>Subsidies</t>
  </si>
  <si>
    <t>Exploitatiesubsisie</t>
  </si>
  <si>
    <t>Hoogte van de exploitatie subsidie voor opwekkers in 2010</t>
  </si>
  <si>
    <t>Exploitatiesubsidie voor opwekkers</t>
  </si>
  <si>
    <t>Hoogte van de exploitatie subsidie voor opwekkers in 2020</t>
  </si>
  <si>
    <t>Hoogte van de exploitatie subsidie voor opwekkers in 2030</t>
  </si>
  <si>
    <t>Hoogte van de exploitatie subsidie voor opwekkers in 2040</t>
  </si>
  <si>
    <t>Hoogte van de exploitatie subsidie voor opwekkers in 2050</t>
  </si>
  <si>
    <t>Euro/GJ</t>
  </si>
  <si>
    <t>Gebiedsopties</t>
  </si>
  <si>
    <t>Volgorde waarin gebiedsopties worden meegenomen</t>
  </si>
  <si>
    <t>Rangorde plek 1 voor de inzet van gebiedsopties</t>
  </si>
  <si>
    <t>Rangorde plek 2 voor de inzet van gebiedsopties</t>
  </si>
  <si>
    <t>Rangorde plek 3 voor de inzet van gebiedsopties</t>
  </si>
  <si>
    <t>Rangorde plek 4 voor de inzet van gebiedsopties</t>
  </si>
  <si>
    <t>Gebiedsoptie</t>
  </si>
  <si>
    <t>Geothermie</t>
  </si>
  <si>
    <t>Restwarmte</t>
  </si>
  <si>
    <t>Bio-WKK</t>
  </si>
  <si>
    <t>Wijk-WKK</t>
  </si>
  <si>
    <t>Lokale Opwekking</t>
  </si>
  <si>
    <t>Zonneboiler</t>
  </si>
  <si>
    <t>In welke mate wordt het potentieel van de zonneboiler ingezet in 2010</t>
  </si>
  <si>
    <t>In welke mate wordt het potentieel van de zonneboiler ingezet in 2020</t>
  </si>
  <si>
    <t>In welke mate wordt het potentieel van de zonneboiler ingezet in 2030</t>
  </si>
  <si>
    <t>In welke mate wordt het potentieel van de zonneboiler ingezet in 2040</t>
  </si>
  <si>
    <t>In welke mate wordt het potentieel van de zonneboiler ingezet in 2050</t>
  </si>
  <si>
    <t>Zon-PV</t>
  </si>
  <si>
    <t>In welke mate wordt het potentieel van de Zon-PV ingezet in 2010</t>
  </si>
  <si>
    <t>In welke mate wordt het potentieel van de Zon-PV ingezet in 2020</t>
  </si>
  <si>
    <t>In welke mate wordt het potentieel van de Zon-PV ingezet in 2030</t>
  </si>
  <si>
    <t>In welke mate wordt het potentieel van de Zon-PV ingezet in 2040</t>
  </si>
  <si>
    <t>In welke mate wordt het potentieel van de Zon-PV ingezet in 2050</t>
  </si>
  <si>
    <t>Discontovoet voor bepaling van eindgebruikerskosten:</t>
  </si>
  <si>
    <t>Resulterende grafieknaam voor de sheets:</t>
  </si>
  <si>
    <t>Sheet</t>
  </si>
  <si>
    <t>Grafiektitel</t>
  </si>
  <si>
    <t>W&amp;E vraag</t>
  </si>
  <si>
    <t>WarmteBestaandWoning</t>
  </si>
  <si>
    <t>WarmteWoning Variant</t>
  </si>
  <si>
    <t>WarmteWoning</t>
  </si>
  <si>
    <t>GasWoning</t>
  </si>
  <si>
    <t>WarmtenetWoning</t>
  </si>
  <si>
    <t>WarmtenetOptieWoning Variant</t>
  </si>
  <si>
    <t>WarmteAanbodWoning Var 1</t>
  </si>
  <si>
    <t>WarmteAanbodWoning Var 2</t>
  </si>
  <si>
    <t>CO2-emissie</t>
  </si>
  <si>
    <t>Energie2050</t>
  </si>
  <si>
    <t>CO2 2050</t>
  </si>
  <si>
    <t>Scenario</t>
  </si>
  <si>
    <t>Coefficient of Performance (COP) hWP</t>
  </si>
  <si>
    <t>Warmtepomp</t>
  </si>
  <si>
    <t>Run4Combi_2016_Referentie\2010\NL\Co2Flow.csv</t>
  </si>
  <si>
    <t>Run4Combi_2016_Referentie\2010\NL\CostsFlow.csv</t>
  </si>
  <si>
    <t>Run4Combi_2016_Referentie\2010\NL\EnergyFlow.csv</t>
  </si>
  <si>
    <t>Run4Combi_2016_Referentie\2020\NL\Co2Flow.csv</t>
  </si>
  <si>
    <t>Run4Combi_2016_Referentie\2020\NL\CostsFlow.csv</t>
  </si>
  <si>
    <t>Run4Combi_2016_Referentie\2020\NL\EnergyFlow.csv</t>
  </si>
  <si>
    <t>Run4Combi_2016_Referentie\2030\NL\Co2Flow.csv</t>
  </si>
  <si>
    <t>Run4Combi_2016_Referentie\2030\NL\CostsFlow.csv</t>
  </si>
  <si>
    <t>Run4Combi_2016_Referentie\2030\NL\EnergyFlow.csv</t>
  </si>
  <si>
    <t>Run4Combi_2016_Referentie\2040\NL\Co2Flow.csv</t>
  </si>
  <si>
    <t>Run4Combi_2016_Referentie\2040\NL\CostsFlow.csv</t>
  </si>
  <si>
    <t>Run4Combi_2016_Referentie\2040\NL\EnergyFlow.csv</t>
  </si>
  <si>
    <t>Run4Combi_2016_Referentie\2050\NL\Co2Flow.csv</t>
  </si>
  <si>
    <t>Run4Combi_2016_Referentie\2050\NL\CostsFlow.csv</t>
  </si>
  <si>
    <t>Run4Combi_2016_Referentie\2050\NL\EnergyFlow.csv</t>
  </si>
  <si>
    <t>Run4Combi_2016_Verhoging100cent\2010\NL\Co2Flow.csv</t>
  </si>
  <si>
    <t>Run4Combi_2016_Verhoging100cent\2010\NL\CostsFlow.csv</t>
  </si>
  <si>
    <t>Run4Combi_2016_Verhoging100cent\2010\NL\EnergyFlow.csv</t>
  </si>
  <si>
    <t>Run4Combi_2016_Verhoging100cent\2020\NL\Co2Flow.csv</t>
  </si>
  <si>
    <t>Run4Combi_2016_Verhoging100cent\2020\NL\CostsFlow.csv</t>
  </si>
  <si>
    <t>Run4Combi_2016_Verhoging100cent\2020\NL\EnergyFlow.csv</t>
  </si>
  <si>
    <t>Run4Combi_2016_Verhoging100cent\2030\NL\Co2Flow.csv</t>
  </si>
  <si>
    <t>Run4Combi_2016_Verhoging100cent\2030\NL\CostsFlow.csv</t>
  </si>
  <si>
    <t>Run4Combi_2016_Verhoging100cent\2030\NL\EnergyFlow.csv</t>
  </si>
  <si>
    <t>Run4Combi_2016_Verhoging100cent\2040\NL\Co2Flow.csv</t>
  </si>
  <si>
    <t>Run4Combi_2016_Verhoging100cent\2040\NL\CostsFlow.csv</t>
  </si>
  <si>
    <t>Run4Combi_2016_Verhoging100cent\2040\NL\EnergyFlow.csv</t>
  </si>
  <si>
    <t>Run4Combi_2016_Verhoging100cent\2050\NL\Co2Flow.csv</t>
  </si>
  <si>
    <t>Run4Combi_2016_Verhoging100cent\2050\NL\CostsFlow.csv</t>
  </si>
  <si>
    <t>Run4Combi_2016_Verhoging100cent\2050\NL\EnergyFlow.csv</t>
  </si>
  <si>
    <t>Run4Combi_2016_Verhoging150cent\2010\NL\Co2Flow.csv</t>
  </si>
  <si>
    <t>Run4Combi_2016_Verhoging150cent\2010\NL\CostsFlow.csv</t>
  </si>
  <si>
    <t>Run4Combi_2016_Verhoging150cent\2010\NL\EnergyFlow.csv</t>
  </si>
  <si>
    <t>Run4Combi_2016_Verhoging150cent\2020\NL\Co2Flow.csv</t>
  </si>
  <si>
    <t>Run4Combi_2016_Verhoging150cent\2020\NL\CostsFlow.csv</t>
  </si>
  <si>
    <t>Run4Combi_2016_Verhoging150cent\2020\NL\EnergyFlow.csv</t>
  </si>
  <si>
    <t>Run4Combi_2016_Verhoging150cent\2030\NL\Co2Flow.csv</t>
  </si>
  <si>
    <t>Run4Combi_2016_Verhoging150cent\2030\NL\CostsFlow.csv</t>
  </si>
  <si>
    <t>Run4Combi_2016_Verhoging150cent\2030\NL\EnergyFlow.csv</t>
  </si>
  <si>
    <t>Run4Combi_2016_Verhoging150cent\2040\NL\Co2Flow.csv</t>
  </si>
  <si>
    <t>Run4Combi_2016_Verhoging150cent\2040\NL\CostsFlow.csv</t>
  </si>
  <si>
    <t>Run4Combi_2016_Verhoging150cent\2040\NL\EnergyFlow.csv</t>
  </si>
  <si>
    <t>Run4Combi_2016_Verhoging150cent\2050\NL\Co2Flow.csv</t>
  </si>
  <si>
    <t>Run4Combi_2016_Verhoging150cent\2050\NL\CostsFlow.csv</t>
  </si>
  <si>
    <t>Run4Combi_2016_Verhoging150cent\2050\NL\EnergyFlow.csv</t>
  </si>
  <si>
    <t>Run4Combi_2016_Verhoging25cent\2010\NL\Co2Flow.csv</t>
  </si>
  <si>
    <t>Run4Combi_2016_Verhoging25cent\2010\NL\CostsFlow.csv</t>
  </si>
  <si>
    <t>Run4Combi_2016_Verhoging25cent\2010\NL\EnergyFlow.csv</t>
  </si>
  <si>
    <t>Run4Combi_2016_Verhoging25cent\2020\NL\Co2Flow.csv</t>
  </si>
  <si>
    <t>Run4Combi_2016_Verhoging25cent\2020\NL\CostsFlow.csv</t>
  </si>
  <si>
    <t>Run4Combi_2016_Verhoging25cent\2020\NL\EnergyFlow.csv</t>
  </si>
  <si>
    <t>Run4Combi_2016_Verhoging25cent\2030\NL\Co2Flow.csv</t>
  </si>
  <si>
    <t>Run4Combi_2016_Verhoging25cent\2030\NL\CostsFlow.csv</t>
  </si>
  <si>
    <t>Run4Combi_2016_Verhoging25cent\2030\NL\EnergyFlow.csv</t>
  </si>
  <si>
    <t>Run4Combi_2016_Verhoging25cent\2040\NL\Co2Flow.csv</t>
  </si>
  <si>
    <t>Run4Combi_2016_Verhoging25cent\2040\NL\CostsFlow.csv</t>
  </si>
  <si>
    <t>Run4Combi_2016_Verhoging25cent\2040\NL\EnergyFlow.csv</t>
  </si>
  <si>
    <t>Run4Combi_2016_Verhoging25cent\2050\NL\Co2Flow.csv</t>
  </si>
  <si>
    <t>Run4Combi_2016_Verhoging25cent\2050\NL\CostsFlow.csv</t>
  </si>
  <si>
    <t>Run4Combi_2016_Verhoging25cent\2050\NL\EnergyFlow.csv</t>
  </si>
  <si>
    <t>Run4Combi_2016_Verhoging50cent\2010\NL\Co2Flow.csv</t>
  </si>
  <si>
    <t>Run4Combi_2016_Verhoging50cent\2010\NL\CostsFlow.csv</t>
  </si>
  <si>
    <t>Run4Combi_2016_Verhoging50cent\2010\NL\EnergyFlow.csv</t>
  </si>
  <si>
    <t>Run4Combi_2016_Verhoging50cent\2020\NL\Co2Flow.csv</t>
  </si>
  <si>
    <t>Run4Combi_2016_Verhoging50cent\2020\NL\CostsFlow.csv</t>
  </si>
  <si>
    <t>Run4Combi_2016_Verhoging50cent\2020\NL\EnergyFlow.csv</t>
  </si>
  <si>
    <t>Run4Combi_2016_Verhoging50cent\2030\NL\Co2Flow.csv</t>
  </si>
  <si>
    <t>Run4Combi_2016_Verhoging50cent\2030\NL\CostsFlow.csv</t>
  </si>
  <si>
    <t>Run4Combi_2016_Verhoging50cent\2030\NL\EnergyFlow.csv</t>
  </si>
  <si>
    <t>Run4Combi_2016_Verhoging50cent\2040\NL\Co2Flow.csv</t>
  </si>
  <si>
    <t>Run4Combi_2016_Verhoging50cent\2040\NL\CostsFlow.csv</t>
  </si>
  <si>
    <t>Run4Combi_2016_Verhoging50cent\2040\NL\EnergyFlow.csv</t>
  </si>
  <si>
    <t>Run4Combi_2016_Verhoging50cent\2050\NL\Co2Flow.csv</t>
  </si>
  <si>
    <t>Run4Combi_2016_Verhoging50cent\2050\NL\CostsFlow.csv</t>
  </si>
  <si>
    <t>Run4Combi_2016_Verhoging50cent\2050\NL\EnergyFlow.csv</t>
  </si>
  <si>
    <t>Afnemer</t>
  </si>
  <si>
    <t>UitlegUtil</t>
  </si>
  <si>
    <t>UitlegGlTb</t>
  </si>
  <si>
    <t>Subsidie</t>
  </si>
  <si>
    <t>[]</t>
  </si>
  <si>
    <t>[ mega kg per Yr]</t>
  </si>
  <si>
    <t>Oj_Totaal</t>
  </si>
  <si>
    <t>Kj_Totaal</t>
  </si>
  <si>
    <t>Oj_Netto</t>
  </si>
  <si>
    <t>[ mega EURO per Yr]</t>
  </si>
  <si>
    <t>[ peta J per Yr]</t>
  </si>
  <si>
    <t>2,5 a 3 graden</t>
  </si>
  <si>
    <t>Aangeven welk scenario je wil zien</t>
  </si>
  <si>
    <t>Scenarionummer</t>
  </si>
  <si>
    <t>Moet gelijk zijn aan deze cellen</t>
  </si>
  <si>
    <t>Nationale kosten</t>
  </si>
  <si>
    <t>Nationale kosten, variant: Energiebelasting</t>
  </si>
  <si>
    <t>Nationale kosten over de tijd</t>
  </si>
  <si>
    <t>Uitgaven voor 2050</t>
  </si>
  <si>
    <t>Uitgaven 2050, Variant: Energiebelasting</t>
  </si>
  <si>
    <t>Uitgaven</t>
  </si>
  <si>
    <t>Totale Uitgaven over de tijd</t>
  </si>
  <si>
    <t>Uitgaven, Variant: Energiebelasting</t>
  </si>
  <si>
    <t>Nationale Kosten</t>
  </si>
  <si>
    <t>Uitgaven2050</t>
  </si>
  <si>
    <t>Discontovoet voor Nationale kosten</t>
  </si>
  <si>
    <t>Uitwerken van teruggave energieheffing</t>
  </si>
  <si>
    <t>Naam</t>
  </si>
  <si>
    <t>Directory</t>
  </si>
  <si>
    <t>Aantal verblijfsobjecten binnen WLO Hoog</t>
  </si>
  <si>
    <t xml:space="preserve">Bron: </t>
  </si>
  <si>
    <t>20160906 BAG WLO ECN</t>
  </si>
  <si>
    <t>Y:\Project\m500115_energie_duurzaam_ontwikkeling\Data\Steven_Vesta\RunResultaten\Bewerking\09_September\070916_hoog</t>
  </si>
  <si>
    <t>Woningaantallen</t>
  </si>
  <si>
    <t>Utiliteit aantallen</t>
  </si>
  <si>
    <t>Teruggave energieheffing per verblijfsobject</t>
  </si>
  <si>
    <t>Huishoudens</t>
  </si>
  <si>
    <t>Teruggave energieheffing huishoudens</t>
  </si>
  <si>
    <t>BTW teruggave energieheffing huishoudens</t>
  </si>
  <si>
    <t>Diensten</t>
  </si>
  <si>
    <t>Teruggave energieheffing diensten</t>
  </si>
  <si>
    <t>Teruggave energieheffing diensten en huishoudens</t>
  </si>
  <si>
    <t>BTW teruggave energieheffing</t>
  </si>
  <si>
    <t>Run2</t>
  </si>
  <si>
    <t>Run3</t>
  </si>
  <si>
    <t>Run4</t>
  </si>
  <si>
    <t>Algemene beschrijving doorrekeningen (gebruikt in grafiektitels)</t>
  </si>
  <si>
    <t>Versiebeheer voor doorrekening</t>
  </si>
  <si>
    <t>SourceData versie</t>
  </si>
  <si>
    <t>Executable</t>
  </si>
  <si>
    <t>Versie met lokale aanpassingen</t>
  </si>
  <si>
    <t>Github versie</t>
  </si>
  <si>
    <t>Versie 7.130</t>
  </si>
  <si>
    <t>65c2ccb</t>
  </si>
  <si>
    <t>SD_instellingen_BMC_RO</t>
  </si>
  <si>
    <t>20160528_Vesta_energieprijzen_WLO_hoog</t>
  </si>
  <si>
    <t>Algemene prefix voor bestandslocatie data</t>
  </si>
  <si>
    <t>Y:\data\Vesta\v3\model_uit\Case_Utrecht\65c2ccb</t>
  </si>
  <si>
    <t>Bronbestand voor ruimtelijke data</t>
  </si>
  <si>
    <t>Algemene omschrijving run</t>
  </si>
  <si>
    <t>Naam Run, zoals deze wordt gebruikt op de tabbladen zelf</t>
  </si>
  <si>
    <t>Referentie</t>
  </si>
  <si>
    <t>Run4Combi_2016_Besparen_Label_B\2010\NL\Co2Flow.csv</t>
  </si>
  <si>
    <t>Run4Combi_2016_Besparen_Label_B\2010\NL\CostsFlow.csv</t>
  </si>
  <si>
    <t>Run4Combi_2016_Besparen_Label_B\2010\NL\EnergyFlow.csv</t>
  </si>
  <si>
    <t>Run4Combi_2016_Besparen_Label_B\2020\NL\Co2Flow.csv</t>
  </si>
  <si>
    <t>Run4Combi_2016_Besparen_Label_B\2020\NL\CostsFlow.csv</t>
  </si>
  <si>
    <t>Run4Combi_2016_Besparen_Label_B\2020\NL\EnergyFlow.csv</t>
  </si>
  <si>
    <t>Run4Combi_2016_Besparen_Label_B\2030\NL\Co2Flow.csv</t>
  </si>
  <si>
    <t>Run4Combi_2016_Besparen_Label_B\2030\NL\CostsFlow.csv</t>
  </si>
  <si>
    <t>Run4Combi_2016_Besparen_Label_B\2030\NL\EnergyFlow.csv</t>
  </si>
  <si>
    <t>Run4Combi_2016_Besparen_Label_B\2040\NL\Co2Flow.csv</t>
  </si>
  <si>
    <t>Run4Combi_2016_Besparen_Label_B\2040\NL\CostsFlow.csv</t>
  </si>
  <si>
    <t>Run4Combi_2016_Besparen_Label_B\2040\NL\EnergyFlow.csv</t>
  </si>
  <si>
    <t>Run4Combi_2016_Besparen_Label_B\2050\NL\Co2Flow.csv</t>
  </si>
  <si>
    <t>Run4Combi_2016_Besparen_Label_B\2050\NL\CostsFlow.csv</t>
  </si>
  <si>
    <t>Run4Combi_2016_Besparen_Label_B\2050\NL\EnergyFlow.csv</t>
  </si>
  <si>
    <t>Run4Combi_2016_Besparen_Label_Aplus\2010\NL\Co2Flow.csv</t>
  </si>
  <si>
    <t>Run4Combi_2016_Besparen_Label_Aplus\2010\NL\CostsFlow.csv</t>
  </si>
  <si>
    <t>Run4Combi_2016_Besparen_Label_Aplus\2010\NL\EnergyFlow.csv</t>
  </si>
  <si>
    <t>Run4Combi_2016_Besparen_Label_Aplus\2020\NL\Co2Flow.csv</t>
  </si>
  <si>
    <t>Run4Combi_2016_Besparen_Label_Aplus\2020\NL\CostsFlow.csv</t>
  </si>
  <si>
    <t>Run4Combi_2016_Besparen_Label_Aplus\2020\NL\EnergyFlow.csv</t>
  </si>
  <si>
    <t>Run4Combi_2016_Besparen_Label_Aplus\2030\NL\Co2Flow.csv</t>
  </si>
  <si>
    <t>Run4Combi_2016_Besparen_Label_Aplus\2030\NL\CostsFlow.csv</t>
  </si>
  <si>
    <t>Run4Combi_2016_Besparen_Label_Aplus\2030\NL\EnergyFlow.csv</t>
  </si>
  <si>
    <t>Run4Combi_2016_Besparen_Label_Aplus\2040\NL\Co2Flow.csv</t>
  </si>
  <si>
    <t>Run4Combi_2016_Besparen_Label_Aplus\2040\NL\CostsFlow.csv</t>
  </si>
  <si>
    <t>Run4Combi_2016_Besparen_Label_Aplus\2040\NL\EnergyFlow.csv</t>
  </si>
  <si>
    <t>Run4Combi_2016_Besparen_Label_Aplus\2050\NL\Co2Flow.csv</t>
  </si>
  <si>
    <t>Run4Combi_2016_Besparen_Label_Aplus\2050\NL\CostsFlow.csv</t>
  </si>
  <si>
    <t>Run4Combi_2016_Besparen_Label_Aplus\2050\NL\EnergyFlow.csv</t>
  </si>
  <si>
    <t>Run4Combi_2016_Besparen_Label_Aplus_eWP\2010\NL\Co2Flow.csv</t>
  </si>
  <si>
    <t>Run4Combi_2016_Besparen_Label_Aplus_eWP\2010\NL\CostsFlow.csv</t>
  </si>
  <si>
    <t>Run4Combi_2016_Besparen_Label_Aplus_eWP\2010\NL\EnergyFlow.csv</t>
  </si>
  <si>
    <t>Run4Combi_2016_Besparen_Label_Aplus_eWP\2020\NL\Co2Flow.csv</t>
  </si>
  <si>
    <t>Run4Combi_2016_Besparen_Label_Aplus_eWP\2020\NL\CostsFlow.csv</t>
  </si>
  <si>
    <t>Run4Combi_2016_Besparen_Label_Aplus_eWP\2020\NL\EnergyFlow.csv</t>
  </si>
  <si>
    <t>Run4Combi_2016_Besparen_Label_Aplus_eWP\2030\NL\Co2Flow.csv</t>
  </si>
  <si>
    <t>Run4Combi_2016_Besparen_Label_Aplus_eWP\2030\NL\CostsFlow.csv</t>
  </si>
  <si>
    <t>Run4Combi_2016_Besparen_Label_Aplus_eWP\2030\NL\EnergyFlow.csv</t>
  </si>
  <si>
    <t>Run4Combi_2016_Besparen_Label_Aplus_eWP\2040\NL\Co2Flow.csv</t>
  </si>
  <si>
    <t>Run4Combi_2016_Besparen_Label_Aplus_eWP\2040\NL\CostsFlow.csv</t>
  </si>
  <si>
    <t>Run4Combi_2016_Besparen_Label_Aplus_eWP\2040\NL\EnergyFlow.csv</t>
  </si>
  <si>
    <t>Run4Combi_2016_Besparen_Label_Aplus_eWP\2050\NL\Co2Flow.csv</t>
  </si>
  <si>
    <t>Run4Combi_2016_Besparen_Label_Aplus_eWP\2050\NL\CostsFlow.csv</t>
  </si>
  <si>
    <t>Run4Combi_2016_Besparen_Label_Aplus_eWP\2050\NL\EnergyFlow.csv</t>
  </si>
  <si>
    <t>Run4Combi_2016_Warmtenetten_Label_B\2010\NL\Co2Flow.csv</t>
  </si>
  <si>
    <t>Run4Combi_2016_Warmtenetten_Label_B\2010\NL\CostsFlow.csv</t>
  </si>
  <si>
    <t>Run4Combi_2016_Warmtenetten_Label_B\2010\NL\EnergyFlow.csv</t>
  </si>
  <si>
    <t>Run4Combi_2016_Warmtenetten_Label_B\2020\NL\Co2Flow.csv</t>
  </si>
  <si>
    <t>Run4Combi_2016_Warmtenetten_Label_B\2020\NL\CostsFlow.csv</t>
  </si>
  <si>
    <t>Run4Combi_2016_Warmtenetten_Label_B\2020\NL\EnergyFlow.csv</t>
  </si>
  <si>
    <t>Run4Combi_2016_Warmtenetten_Label_B\2030\NL\Co2Flow.csv</t>
  </si>
  <si>
    <t>Run4Combi_2016_Warmtenetten_Label_B\2030\NL\CostsFlow.csv</t>
  </si>
  <si>
    <t>Run4Combi_2016_Warmtenetten_Label_B\2030\NL\EnergyFlow.csv</t>
  </si>
  <si>
    <t>Run4Combi_2016_Warmtenetten_Label_B\2040\NL\Co2Flow.csv</t>
  </si>
  <si>
    <t>Run4Combi_2016_Warmtenetten_Label_B\2040\NL\CostsFlow.csv</t>
  </si>
  <si>
    <t>Run4Combi_2016_Warmtenetten_Label_B\2040\NL\EnergyFlow.csv</t>
  </si>
  <si>
    <t>Run4Combi_2016_Warmtenetten_Label_B\2050\NL\Co2Flow.csv</t>
  </si>
  <si>
    <t>Run4Combi_2016_Warmtenetten_Label_B\2050\NL\CostsFlow.csv</t>
  </si>
  <si>
    <t>Run4Combi_2016_Warmtenetten_Label_B\2050\NL\EnergyFlow.csv</t>
  </si>
  <si>
    <t>Referentie Utrecht</t>
  </si>
  <si>
    <t>ReferentieUtrecht</t>
  </si>
  <si>
    <t>Doorrekening Utrecht, Label Opleggen en Warmteprijs</t>
  </si>
  <si>
    <t>Run4Combi_2016_Referentie_Besparen_Warmtenetten</t>
  </si>
  <si>
    <t>Run4Combi_2016_Besparen_Label_B</t>
  </si>
  <si>
    <t>Run4Combi_2016_Besparen_Label_Aplus</t>
  </si>
  <si>
    <t>Run4Combi_2016_Besparen_Label_Aplus_eWP</t>
  </si>
  <si>
    <t>Run4Combi_2016_Warmtenetten_Label_B</t>
  </si>
  <si>
    <t>Label B</t>
  </si>
  <si>
    <t>Label_B</t>
  </si>
  <si>
    <t>Label_A+_eWP</t>
  </si>
  <si>
    <t>Label_A+</t>
  </si>
  <si>
    <t>Label_B_WP2euro/m3</t>
  </si>
  <si>
    <t>Utrecht met het opleggen van Label B in 2020 en daarna met alle opties open</t>
  </si>
  <si>
    <t>Utrecht_Label B</t>
  </si>
  <si>
    <t>Utrecht met het opleggen van Label A+ in 2020 en daarna met alle opties open</t>
  </si>
  <si>
    <t>Utrecht_Label Aplus</t>
  </si>
  <si>
    <t>Utrecht_Label Aplus, met eWP</t>
  </si>
  <si>
    <t>Utrecht met het opleggen van Label Aplus in 2020, met eWP volgende zichtjaren worden alle opties meegenomen o.b.v. rentabiliteit</t>
  </si>
  <si>
    <t>Utrecht met het opleggen van Label B in 2020 en een warmteprijs overeenkomende met 2euro/m3 gas o.b.v. het NMDA principe (na 2020 nog steeds een Warmteprijs van 2 euro/m3)</t>
  </si>
  <si>
    <t>Utrecht_Label B_Warmtenetten</t>
  </si>
  <si>
    <t>Opgelegd</t>
  </si>
  <si>
    <t>Label Aplus</t>
  </si>
  <si>
    <t>Label Aplus, met EWP</t>
  </si>
  <si>
    <t>cfginstellingen_OpleggenLabel_Warmteprijs</t>
  </si>
  <si>
    <t>Nieuwbouw woning</t>
  </si>
  <si>
    <t>Nieuwbouw utiliteit</t>
  </si>
  <si>
    <t>Beschrijving van inplakken modelresultaten</t>
  </si>
  <si>
    <t>De data wordt vervolgens geplakt in het tabblad "Modeloutput", waar de ruwe data staat binnen deze Excel file.</t>
  </si>
  <si>
    <t>Hier wordt een uitleg gegeven van de stappen die moeten worden gezet om de data in te plakken (wat manueel gebeurd).</t>
  </si>
  <si>
    <t>De data wordt ingeplakt in kolom A en de 5 scenario's worden ingepakt op de volgende rijen: Scenario 1 start op rij 1, scenario 2 start op rij 256, scenario 3 start op rij 511, scenario 4 start op rij 766, scenario 5 start op rij 1021</t>
  </si>
  <si>
    <t>Hierbij moet goed worden nagedacht over de volgorde van het inplakken van de scenario's, want de volgorde van inplakken bepaald ook de volgorde in de figuur</t>
  </si>
  <si>
    <t>Om de Vesta modelresulaten makkelijk om te zetten in grafieken/tabellen is deze Excel file opgezet. De modelresultaten komen uit het bestand "Flow" welke wordt gegenereerd met de Merge file.</t>
  </si>
  <si>
    <t>Metadata</t>
  </si>
  <si>
    <t>Beschrijving 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</si>
</sst>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Trebuchet MS"/>
      <family val="2"/>
    </font>
    <font>
      <sz val="8"/>
      <color theme="1"/>
      <name val="Trebuchet MS"/>
      <family val="2"/>
    </font>
    <font>
      <sz val="11"/>
      <color rgb="FF000000"/>
      <name val="Calibri"/>
      <family val="2"/>
    </font>
    <font>
      <b/>
      <u/>
      <sz val="16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6"/>
      <color rgb="FF00000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lightUp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/>
      <right/>
      <top style="dashed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ashed">
        <color auto="1"/>
      </bottom>
      <diagonal/>
    </border>
  </borders>
  <cellStyleXfs count="42">
    <xf numFmtId="0" fontId="0" fillId="0" borderId="0"/>
    <xf numFmtId="0" fontId="10" fillId="0" borderId="0" applyNumberFormat="0" applyFill="0" applyBorder="0" applyAlignment="0" applyProtection="0"/>
    <xf numFmtId="0" fontId="11" fillId="0" borderId="2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0" applyNumberFormat="0" applyFill="0" applyBorder="0" applyAlignment="0" applyProtection="0"/>
    <xf numFmtId="0" fontId="14" fillId="12" borderId="0" applyNumberFormat="0" applyBorder="0" applyAlignment="0" applyProtection="0"/>
    <xf numFmtId="0" fontId="15" fillId="13" borderId="0" applyNumberFormat="0" applyBorder="0" applyAlignment="0" applyProtection="0"/>
    <xf numFmtId="0" fontId="16" fillId="14" borderId="0" applyNumberFormat="0" applyBorder="0" applyAlignment="0" applyProtection="0"/>
    <xf numFmtId="0" fontId="17" fillId="15" borderId="5" applyNumberFormat="0" applyAlignment="0" applyProtection="0"/>
    <xf numFmtId="0" fontId="18" fillId="16" borderId="6" applyNumberFormat="0" applyAlignment="0" applyProtection="0"/>
    <xf numFmtId="0" fontId="19" fillId="16" borderId="5" applyNumberFormat="0" applyAlignment="0" applyProtection="0"/>
    <xf numFmtId="0" fontId="20" fillId="0" borderId="7" applyNumberFormat="0" applyFill="0" applyAlignment="0" applyProtection="0"/>
    <xf numFmtId="0" fontId="21" fillId="17" borderId="8" applyNumberFormat="0" applyAlignment="0" applyProtection="0"/>
    <xf numFmtId="0" fontId="1" fillId="0" borderId="0" applyNumberFormat="0" applyFill="0" applyBorder="0" applyAlignment="0" applyProtection="0"/>
    <xf numFmtId="0" fontId="9" fillId="18" borderId="9" applyNumberFormat="0" applyFont="0" applyAlignment="0" applyProtection="0"/>
    <xf numFmtId="0" fontId="2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23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9" fillId="40" borderId="0" applyNumberFormat="0" applyBorder="0" applyAlignment="0" applyProtection="0"/>
    <xf numFmtId="0" fontId="9" fillId="41" borderId="0" applyNumberFormat="0" applyBorder="0" applyAlignment="0" applyProtection="0"/>
    <xf numFmtId="0" fontId="23" fillId="42" borderId="0" applyNumberFormat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0" fontId="0" fillId="6" borderId="0" xfId="0" applyFill="1"/>
    <xf numFmtId="0" fontId="0" fillId="7" borderId="0" xfId="0" applyFill="1"/>
    <xf numFmtId="1" fontId="0" fillId="6" borderId="0" xfId="0" applyNumberFormat="1" applyFill="1" applyAlignment="1">
      <alignment horizontal="center"/>
    </xf>
    <xf numFmtId="1" fontId="0" fillId="10" borderId="0" xfId="0" applyNumberFormat="1" applyFill="1" applyAlignment="1">
      <alignment horizontal="center"/>
    </xf>
    <xf numFmtId="1" fontId="0" fillId="8" borderId="0" xfId="0" applyNumberFormat="1" applyFill="1"/>
    <xf numFmtId="1" fontId="0" fillId="6" borderId="0" xfId="0" applyNumberFormat="1" applyFill="1"/>
    <xf numFmtId="0" fontId="0" fillId="10" borderId="0" xfId="0" applyFill="1"/>
    <xf numFmtId="1" fontId="0" fillId="10" borderId="0" xfId="0" applyNumberFormat="1" applyFill="1"/>
    <xf numFmtId="1" fontId="0" fillId="9" borderId="0" xfId="0" applyNumberFormat="1" applyFill="1"/>
    <xf numFmtId="0" fontId="0" fillId="9" borderId="0" xfId="0" applyFill="1"/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1" borderId="0" xfId="0" applyNumberFormat="1" applyFill="1"/>
    <xf numFmtId="1" fontId="0" fillId="0" borderId="0" xfId="0" applyNumberFormat="1" applyFill="1"/>
    <xf numFmtId="1" fontId="0" fillId="7" borderId="0" xfId="0" applyNumberFormat="1" applyFill="1"/>
    <xf numFmtId="0" fontId="0" fillId="8" borderId="0" xfId="0" applyFill="1"/>
    <xf numFmtId="1" fontId="0" fillId="5" borderId="0" xfId="0" applyNumberFormat="1" applyFill="1"/>
    <xf numFmtId="0" fontId="0" fillId="0" borderId="1" xfId="0" applyFill="1" applyBorder="1"/>
    <xf numFmtId="1" fontId="0" fillId="0" borderId="1" xfId="0" applyNumberFormat="1" applyFill="1" applyBorder="1" applyAlignment="1">
      <alignment horizontal="center"/>
    </xf>
    <xf numFmtId="0" fontId="0" fillId="0" borderId="0" xfId="0" applyFill="1" applyBorder="1"/>
    <xf numFmtId="1" fontId="0" fillId="0" borderId="0" xfId="0" applyNumberFormat="1" applyFill="1" applyBorder="1" applyAlignment="1">
      <alignment horizontal="center"/>
    </xf>
    <xf numFmtId="1" fontId="0" fillId="0" borderId="1" xfId="0" applyNumberFormat="1" applyFill="1" applyBorder="1"/>
    <xf numFmtId="1" fontId="0" fillId="0" borderId="0" xfId="0" applyNumberFormat="1" applyFill="1" applyBorder="1"/>
    <xf numFmtId="0" fontId="0" fillId="0" borderId="0" xfId="0" applyBorder="1"/>
    <xf numFmtId="0" fontId="0" fillId="0" borderId="0" xfId="0"/>
    <xf numFmtId="0" fontId="5" fillId="0" borderId="0" xfId="0" applyFont="1"/>
    <xf numFmtId="0" fontId="0" fillId="0" borderId="0" xfId="0"/>
    <xf numFmtId="1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7" fillId="0" borderId="0" xfId="0" applyFont="1"/>
    <xf numFmtId="0" fontId="0" fillId="0" borderId="0" xfId="0"/>
    <xf numFmtId="0" fontId="0" fillId="4" borderId="0" xfId="0" applyFill="1"/>
    <xf numFmtId="0" fontId="8" fillId="0" borderId="0" xfId="0" applyFont="1"/>
    <xf numFmtId="0" fontId="0" fillId="0" borderId="0" xfId="0"/>
    <xf numFmtId="0" fontId="0" fillId="4" borderId="0" xfId="0" applyFill="1" applyAlignment="1">
      <alignment horizontal="center"/>
    </xf>
    <xf numFmtId="0" fontId="24" fillId="0" borderId="0" xfId="0" applyFont="1"/>
    <xf numFmtId="0" fontId="3" fillId="0" borderId="0" xfId="0" applyFont="1" applyAlignment="1">
      <alignment horizontal="center"/>
    </xf>
    <xf numFmtId="0" fontId="24" fillId="0" borderId="0" xfId="0" applyFont="1" applyBorder="1"/>
    <xf numFmtId="0" fontId="0" fillId="0" borderId="12" xfId="0" applyFont="1" applyBorder="1"/>
    <xf numFmtId="0" fontId="0" fillId="0" borderId="12" xfId="0" applyBorder="1"/>
    <xf numFmtId="0" fontId="25" fillId="0" borderId="13" xfId="0" applyFont="1" applyBorder="1"/>
    <xf numFmtId="0" fontId="0" fillId="0" borderId="13" xfId="0" applyBorder="1"/>
    <xf numFmtId="0" fontId="26" fillId="0" borderId="0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26" fillId="0" borderId="14" xfId="0" applyFont="1" applyBorder="1"/>
    <xf numFmtId="0" fontId="0" fillId="0" borderId="14" xfId="0" applyBorder="1"/>
    <xf numFmtId="0" fontId="0" fillId="0" borderId="12" xfId="0" applyBorder="1" applyAlignment="1">
      <alignment horizontal="center"/>
    </xf>
    <xf numFmtId="0" fontId="25" fillId="0" borderId="0" xfId="0" applyFont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0" fontId="25" fillId="0" borderId="0" xfId="0" applyFont="1"/>
    <xf numFmtId="9" fontId="0" fillId="0" borderId="0" xfId="0" applyNumberFormat="1" applyAlignment="1">
      <alignment horizontal="center"/>
    </xf>
    <xf numFmtId="0" fontId="24" fillId="0" borderId="0" xfId="0" applyFont="1" applyAlignment="1">
      <alignment horizontal="left"/>
    </xf>
    <xf numFmtId="0" fontId="0" fillId="0" borderId="0" xfId="0"/>
    <xf numFmtId="0" fontId="0" fillId="0" borderId="0" xfId="0"/>
    <xf numFmtId="11" fontId="0" fillId="0" borderId="0" xfId="0" applyNumberFormat="1"/>
    <xf numFmtId="10" fontId="0" fillId="0" borderId="0" xfId="0" applyNumberFormat="1"/>
    <xf numFmtId="0" fontId="0" fillId="0" borderId="14" xfId="0" applyBorder="1" applyAlignment="1">
      <alignment horizontal="center"/>
    </xf>
    <xf numFmtId="0" fontId="0" fillId="0" borderId="0" xfId="0" applyFont="1"/>
    <xf numFmtId="0" fontId="27" fillId="0" borderId="0" xfId="0" applyFont="1" applyBorder="1" applyAlignment="1">
      <alignment vertical="center"/>
    </xf>
    <xf numFmtId="0" fontId="27" fillId="0" borderId="0" xfId="0" applyFont="1" applyBorder="1" applyAlignment="1">
      <alignment horizontal="left" vertical="center" indent="3"/>
    </xf>
    <xf numFmtId="0" fontId="27" fillId="0" borderId="0" xfId="0" quotePrefix="1" applyFont="1" applyBorder="1" applyAlignment="1">
      <alignment horizontal="left" vertical="center" indent="3"/>
    </xf>
    <xf numFmtId="0" fontId="28" fillId="0" borderId="0" xfId="0" applyFont="1" applyBorder="1" applyAlignment="1">
      <alignment vertical="center"/>
    </xf>
    <xf numFmtId="0" fontId="3" fillId="0" borderId="13" xfId="0" applyFont="1" applyBorder="1"/>
    <xf numFmtId="1" fontId="0" fillId="0" borderId="0" xfId="0" applyNumberFormat="1" applyAlignment="1">
      <alignment horizontal="center"/>
    </xf>
    <xf numFmtId="0" fontId="0" fillId="0" borderId="0" xfId="0"/>
    <xf numFmtId="16" fontId="0" fillId="0" borderId="0" xfId="0" applyNumberFormat="1" applyAlignment="1">
      <alignment horizontal="center"/>
    </xf>
    <xf numFmtId="2" fontId="0" fillId="11" borderId="0" xfId="0" applyNumberFormat="1" applyFill="1"/>
    <xf numFmtId="2" fontId="0" fillId="7" borderId="0" xfId="0" applyNumberFormat="1" applyFill="1"/>
    <xf numFmtId="2" fontId="0" fillId="8" borderId="0" xfId="0" applyNumberFormat="1" applyFill="1"/>
    <xf numFmtId="2" fontId="0" fillId="5" borderId="0" xfId="0" applyNumberFormat="1" applyFill="1"/>
    <xf numFmtId="2" fontId="0" fillId="9" borderId="0" xfId="0" applyNumberFormat="1" applyFill="1"/>
    <xf numFmtId="1" fontId="0" fillId="43" borderId="0" xfId="0" applyNumberFormat="1" applyFill="1" applyAlignment="1">
      <alignment horizontal="center"/>
    </xf>
    <xf numFmtId="1" fontId="0" fillId="43" borderId="0" xfId="0" applyNumberFormat="1" applyFill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2" fontId="0" fillId="43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29" fillId="0" borderId="0" xfId="0" applyFont="1"/>
    <xf numFmtId="0" fontId="0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0" fillId="0" borderId="0" xfId="0" applyFont="1" applyAlignment="1"/>
    <xf numFmtId="11" fontId="0" fillId="0" borderId="0" xfId="0" applyNumberFormat="1" applyFont="1"/>
    <xf numFmtId="0" fontId="0" fillId="7" borderId="0" xfId="0" applyFont="1" applyFill="1"/>
    <xf numFmtId="0" fontId="30" fillId="7" borderId="0" xfId="0" applyFont="1" applyFill="1" applyAlignment="1"/>
    <xf numFmtId="0" fontId="0" fillId="7" borderId="0" xfId="0" applyFont="1" applyFill="1" applyAlignment="1"/>
    <xf numFmtId="0" fontId="31" fillId="0" borderId="0" xfId="0" applyFont="1"/>
    <xf numFmtId="0" fontId="31" fillId="0" borderId="0" xfId="0" applyFont="1" applyBorder="1" applyAlignment="1">
      <alignment horizontal="right" vertical="center" wrapText="1"/>
    </xf>
    <xf numFmtId="2" fontId="0" fillId="0" borderId="1" xfId="0" applyNumberFormat="1" applyFill="1" applyBorder="1"/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left"/>
    </xf>
    <xf numFmtId="165" fontId="0" fillId="0" borderId="0" xfId="0" applyNumberFormat="1" applyFill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165" fontId="3" fillId="0" borderId="0" xfId="0" applyNumberFormat="1" applyFont="1"/>
    <xf numFmtId="165" fontId="0" fillId="0" borderId="0" xfId="0" applyNumberFormat="1" applyFill="1"/>
    <xf numFmtId="165" fontId="0" fillId="0" borderId="1" xfId="0" applyNumberFormat="1" applyFill="1" applyBorder="1"/>
    <xf numFmtId="165" fontId="0" fillId="11" borderId="0" xfId="0" applyNumberFormat="1" applyFill="1"/>
    <xf numFmtId="165" fontId="0" fillId="7" borderId="0" xfId="0" applyNumberFormat="1" applyFill="1"/>
    <xf numFmtId="165" fontId="0" fillId="8" borderId="0" xfId="0" applyNumberFormat="1" applyFill="1"/>
    <xf numFmtId="165" fontId="0" fillId="5" borderId="0" xfId="0" applyNumberFormat="1" applyFill="1"/>
    <xf numFmtId="165" fontId="0" fillId="9" borderId="0" xfId="0" applyNumberFormat="1" applyFill="1"/>
    <xf numFmtId="165" fontId="0" fillId="0" borderId="0" xfId="0" applyNumberFormat="1" applyFill="1" applyBorder="1" applyAlignment="1">
      <alignment horizontal="center"/>
    </xf>
    <xf numFmtId="165" fontId="0" fillId="0" borderId="11" xfId="0" applyNumberFormat="1" applyBorder="1"/>
    <xf numFmtId="1" fontId="4" fillId="0" borderId="0" xfId="0" applyNumberFormat="1" applyFont="1"/>
    <xf numFmtId="2" fontId="0" fillId="0" borderId="0" xfId="0" applyNumberFormat="1"/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left"/>
    </xf>
    <xf numFmtId="0" fontId="0" fillId="0" borderId="0" xfId="0" applyFill="1" applyAlignment="1">
      <alignment horizontal="center"/>
    </xf>
    <xf numFmtId="0" fontId="32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chartsheet" Target="chartsheets/sheet6.xml"/><Relationship Id="rId18" Type="http://schemas.openxmlformats.org/officeDocument/2006/relationships/chartsheet" Target="chartsheets/sheet1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5.xml"/><Relationship Id="rId17" Type="http://schemas.openxmlformats.org/officeDocument/2006/relationships/chartsheet" Target="chartsheets/sheet10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9.xml"/><Relationship Id="rId20" Type="http://schemas.openxmlformats.org/officeDocument/2006/relationships/chartsheet" Target="chartsheets/sheet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4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8.xml"/><Relationship Id="rId23" Type="http://schemas.openxmlformats.org/officeDocument/2006/relationships/worksheet" Target="worksheets/sheet8.xml"/><Relationship Id="rId28" Type="http://schemas.microsoft.com/office/2006/relationships/vbaProject" Target="vbaProject.bin"/><Relationship Id="rId10" Type="http://schemas.openxmlformats.org/officeDocument/2006/relationships/chartsheet" Target="chartsheets/sheet3.xml"/><Relationship Id="rId19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chartsheet" Target="chartsheets/sheet7.xml"/><Relationship Id="rId22" Type="http://schemas.openxmlformats.org/officeDocument/2006/relationships/chartsheet" Target="chartsheets/sheet15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Gasverbruik utiliteit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Energy_Flow!$B$201</c:f>
              <c:strCache>
                <c:ptCount val="1"/>
                <c:pt idx="0">
                  <c:v>Gas,Referentie</c:v>
                </c:pt>
              </c:strCache>
            </c:strRef>
          </c:tx>
          <c:marker>
            <c:symbol val="none"/>
          </c:marker>
          <c:cat>
            <c:numRef>
              <c:f>Energy_Flow!$D$200:$H$200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Energy_Flow!$D$201:$H$201</c:f>
              <c:numCache>
                <c:formatCode>0.0</c:formatCode>
                <c:ptCount val="5"/>
                <c:pt idx="0">
                  <c:v>1.2021471500000001</c:v>
                </c:pt>
                <c:pt idx="1">
                  <c:v>1.04377102708</c:v>
                </c:pt>
                <c:pt idx="2">
                  <c:v>1.0143975807800001</c:v>
                </c:pt>
                <c:pt idx="3">
                  <c:v>0.57201845258000006</c:v>
                </c:pt>
                <c:pt idx="4">
                  <c:v>0.5412657306419999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B-4A2F-AB55-B66F5508EC52}"/>
            </c:ext>
          </c:extLst>
        </c:ser>
        <c:ser>
          <c:idx val="1"/>
          <c:order val="1"/>
          <c:tx>
            <c:strRef>
              <c:f>Energy_Flow!$B$202</c:f>
              <c:strCache>
                <c:ptCount val="1"/>
                <c:pt idx="0">
                  <c:v>Gas,Label_B</c:v>
                </c:pt>
              </c:strCache>
            </c:strRef>
          </c:tx>
          <c:marker>
            <c:symbol val="none"/>
          </c:marker>
          <c:cat>
            <c:numRef>
              <c:f>Energy_Flow!$D$200:$H$200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Energy_Flow!$D$202:$H$202</c:f>
              <c:numCache>
                <c:formatCode>0.0</c:formatCode>
                <c:ptCount val="5"/>
                <c:pt idx="0">
                  <c:v>1.2021471500000001</c:v>
                </c:pt>
                <c:pt idx="1">
                  <c:v>0.58959211607999995</c:v>
                </c:pt>
                <c:pt idx="2">
                  <c:v>0.57225538677999999</c:v>
                </c:pt>
                <c:pt idx="3">
                  <c:v>0.54857725191999995</c:v>
                </c:pt>
                <c:pt idx="4">
                  <c:v>0.28779799046299998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B-4A2F-AB55-B66F5508EC52}"/>
            </c:ext>
          </c:extLst>
        </c:ser>
        <c:ser>
          <c:idx val="2"/>
          <c:order val="2"/>
          <c:tx>
            <c:strRef>
              <c:f>Energy_Flow!$B$203</c:f>
              <c:strCache>
                <c:ptCount val="1"/>
                <c:pt idx="0">
                  <c:v>Gas,Label_A+</c:v>
                </c:pt>
              </c:strCache>
            </c:strRef>
          </c:tx>
          <c:marker>
            <c:symbol val="none"/>
          </c:marker>
          <c:cat>
            <c:numRef>
              <c:f>Energy_Flow!$D$200:$H$200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Energy_Flow!$D$203:$H$203</c:f>
              <c:numCache>
                <c:formatCode>0.0</c:formatCode>
                <c:ptCount val="5"/>
                <c:pt idx="0">
                  <c:v>1.2021471500000001</c:v>
                </c:pt>
                <c:pt idx="1">
                  <c:v>0.17438400007999999</c:v>
                </c:pt>
                <c:pt idx="2">
                  <c:v>0.13119313978</c:v>
                </c:pt>
                <c:pt idx="3">
                  <c:v>8.0627165520000002E-2</c:v>
                </c:pt>
                <c:pt idx="4">
                  <c:v>5.0213623393999998E-2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5B-4A2F-AB55-B66F5508EC52}"/>
            </c:ext>
          </c:extLst>
        </c:ser>
        <c:ser>
          <c:idx val="3"/>
          <c:order val="3"/>
          <c:tx>
            <c:strRef>
              <c:f>Energy_Flow!$B$204</c:f>
              <c:strCache>
                <c:ptCount val="1"/>
                <c:pt idx="0">
                  <c:v>Gas,Label_A+_eWP</c:v>
                </c:pt>
              </c:strCache>
            </c:strRef>
          </c:tx>
          <c:marker>
            <c:symbol val="none"/>
          </c:marker>
          <c:cat>
            <c:numRef>
              <c:f>Energy_Flow!$D$200:$H$200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Energy_Flow!$D$204:$H$204</c:f>
              <c:numCache>
                <c:formatCode>0.0</c:formatCode>
                <c:ptCount val="5"/>
                <c:pt idx="0">
                  <c:v>1.2021471500000001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5B-4A2F-AB55-B66F5508EC52}"/>
            </c:ext>
          </c:extLst>
        </c:ser>
        <c:ser>
          <c:idx val="4"/>
          <c:order val="4"/>
          <c:tx>
            <c:strRef>
              <c:f>Energy_Flow!$B$205</c:f>
              <c:strCache>
                <c:ptCount val="1"/>
                <c:pt idx="0">
                  <c:v>Gas,Label_B_WP2euro/m3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Energy_Flow!$D$200:$H$200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Energy_Flow!$D$205:$H$205</c:f>
              <c:numCache>
                <c:formatCode>0.0</c:formatCode>
                <c:ptCount val="5"/>
                <c:pt idx="0">
                  <c:v>1.2021471500000001</c:v>
                </c:pt>
                <c:pt idx="1">
                  <c:v>1.2415756200000001E-3</c:v>
                </c:pt>
                <c:pt idx="2">
                  <c:v>1.2085992099999999E-3</c:v>
                </c:pt>
                <c:pt idx="3">
                  <c:v>1.1757432699999999E-3</c:v>
                </c:pt>
                <c:pt idx="4">
                  <c:v>1.1413611500000001E-3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5B-4A2F-AB55-B66F5508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23680"/>
        <c:axId val="154425216"/>
      </c:lineChart>
      <c:catAx>
        <c:axId val="15442368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154425216"/>
        <c:crosses val="autoZero"/>
        <c:auto val="1"/>
        <c:lblAlgn val="ctr"/>
        <c:lblOffset val="100"/>
        <c:noMultiLvlLbl val="0"/>
      </c:catAx>
      <c:valAx>
        <c:axId val="154425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PJ/jaar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54423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Warmteverbruik utiliteit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Energy_Flow!$B$206</c:f>
              <c:strCache>
                <c:ptCount val="1"/>
                <c:pt idx="0">
                  <c:v>Warmte,Referentie</c:v>
                </c:pt>
              </c:strCache>
            </c:strRef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Energy_Flow!$D$200:$H$200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Energy_Flow!$D$206:$H$206</c:f>
              <c:numCache>
                <c:formatCode>0.0</c:formatCode>
                <c:ptCount val="5"/>
                <c:pt idx="0">
                  <c:v>0.80431336499999995</c:v>
                </c:pt>
                <c:pt idx="1">
                  <c:v>0.85690436300000006</c:v>
                </c:pt>
                <c:pt idx="2">
                  <c:v>0.83339644249999989</c:v>
                </c:pt>
                <c:pt idx="3">
                  <c:v>1.1974776735000001</c:v>
                </c:pt>
                <c:pt idx="4">
                  <c:v>1.1416436103000001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6-4E7F-A3CA-0E976E9C7BFC}"/>
            </c:ext>
          </c:extLst>
        </c:ser>
        <c:ser>
          <c:idx val="6"/>
          <c:order val="1"/>
          <c:tx>
            <c:strRef>
              <c:f>Energy_Flow!$B$207</c:f>
              <c:strCache>
                <c:ptCount val="1"/>
                <c:pt idx="0">
                  <c:v>Warmte,Label_B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Energy_Flow!$D$200:$H$200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Energy_Flow!$D$207:$H$207</c:f>
              <c:numCache>
                <c:formatCode>0.0</c:formatCode>
                <c:ptCount val="5"/>
                <c:pt idx="0">
                  <c:v>0.80431336499999995</c:v>
                </c:pt>
                <c:pt idx="1">
                  <c:v>0.41211953749999997</c:v>
                </c:pt>
                <c:pt idx="2">
                  <c:v>0.40110846130000005</c:v>
                </c:pt>
                <c:pt idx="3">
                  <c:v>0.39011288029999996</c:v>
                </c:pt>
                <c:pt idx="4">
                  <c:v>0.61127024269999997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56-4E7F-A3CA-0E976E9C7BFC}"/>
            </c:ext>
          </c:extLst>
        </c:ser>
        <c:ser>
          <c:idx val="7"/>
          <c:order val="2"/>
          <c:tx>
            <c:strRef>
              <c:f>Energy_Flow!$B$208</c:f>
              <c:strCache>
                <c:ptCount val="1"/>
                <c:pt idx="0">
                  <c:v>Warmte,Label_A+</c:v>
                </c:pt>
              </c:strCache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Energy_Flow!$D$200:$H$200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Energy_Flow!$D$208:$H$208</c:f>
              <c:numCache>
                <c:formatCode>0.0</c:formatCode>
                <c:ptCount val="5"/>
                <c:pt idx="0">
                  <c:v>0.80431336499999995</c:v>
                </c:pt>
                <c:pt idx="1">
                  <c:v>0.46101702630000002</c:v>
                </c:pt>
                <c:pt idx="2">
                  <c:v>0.46847494510000004</c:v>
                </c:pt>
                <c:pt idx="3">
                  <c:v>0.49193487200000002</c:v>
                </c:pt>
                <c:pt idx="4">
                  <c:v>0.49646463909999999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56-4E7F-A3CA-0E976E9C7BFC}"/>
            </c:ext>
          </c:extLst>
        </c:ser>
        <c:ser>
          <c:idx val="8"/>
          <c:order val="3"/>
          <c:tx>
            <c:strRef>
              <c:f>Energy_Flow!$B$209</c:f>
              <c:strCache>
                <c:ptCount val="1"/>
                <c:pt idx="0">
                  <c:v>Warmte,Label_A+_eWP</c:v>
                </c:pt>
              </c:strCache>
            </c:strRef>
          </c:tx>
          <c:spPr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Energy_Flow!$D$200:$H$200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Energy_Flow!$D$209:$H$209</c:f>
              <c:numCache>
                <c:formatCode>0.0</c:formatCode>
                <c:ptCount val="5"/>
                <c:pt idx="0">
                  <c:v>0.80431336499999995</c:v>
                </c:pt>
                <c:pt idx="1">
                  <c:v>0.80609087819999992</c:v>
                </c:pt>
                <c:pt idx="2">
                  <c:v>0.78390144519999994</c:v>
                </c:pt>
                <c:pt idx="3">
                  <c:v>0.75949081890000003</c:v>
                </c:pt>
                <c:pt idx="4">
                  <c:v>0.71565536389999995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56-4E7F-A3CA-0E976E9C7BFC}"/>
            </c:ext>
          </c:extLst>
        </c:ser>
        <c:ser>
          <c:idx val="9"/>
          <c:order val="4"/>
          <c:tx>
            <c:strRef>
              <c:f>Energy_Flow!$B$210</c:f>
              <c:strCache>
                <c:ptCount val="1"/>
                <c:pt idx="0">
                  <c:v>Warmte,Label_B_WP2euro/m3</c:v>
                </c:pt>
              </c:strCache>
            </c:strRef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Energy_Flow!$D$200:$H$200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Energy_Flow!$D$210:$H$210</c:f>
              <c:numCache>
                <c:formatCode>0.0</c:formatCode>
                <c:ptCount val="5"/>
                <c:pt idx="0">
                  <c:v>0.80431336499999995</c:v>
                </c:pt>
                <c:pt idx="1">
                  <c:v>0.99301972822599993</c:v>
                </c:pt>
                <c:pt idx="2">
                  <c:v>0.96662890680100011</c:v>
                </c:pt>
                <c:pt idx="3">
                  <c:v>0.94027834053799997</c:v>
                </c:pt>
                <c:pt idx="4">
                  <c:v>0.91388752678900009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56-4E7F-A3CA-0E976E9C7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037120"/>
        <c:axId val="127501056"/>
      </c:lineChart>
      <c:catAx>
        <c:axId val="16203712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127501056"/>
        <c:crosses val="autoZero"/>
        <c:auto val="1"/>
        <c:lblAlgn val="ctr"/>
        <c:lblOffset val="100"/>
        <c:noMultiLvlLbl val="0"/>
      </c:catAx>
      <c:valAx>
        <c:axId val="127501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PJ/jaar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62037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'Vergelijking per zichtjaar'!$B$115</c:f>
          <c:strCache>
            <c:ptCount val="1"/>
            <c:pt idx="0">
              <c:v>CO2-emissie, Variant: Energiebelasting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'Vergelijking per zichtjaar'!$B$118</c:f>
              <c:strCache>
                <c:ptCount val="1"/>
                <c:pt idx="0">
                  <c:v>Referentie</c:v>
                </c:pt>
              </c:strCache>
            </c:strRef>
          </c:tx>
          <c:marker>
            <c:symbol val="none"/>
          </c:marker>
          <c:cat>
            <c:numRef>
              <c:f>'Vergelijking per zichtjaar'!$A$119:$A$121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zichtjaar'!$B$119:$B$121</c:f>
              <c:numCache>
                <c:formatCode>0.0</c:formatCode>
                <c:ptCount val="3"/>
                <c:pt idx="0">
                  <c:v>0.59061059590000009</c:v>
                </c:pt>
                <c:pt idx="1">
                  <c:v>0.25790976163653284</c:v>
                </c:pt>
                <c:pt idx="2">
                  <c:v>0.20497389660596343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D1-4DAE-86FC-B025D63D37EF}"/>
            </c:ext>
          </c:extLst>
        </c:ser>
        <c:ser>
          <c:idx val="1"/>
          <c:order val="1"/>
          <c:tx>
            <c:strRef>
              <c:f>'Vergelijking per zichtjaar'!$C$118</c:f>
              <c:strCache>
                <c:ptCount val="1"/>
                <c:pt idx="0">
                  <c:v>Label_B</c:v>
                </c:pt>
              </c:strCache>
            </c:strRef>
          </c:tx>
          <c:marker>
            <c:symbol val="none"/>
          </c:marker>
          <c:cat>
            <c:numRef>
              <c:f>'Vergelijking per zichtjaar'!$A$119:$A$121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zichtjaar'!$C$119:$C$121</c:f>
              <c:numCache>
                <c:formatCode>0.0</c:formatCode>
                <c:ptCount val="3"/>
                <c:pt idx="0">
                  <c:v>0.59061059590000009</c:v>
                </c:pt>
                <c:pt idx="1">
                  <c:v>0.21053563556653995</c:v>
                </c:pt>
                <c:pt idx="2">
                  <c:v>0.16843858521641719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D1-4DAE-86FC-B025D63D37EF}"/>
            </c:ext>
          </c:extLst>
        </c:ser>
        <c:ser>
          <c:idx val="2"/>
          <c:order val="2"/>
          <c:tx>
            <c:strRef>
              <c:f>'Vergelijking per zichtjaar'!$D$118</c:f>
              <c:strCache>
                <c:ptCount val="1"/>
                <c:pt idx="0">
                  <c:v>Label_A+</c:v>
                </c:pt>
              </c:strCache>
            </c:strRef>
          </c:tx>
          <c:marker>
            <c:symbol val="none"/>
          </c:marker>
          <c:cat>
            <c:numRef>
              <c:f>'Vergelijking per zichtjaar'!$A$119:$A$121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zichtjaar'!$D$119:$D$121</c:f>
              <c:numCache>
                <c:formatCode>0.0</c:formatCode>
                <c:ptCount val="3"/>
                <c:pt idx="0">
                  <c:v>0.59061059590000009</c:v>
                </c:pt>
                <c:pt idx="1">
                  <c:v>8.0609545778591127E-2</c:v>
                </c:pt>
                <c:pt idx="2">
                  <c:v>4.9541560401992063E-2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D1-4DAE-86FC-B025D63D37EF}"/>
            </c:ext>
          </c:extLst>
        </c:ser>
        <c:ser>
          <c:idx val="3"/>
          <c:order val="3"/>
          <c:tx>
            <c:strRef>
              <c:f>'Vergelijking per zichtjaar'!$E$118</c:f>
              <c:strCache>
                <c:ptCount val="1"/>
                <c:pt idx="0">
                  <c:v>Label_A+_eWP</c:v>
                </c:pt>
              </c:strCache>
            </c:strRef>
          </c:tx>
          <c:marker>
            <c:symbol val="none"/>
          </c:marker>
          <c:cat>
            <c:numRef>
              <c:f>'Vergelijking per zichtjaar'!$A$119:$A$121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zichtjaar'!$E$119:$E$121</c:f>
              <c:numCache>
                <c:formatCode>0.0</c:formatCode>
                <c:ptCount val="3"/>
                <c:pt idx="0">
                  <c:v>0.59061059590000009</c:v>
                </c:pt>
                <c:pt idx="1">
                  <c:v>5.8501958253952269E-2</c:v>
                </c:pt>
                <c:pt idx="2">
                  <c:v>3.4305533345044256E-2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D1-4DAE-86FC-B025D63D37EF}"/>
            </c:ext>
          </c:extLst>
        </c:ser>
        <c:ser>
          <c:idx val="4"/>
          <c:order val="4"/>
          <c:tx>
            <c:strRef>
              <c:f>'Vergelijking per zichtjaar'!$F$118</c:f>
              <c:strCache>
                <c:ptCount val="1"/>
                <c:pt idx="0">
                  <c:v>Label_B_WP2euro/m3</c:v>
                </c:pt>
              </c:strCache>
            </c:strRef>
          </c:tx>
          <c:marker>
            <c:symbol val="none"/>
          </c:marker>
          <c:cat>
            <c:numRef>
              <c:f>'Vergelijking per zichtjaar'!$A$119:$A$121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zichtjaar'!$F$119:$F$121</c:f>
              <c:numCache>
                <c:formatCode>0.0</c:formatCode>
                <c:ptCount val="3"/>
                <c:pt idx="0">
                  <c:v>0.59061059590000009</c:v>
                </c:pt>
                <c:pt idx="1">
                  <c:v>5.596935657943243E-2</c:v>
                </c:pt>
                <c:pt idx="2">
                  <c:v>3.3202578913659048E-2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D1-4DAE-86FC-B025D63D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35296"/>
        <c:axId val="127736832"/>
      </c:lineChart>
      <c:catAx>
        <c:axId val="12773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736832"/>
        <c:crosses val="autoZero"/>
        <c:auto val="1"/>
        <c:lblAlgn val="ctr"/>
        <c:lblOffset val="100"/>
        <c:noMultiLvlLbl val="0"/>
      </c:catAx>
      <c:valAx>
        <c:axId val="127736832"/>
        <c:scaling>
          <c:orientation val="minMax"/>
        </c:scaling>
        <c:delete val="0"/>
        <c:axPos val="l"/>
        <c:majorGridlines/>
        <c:title>
          <c:tx>
            <c:strRef>
              <c:f>'Vergelijking per zichtjaar'!$B$116</c:f>
              <c:strCache>
                <c:ptCount val="1"/>
                <c:pt idx="0">
                  <c:v>Mton/jaar</c:v>
                </c:pt>
              </c:strCache>
            </c:strRef>
          </c:tx>
          <c:overlay val="0"/>
          <c:txPr>
            <a:bodyPr rot="0" vert="horz"/>
            <a:lstStyle/>
            <a:p>
              <a:pPr>
                <a:defRPr/>
              </a:pPr>
              <a:endParaRPr lang="nl-NL"/>
            </a:p>
          </c:txPr>
        </c:title>
        <c:numFmt formatCode="0.0" sourceLinked="1"/>
        <c:majorTickMark val="out"/>
        <c:minorTickMark val="none"/>
        <c:tickLblPos val="nextTo"/>
        <c:crossAx val="127735296"/>
        <c:crosses val="autoZero"/>
        <c:crossBetween val="between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overlay val="0"/>
    </c:legend>
    <c:plotVisOnly val="1"/>
    <c:dispBlanksAs val="gap"/>
    <c:showDLblsOverMax val="0"/>
  </c:chart>
  <c:txPr>
    <a:bodyPr/>
    <a:lstStyle/>
    <a:p>
      <a:pPr>
        <a:defRPr sz="2400" baseline="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'Vergelijking per zichtjaar'!$B$94</c:f>
          <c:strCache>
            <c:ptCount val="1"/>
            <c:pt idx="0">
              <c:v>Warmte- en elektriciteitsvraag, Variant: Energiebelasting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'Vergelijking per zichtjaar'!$B$97</c:f>
              <c:strCache>
                <c:ptCount val="1"/>
                <c:pt idx="0">
                  <c:v>Referentie</c:v>
                </c:pt>
              </c:strCache>
            </c:strRef>
          </c:tx>
          <c:marker>
            <c:symbol val="none"/>
          </c:marker>
          <c:cat>
            <c:numRef>
              <c:f>'Vergelijking per zichtjaar'!$A$98:$A$100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zichtjaar'!$B$98:$B$100</c:f>
              <c:numCache>
                <c:formatCode>0</c:formatCode>
                <c:ptCount val="3"/>
                <c:pt idx="0">
                  <c:v>9.6084393950000013</c:v>
                </c:pt>
                <c:pt idx="1">
                  <c:v>9.6245747203200001</c:v>
                </c:pt>
                <c:pt idx="2">
                  <c:v>9.2493323855020009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0F-4864-AC71-0163E43DCB89}"/>
            </c:ext>
          </c:extLst>
        </c:ser>
        <c:ser>
          <c:idx val="1"/>
          <c:order val="1"/>
          <c:tx>
            <c:strRef>
              <c:f>'Vergelijking per zichtjaar'!$C$97</c:f>
              <c:strCache>
                <c:ptCount val="1"/>
                <c:pt idx="0">
                  <c:v>Label_B</c:v>
                </c:pt>
              </c:strCache>
            </c:strRef>
          </c:tx>
          <c:marker>
            <c:symbol val="none"/>
          </c:marker>
          <c:cat>
            <c:numRef>
              <c:f>'Vergelijking per zichtjaar'!$A$98:$A$100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zichtjaar'!$C$98:$C$100</c:f>
              <c:numCache>
                <c:formatCode>0</c:formatCode>
                <c:ptCount val="3"/>
                <c:pt idx="0">
                  <c:v>9.6084393950000013</c:v>
                </c:pt>
                <c:pt idx="1">
                  <c:v>8.0982421942799991</c:v>
                </c:pt>
                <c:pt idx="2">
                  <c:v>7.8516439253129988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0F-4864-AC71-0163E43DCB89}"/>
            </c:ext>
          </c:extLst>
        </c:ser>
        <c:ser>
          <c:idx val="2"/>
          <c:order val="2"/>
          <c:tx>
            <c:strRef>
              <c:f>'Vergelijking per zichtjaar'!$D$97</c:f>
              <c:strCache>
                <c:ptCount val="1"/>
                <c:pt idx="0">
                  <c:v>Label_A+</c:v>
                </c:pt>
              </c:strCache>
            </c:strRef>
          </c:tx>
          <c:marker>
            <c:symbol val="none"/>
          </c:marker>
          <c:cat>
            <c:numRef>
              <c:f>'Vergelijking per zichtjaar'!$A$98:$A$100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zichtjaar'!$D$98:$D$100</c:f>
              <c:numCache>
                <c:formatCode>0</c:formatCode>
                <c:ptCount val="3"/>
                <c:pt idx="0">
                  <c:v>9.6084393950000013</c:v>
                </c:pt>
                <c:pt idx="1">
                  <c:v>6.9338257277199995</c:v>
                </c:pt>
                <c:pt idx="2">
                  <c:v>6.7901844315139996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0F-4864-AC71-0163E43DCB89}"/>
            </c:ext>
          </c:extLst>
        </c:ser>
        <c:ser>
          <c:idx val="3"/>
          <c:order val="3"/>
          <c:tx>
            <c:strRef>
              <c:f>'Vergelijking per zichtjaar'!$E$97</c:f>
              <c:strCache>
                <c:ptCount val="1"/>
                <c:pt idx="0">
                  <c:v>Label_A+_eWP</c:v>
                </c:pt>
              </c:strCache>
            </c:strRef>
          </c:tx>
          <c:marker>
            <c:symbol val="none"/>
          </c:marker>
          <c:cat>
            <c:numRef>
              <c:f>'Vergelijking per zichtjaar'!$A$98:$A$100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zichtjaar'!$E$98:$E$100</c:f>
              <c:numCache>
                <c:formatCode>0</c:formatCode>
                <c:ptCount val="3"/>
                <c:pt idx="0">
                  <c:v>9.6084393950000013</c:v>
                </c:pt>
                <c:pt idx="1">
                  <c:v>5.6603560047000006</c:v>
                </c:pt>
                <c:pt idx="2">
                  <c:v>5.5040911553000003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0F-4864-AC71-0163E43DCB89}"/>
            </c:ext>
          </c:extLst>
        </c:ser>
        <c:ser>
          <c:idx val="4"/>
          <c:order val="4"/>
          <c:tx>
            <c:strRef>
              <c:f>'Vergelijking per zichtjaar'!$F$97</c:f>
              <c:strCache>
                <c:ptCount val="1"/>
                <c:pt idx="0">
                  <c:v>Label_B_WP2euro/m3</c:v>
                </c:pt>
              </c:strCache>
            </c:strRef>
          </c:tx>
          <c:marker>
            <c:symbol val="none"/>
          </c:marker>
          <c:cat>
            <c:numRef>
              <c:f>'Vergelijking per zichtjaar'!$A$98:$A$100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zichtjaar'!$F$98:$F$100</c:f>
              <c:numCache>
                <c:formatCode>0</c:formatCode>
                <c:ptCount val="3"/>
                <c:pt idx="0">
                  <c:v>9.6084393950000013</c:v>
                </c:pt>
                <c:pt idx="1">
                  <c:v>7.7939345913779992</c:v>
                </c:pt>
                <c:pt idx="2">
                  <c:v>7.5713210163180005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0F-4864-AC71-0163E43D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49504"/>
        <c:axId val="127767680"/>
      </c:lineChart>
      <c:catAx>
        <c:axId val="12774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767680"/>
        <c:crosses val="autoZero"/>
        <c:auto val="1"/>
        <c:lblAlgn val="ctr"/>
        <c:lblOffset val="100"/>
        <c:noMultiLvlLbl val="0"/>
      </c:catAx>
      <c:valAx>
        <c:axId val="127767680"/>
        <c:scaling>
          <c:orientation val="minMax"/>
          <c:min val="0"/>
        </c:scaling>
        <c:delete val="0"/>
        <c:axPos val="l"/>
        <c:majorGridlines/>
        <c:title>
          <c:tx>
            <c:strRef>
              <c:f>'Vergelijking per zichtjaar'!$B$95</c:f>
              <c:strCache>
                <c:ptCount val="1"/>
                <c:pt idx="0">
                  <c:v>PJ/jaar</c:v>
                </c:pt>
              </c:strCache>
            </c:strRef>
          </c:tx>
          <c:overlay val="0"/>
          <c:txPr>
            <a:bodyPr rot="0" vert="horz"/>
            <a:lstStyle/>
            <a:p>
              <a:pPr>
                <a:defRPr/>
              </a:pPr>
              <a:endParaRPr lang="nl-NL"/>
            </a:p>
          </c:txPr>
        </c:title>
        <c:numFmt formatCode="0" sourceLinked="1"/>
        <c:majorTickMark val="out"/>
        <c:minorTickMark val="none"/>
        <c:tickLblPos val="nextTo"/>
        <c:crossAx val="127749504"/>
        <c:crosses val="autoZero"/>
        <c:crossBetween val="between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overlay val="0"/>
    </c:legend>
    <c:plotVisOnly val="1"/>
    <c:dispBlanksAs val="gap"/>
    <c:showDLblsOverMax val="0"/>
  </c:chart>
  <c:txPr>
    <a:bodyPr/>
    <a:lstStyle/>
    <a:p>
      <a:pPr>
        <a:defRPr sz="2400" baseline="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'Vergelijking per zichtjaar'!$B$64</c:f>
          <c:strCache>
            <c:ptCount val="1"/>
            <c:pt idx="0">
              <c:v>Uitgaven, Variant: Energiebelasting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'Vergelijking per zichtjaar'!$B$67</c:f>
              <c:strCache>
                <c:ptCount val="1"/>
                <c:pt idx="0">
                  <c:v>Referentie</c:v>
                </c:pt>
              </c:strCache>
            </c:strRef>
          </c:tx>
          <c:marker>
            <c:symbol val="none"/>
          </c:marker>
          <c:cat>
            <c:numRef>
              <c:f>'Vergelijking per zichtjaar'!$A$68:$A$70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zichtjaar'!$B$68:$B$70</c:f>
              <c:numCache>
                <c:formatCode>0</c:formatCode>
                <c:ptCount val="3"/>
                <c:pt idx="0">
                  <c:v>293.03742798099967</c:v>
                </c:pt>
                <c:pt idx="1">
                  <c:v>325.95216172054</c:v>
                </c:pt>
                <c:pt idx="2">
                  <c:v>349.58609100370006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0E-4366-9693-8ED0A43764B9}"/>
            </c:ext>
          </c:extLst>
        </c:ser>
        <c:ser>
          <c:idx val="1"/>
          <c:order val="1"/>
          <c:tx>
            <c:strRef>
              <c:f>'Vergelijking per zichtjaar'!$C$67</c:f>
              <c:strCache>
                <c:ptCount val="1"/>
                <c:pt idx="0">
                  <c:v>Label_B</c:v>
                </c:pt>
              </c:strCache>
            </c:strRef>
          </c:tx>
          <c:marker>
            <c:symbol val="none"/>
          </c:marker>
          <c:cat>
            <c:numRef>
              <c:f>'Vergelijking per zichtjaar'!$A$68:$A$70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zichtjaar'!$C$68:$C$70</c:f>
              <c:numCache>
                <c:formatCode>0</c:formatCode>
                <c:ptCount val="3"/>
                <c:pt idx="0">
                  <c:v>293.03742798099967</c:v>
                </c:pt>
                <c:pt idx="1">
                  <c:v>389.1186806892</c:v>
                </c:pt>
                <c:pt idx="2">
                  <c:v>411.72670893609995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0E-4366-9693-8ED0A43764B9}"/>
            </c:ext>
          </c:extLst>
        </c:ser>
        <c:ser>
          <c:idx val="2"/>
          <c:order val="2"/>
          <c:tx>
            <c:strRef>
              <c:f>'Vergelijking per zichtjaar'!$D$67</c:f>
              <c:strCache>
                <c:ptCount val="1"/>
                <c:pt idx="0">
                  <c:v>Label_A+</c:v>
                </c:pt>
              </c:strCache>
            </c:strRef>
          </c:tx>
          <c:marker>
            <c:symbol val="none"/>
          </c:marker>
          <c:cat>
            <c:numRef>
              <c:f>'Vergelijking per zichtjaar'!$A$68:$A$70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zichtjaar'!$D$68:$D$70</c:f>
              <c:numCache>
                <c:formatCode>0</c:formatCode>
                <c:ptCount val="3"/>
                <c:pt idx="0">
                  <c:v>293.03742798099967</c:v>
                </c:pt>
                <c:pt idx="1">
                  <c:v>486.86223748980001</c:v>
                </c:pt>
                <c:pt idx="2">
                  <c:v>516.06452552439987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0E-4366-9693-8ED0A43764B9}"/>
            </c:ext>
          </c:extLst>
        </c:ser>
        <c:ser>
          <c:idx val="3"/>
          <c:order val="3"/>
          <c:tx>
            <c:strRef>
              <c:f>'Vergelijking per zichtjaar'!$E$67</c:f>
              <c:strCache>
                <c:ptCount val="1"/>
                <c:pt idx="0">
                  <c:v>Label_A+_eWP</c:v>
                </c:pt>
              </c:strCache>
            </c:strRef>
          </c:tx>
          <c:marker>
            <c:symbol val="none"/>
          </c:marker>
          <c:cat>
            <c:numRef>
              <c:f>'Vergelijking per zichtjaar'!$A$68:$A$70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zichtjaar'!$E$68:$E$70</c:f>
              <c:numCache>
                <c:formatCode>0</c:formatCode>
                <c:ptCount val="3"/>
                <c:pt idx="0">
                  <c:v>293.03742798099967</c:v>
                </c:pt>
                <c:pt idx="1">
                  <c:v>523.08386583069989</c:v>
                </c:pt>
                <c:pt idx="2">
                  <c:v>503.4114641028001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0E-4366-9693-8ED0A43764B9}"/>
            </c:ext>
          </c:extLst>
        </c:ser>
        <c:ser>
          <c:idx val="4"/>
          <c:order val="4"/>
          <c:tx>
            <c:strRef>
              <c:f>'Vergelijking per zichtjaar'!$F$67</c:f>
              <c:strCache>
                <c:ptCount val="1"/>
                <c:pt idx="0">
                  <c:v>Label_B_WP2euro/m3</c:v>
                </c:pt>
              </c:strCache>
            </c:strRef>
          </c:tx>
          <c:marker>
            <c:symbol val="none"/>
          </c:marker>
          <c:cat>
            <c:numRef>
              <c:f>'Vergelijking per zichtjaar'!$A$68:$A$70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zichtjaar'!$F$68:$F$70</c:f>
              <c:numCache>
                <c:formatCode>0</c:formatCode>
                <c:ptCount val="3"/>
                <c:pt idx="0">
                  <c:v>293.03742798099967</c:v>
                </c:pt>
                <c:pt idx="1">
                  <c:v>677.406674798214</c:v>
                </c:pt>
                <c:pt idx="2">
                  <c:v>668.56788801473328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0E-4366-9693-8ED0A4376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92640"/>
        <c:axId val="127794176"/>
      </c:lineChart>
      <c:catAx>
        <c:axId val="12779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794176"/>
        <c:crosses val="autoZero"/>
        <c:auto val="1"/>
        <c:lblAlgn val="ctr"/>
        <c:lblOffset val="100"/>
        <c:noMultiLvlLbl val="0"/>
      </c:catAx>
      <c:valAx>
        <c:axId val="127794176"/>
        <c:scaling>
          <c:orientation val="minMax"/>
        </c:scaling>
        <c:delete val="0"/>
        <c:axPos val="l"/>
        <c:majorGridlines/>
        <c:title>
          <c:tx>
            <c:strRef>
              <c:f>'Vergelijking per zichtjaar'!$B$65</c:f>
              <c:strCache>
                <c:ptCount val="1"/>
                <c:pt idx="0">
                  <c:v>Miljoen euro/jaar</c:v>
                </c:pt>
              </c:strCache>
            </c:strRef>
          </c:tx>
          <c:overlay val="0"/>
          <c:txPr>
            <a:bodyPr rot="0" vert="horz"/>
            <a:lstStyle/>
            <a:p>
              <a:pPr>
                <a:defRPr/>
              </a:pPr>
              <a:endParaRPr lang="nl-NL"/>
            </a:p>
          </c:txPr>
        </c:title>
        <c:numFmt formatCode="0" sourceLinked="1"/>
        <c:majorTickMark val="out"/>
        <c:minorTickMark val="none"/>
        <c:tickLblPos val="nextTo"/>
        <c:crossAx val="127792640"/>
        <c:crosses val="autoZero"/>
        <c:crossBetween val="between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overlay val="0"/>
    </c:legend>
    <c:plotVisOnly val="1"/>
    <c:dispBlanksAs val="gap"/>
    <c:showDLblsOverMax val="0"/>
  </c:chart>
  <c:txPr>
    <a:bodyPr/>
    <a:lstStyle/>
    <a:p>
      <a:pPr>
        <a:defRPr sz="2400" baseline="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'Vergelijking per zichtjaar'!$B$83</c:f>
          <c:strCache>
            <c:ptCount val="1"/>
            <c:pt idx="0">
              <c:v>Uitgaven 2050, Variant: Energiebelasting</c:v>
            </c:pt>
          </c:strCache>
        </c:strRef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'Vergelijking per zichtjaar'!$A$87</c:f>
              <c:strCache>
                <c:ptCount val="1"/>
                <c:pt idx="0">
                  <c:v>Winst/Verlies warmtebedrijven</c:v>
                </c:pt>
              </c:strCache>
            </c:strRef>
          </c:tx>
          <c:invertIfNegative val="0"/>
          <c:cat>
            <c:strRef>
              <c:f>'Vergelijking per zichtjaar'!$B$86:$E$86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zichtjaar'!$B$87:$E$87</c:f>
              <c:numCache>
                <c:formatCode>0</c:formatCode>
                <c:ptCount val="4"/>
                <c:pt idx="0">
                  <c:v>-1.86205252</c:v>
                </c:pt>
                <c:pt idx="1">
                  <c:v>1.4593459999999947E-2</c:v>
                </c:pt>
                <c:pt idx="2">
                  <c:v>-2.4296055300000003</c:v>
                </c:pt>
                <c:pt idx="3">
                  <c:v>-108.38104042000001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4-4753-ADED-B808163E81D4}"/>
            </c:ext>
          </c:extLst>
        </c:ser>
        <c:ser>
          <c:idx val="1"/>
          <c:order val="1"/>
          <c:tx>
            <c:strRef>
              <c:f>'Vergelijking per zichtjaar'!$A$88</c:f>
              <c:strCache>
                <c:ptCount val="1"/>
                <c:pt idx="0">
                  <c:v>Nationale kosten</c:v>
                </c:pt>
              </c:strCache>
            </c:strRef>
          </c:tx>
          <c:invertIfNegative val="0"/>
          <c:cat>
            <c:strRef>
              <c:f>'Vergelijking per zichtjaar'!$B$86:$E$86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zichtjaar'!$B$88:$E$88</c:f>
              <c:numCache>
                <c:formatCode>0</c:formatCode>
                <c:ptCount val="4"/>
                <c:pt idx="0">
                  <c:v>225.46842604699981</c:v>
                </c:pt>
                <c:pt idx="1">
                  <c:v>301.77274709483999</c:v>
                </c:pt>
                <c:pt idx="2">
                  <c:v>583.58155049209995</c:v>
                </c:pt>
                <c:pt idx="3">
                  <c:v>1269.4709627033999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84-4753-ADED-B808163E81D4}"/>
            </c:ext>
          </c:extLst>
        </c:ser>
        <c:ser>
          <c:idx val="2"/>
          <c:order val="2"/>
          <c:tx>
            <c:strRef>
              <c:f>'Vergelijking per zichtjaar'!$A$89</c:f>
              <c:strCache>
                <c:ptCount val="1"/>
                <c:pt idx="0">
                  <c:v>Overheid</c:v>
                </c:pt>
              </c:strCache>
            </c:strRef>
          </c:tx>
          <c:invertIfNegative val="0"/>
          <c:cat>
            <c:strRef>
              <c:f>'Vergelijking per zichtjaar'!$B$86:$E$86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zichtjaar'!$B$89:$E$89</c:f>
              <c:numCache>
                <c:formatCode>0</c:formatCode>
                <c:ptCount val="4"/>
                <c:pt idx="0">
                  <c:v>69.431054454000019</c:v>
                </c:pt>
                <c:pt idx="1">
                  <c:v>76.844606313000014</c:v>
                </c:pt>
                <c:pt idx="2">
                  <c:v>72.757179662999988</c:v>
                </c:pt>
                <c:pt idx="3">
                  <c:v>80.858967382000003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84-4753-ADED-B808163E81D4}"/>
            </c:ext>
          </c:extLst>
        </c:ser>
        <c:ser>
          <c:idx val="3"/>
          <c:order val="3"/>
          <c:tx>
            <c:strRef>
              <c:f>'Vergelijking per zichtjaar'!$A$90</c:f>
              <c:strCache>
                <c:ptCount val="1"/>
                <c:pt idx="0">
                  <c:v>Risicopremie</c:v>
                </c:pt>
              </c:strCache>
            </c:strRef>
          </c:tx>
          <c:invertIfNegative val="0"/>
          <c:cat>
            <c:strRef>
              <c:f>'Vergelijking per zichtjaar'!$B$86:$E$86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zichtjaar'!$B$90:$E$90</c:f>
              <c:numCache>
                <c:formatCode>0</c:formatCode>
                <c:ptCount val="4"/>
                <c:pt idx="0">
                  <c:v>-1.1101365089999999E-13</c:v>
                </c:pt>
                <c:pt idx="1">
                  <c:v>4.2192892899999999</c:v>
                </c:pt>
                <c:pt idx="2">
                  <c:v>24.716511152999995</c:v>
                </c:pt>
                <c:pt idx="3">
                  <c:v>78.537824360999991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84-4753-ADED-B808163E8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084608"/>
        <c:axId val="128090496"/>
      </c:barChart>
      <c:catAx>
        <c:axId val="128084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8090496"/>
        <c:crosses val="autoZero"/>
        <c:auto val="1"/>
        <c:lblAlgn val="ctr"/>
        <c:lblOffset val="100"/>
        <c:noMultiLvlLbl val="0"/>
      </c:catAx>
      <c:valAx>
        <c:axId val="128090496"/>
        <c:scaling>
          <c:orientation val="minMax"/>
        </c:scaling>
        <c:delete val="0"/>
        <c:axPos val="b"/>
        <c:majorGridlines/>
        <c:title>
          <c:tx>
            <c:strRef>
              <c:f>'Vergelijking per zichtjaar'!$B$84</c:f>
              <c:strCache>
                <c:ptCount val="1"/>
                <c:pt idx="0">
                  <c:v>Miljoen euro/jaar</c:v>
                </c:pt>
              </c:strCache>
            </c:strRef>
          </c:tx>
          <c:overlay val="0"/>
        </c:title>
        <c:numFmt formatCode="0" sourceLinked="1"/>
        <c:majorTickMark val="out"/>
        <c:minorTickMark val="none"/>
        <c:tickLblPos val="nextTo"/>
        <c:crossAx val="128084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'Vergelijking per zichtjaar'!$B$103</c:f>
          <c:strCache>
            <c:ptCount val="1"/>
            <c:pt idx="0">
              <c:v>Warmte- en elektriciteitsvraag 2050, Variant: Energiebelasting</c:v>
            </c:pt>
          </c:strCache>
        </c:strRef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'Vergelijking per zichtjaar'!$A$107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strRef>
              <c:f>'Vergelijking per zichtjaar'!$B$106:$E$106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zichtjaar'!$B$107:$E$107</c:f>
              <c:numCache>
                <c:formatCode>0.0</c:formatCode>
                <c:ptCount val="4"/>
                <c:pt idx="0">
                  <c:v>4.7156557600000006</c:v>
                </c:pt>
                <c:pt idx="1">
                  <c:v>3.4296914419019999</c:v>
                </c:pt>
                <c:pt idx="2">
                  <c:v>2.713456208213</c:v>
                </c:pt>
                <c:pt idx="3">
                  <c:v>0.37433734001400004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B9-4867-AB8A-0AD73636D536}"/>
            </c:ext>
          </c:extLst>
        </c:ser>
        <c:ser>
          <c:idx val="1"/>
          <c:order val="1"/>
          <c:tx>
            <c:strRef>
              <c:f>'Vergelijking per zichtjaar'!$A$108</c:f>
              <c:strCache>
                <c:ptCount val="1"/>
                <c:pt idx="0">
                  <c:v>Elektriciteit</c:v>
                </c:pt>
              </c:strCache>
            </c:strRef>
          </c:tx>
          <c:invertIfNegative val="0"/>
          <c:cat>
            <c:strRef>
              <c:f>'Vergelijking per zichtjaar'!$B$106:$E$106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zichtjaar'!$B$108:$E$108</c:f>
              <c:numCache>
                <c:formatCode>0.0</c:formatCode>
                <c:ptCount val="4"/>
                <c:pt idx="0">
                  <c:v>2.7905743200000002</c:v>
                </c:pt>
                <c:pt idx="1">
                  <c:v>3.1307742063000004</c:v>
                </c:pt>
                <c:pt idx="2">
                  <c:v>3.1307618593999997</c:v>
                </c:pt>
                <c:pt idx="3">
                  <c:v>3.6918337123999998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B9-4867-AB8A-0AD73636D536}"/>
            </c:ext>
          </c:extLst>
        </c:ser>
        <c:ser>
          <c:idx val="2"/>
          <c:order val="2"/>
          <c:tx>
            <c:strRef>
              <c:f>'Vergelijking per zichtjaar'!$A$109</c:f>
              <c:strCache>
                <c:ptCount val="1"/>
                <c:pt idx="0">
                  <c:v>Warmtebedrijven</c:v>
                </c:pt>
              </c:strCache>
            </c:strRef>
          </c:tx>
          <c:invertIfNegative val="0"/>
          <c:cat>
            <c:strRef>
              <c:f>'Vergelijking per zichtjaar'!$B$106:$E$106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zichtjaar'!$B$109:$E$109</c:f>
              <c:numCache>
                <c:formatCode>0.0</c:formatCode>
                <c:ptCount val="4"/>
                <c:pt idx="0">
                  <c:v>2.1022093150000001</c:v>
                </c:pt>
                <c:pt idx="1">
                  <c:v>2.6888667373000001</c:v>
                </c:pt>
                <c:pt idx="2">
                  <c:v>2.0074258576999999</c:v>
                </c:pt>
                <c:pt idx="3">
                  <c:v>2.7240133790999992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B9-4867-AB8A-0AD73636D536}"/>
            </c:ext>
          </c:extLst>
        </c:ser>
        <c:ser>
          <c:idx val="3"/>
          <c:order val="3"/>
          <c:tx>
            <c:strRef>
              <c:f>'Vergelijking per zichtjaar'!$A$110</c:f>
              <c:strCache>
                <c:ptCount val="1"/>
                <c:pt idx="0">
                  <c:v>Zon-PV/Zonneboiler</c:v>
                </c:pt>
              </c:strCache>
            </c:strRef>
          </c:tx>
          <c:invertIfNegative val="0"/>
          <c:cat>
            <c:strRef>
              <c:f>'Vergelijking per zichtjaar'!$B$106:$E$106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zichtjaar'!$B$110:$E$110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B9-4867-AB8A-0AD73636D536}"/>
            </c:ext>
          </c:extLst>
        </c:ser>
        <c:ser>
          <c:idx val="4"/>
          <c:order val="4"/>
          <c:tx>
            <c:strRef>
              <c:f>'Vergelijking per zichtjaar'!$A$111</c:f>
              <c:strCache>
                <c:ptCount val="1"/>
                <c:pt idx="0">
                  <c:v>Bijstook</c:v>
                </c:pt>
              </c:strCache>
            </c:strRef>
          </c:tx>
          <c:invertIfNegative val="0"/>
          <c:cat>
            <c:strRef>
              <c:f>'Vergelijking per zichtjaar'!$B$106:$E$106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zichtjaar'!$B$111:$E$111</c:f>
              <c:numCache>
                <c:formatCode>0.0</c:formatCode>
                <c:ptCount val="4"/>
                <c:pt idx="0">
                  <c:v>0.56816467900000001</c:v>
                </c:pt>
                <c:pt idx="1">
                  <c:v>0.67090751599999998</c:v>
                </c:pt>
                <c:pt idx="2">
                  <c:v>0.48766335300000002</c:v>
                </c:pt>
                <c:pt idx="3">
                  <c:v>0.29100172499999999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B9-4867-AB8A-0AD73636D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106496"/>
        <c:axId val="128108032"/>
      </c:barChart>
      <c:catAx>
        <c:axId val="1281064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28108032"/>
        <c:crosses val="autoZero"/>
        <c:auto val="1"/>
        <c:lblAlgn val="ctr"/>
        <c:lblOffset val="100"/>
        <c:noMultiLvlLbl val="0"/>
      </c:catAx>
      <c:valAx>
        <c:axId val="128108032"/>
        <c:scaling>
          <c:orientation val="minMax"/>
        </c:scaling>
        <c:delete val="0"/>
        <c:axPos val="b"/>
        <c:majorGridlines/>
        <c:title>
          <c:tx>
            <c:strRef>
              <c:f>'Vergelijking per zichtjaar'!$B$104</c:f>
              <c:strCache>
                <c:ptCount val="1"/>
                <c:pt idx="0">
                  <c:v>PJ/jaar</c:v>
                </c:pt>
              </c:strCache>
            </c:strRef>
          </c:tx>
          <c:overlay val="0"/>
        </c:title>
        <c:numFmt formatCode="0.0" sourceLinked="1"/>
        <c:majorTickMark val="out"/>
        <c:minorTickMark val="none"/>
        <c:tickLblPos val="nextTo"/>
        <c:crossAx val="128106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 baseline="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'Vergelijking per zichtjaar'!$B$124</c:f>
          <c:strCache>
            <c:ptCount val="1"/>
            <c:pt idx="0">
              <c:v>CO2-emissie 2050, Variant: Energiebelasting</c:v>
            </c:pt>
          </c:strCache>
        </c:strRef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'Vergelijking per zichtjaar'!$A$128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strRef>
              <c:f>'Vergelijking per zichtjaar'!$B$127:$E$127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zichtjaar'!$B$128:$E$128</c:f>
              <c:numCache>
                <c:formatCode>0.0</c:formatCode>
                <c:ptCount val="4"/>
                <c:pt idx="0">
                  <c:v>0.23868816780000002</c:v>
                </c:pt>
                <c:pt idx="1">
                  <c:v>0.17359765175929998</c:v>
                </c:pt>
                <c:pt idx="2">
                  <c:v>0.1373446081811</c:v>
                </c:pt>
                <c:pt idx="3">
                  <c:v>1.89475013947E-2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35-45E8-AB91-EB882528E4B0}"/>
            </c:ext>
          </c:extLst>
        </c:ser>
        <c:ser>
          <c:idx val="1"/>
          <c:order val="1"/>
          <c:tx>
            <c:strRef>
              <c:f>'Vergelijking per zichtjaar'!$A$129</c:f>
              <c:strCache>
                <c:ptCount val="1"/>
                <c:pt idx="0">
                  <c:v>Elektriciteit</c:v>
                </c:pt>
              </c:strCache>
            </c:strRef>
          </c:tx>
          <c:invertIfNegative val="0"/>
          <c:cat>
            <c:strRef>
              <c:f>'Vergelijking per zichtjaar'!$B$127:$E$127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zichtjaar'!$B$129:$E$129</c:f>
              <c:numCache>
                <c:formatCode>0.0</c:formatCode>
                <c:ptCount val="4"/>
                <c:pt idx="0">
                  <c:v>0.35192242800000001</c:v>
                </c:pt>
                <c:pt idx="1">
                  <c:v>3.0488566064000001E-2</c:v>
                </c:pt>
                <c:pt idx="2">
                  <c:v>3.0503181564000004E-2</c:v>
                </c:pt>
                <c:pt idx="3">
                  <c:v>3.0041679984000001E-2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35-45E8-AB91-EB882528E4B0}"/>
            </c:ext>
          </c:extLst>
        </c:ser>
        <c:ser>
          <c:idx val="2"/>
          <c:order val="2"/>
          <c:tx>
            <c:strRef>
              <c:f>'Vergelijking per zichtjaar'!$A$130</c:f>
              <c:strCache>
                <c:ptCount val="1"/>
                <c:pt idx="0">
                  <c:v>Warmtebedrijven</c:v>
                </c:pt>
              </c:strCache>
            </c:strRef>
          </c:tx>
          <c:invertIfNegative val="0"/>
          <c:cat>
            <c:strRef>
              <c:f>'Vergelijking per zichtjaar'!$B$127:$E$127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zichtjaar'!$B$130:$E$130</c:f>
              <c:numCache>
                <c:formatCode>0.0</c:formatCode>
                <c:ptCount val="4"/>
                <c:pt idx="0">
                  <c:v>1.000000013351432E-10</c:v>
                </c:pt>
                <c:pt idx="1">
                  <c:v>1.1050858881900001E-2</c:v>
                </c:pt>
                <c:pt idx="2">
                  <c:v>7.354909804200005E-3</c:v>
                </c:pt>
                <c:pt idx="3">
                  <c:v>6.8766571364999984E-3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35-45E8-AB91-EB882528E4B0}"/>
            </c:ext>
          </c:extLst>
        </c:ser>
        <c:ser>
          <c:idx val="3"/>
          <c:order val="3"/>
          <c:tx>
            <c:strRef>
              <c:f>'Vergelijking per zichtjaar'!$A$131</c:f>
              <c:strCache>
                <c:ptCount val="1"/>
                <c:pt idx="0">
                  <c:v>Zon-PV/Zonneboiler</c:v>
                </c:pt>
              </c:strCache>
            </c:strRef>
          </c:tx>
          <c:invertIfNegative val="0"/>
          <c:cat>
            <c:strRef>
              <c:f>'Vergelijking per zichtjaar'!$B$127:$E$127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zichtjaar'!$B$131:$E$131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35-45E8-AB91-EB882528E4B0}"/>
            </c:ext>
          </c:extLst>
        </c:ser>
        <c:ser>
          <c:idx val="4"/>
          <c:order val="4"/>
          <c:tx>
            <c:strRef>
              <c:f>'Vergelijking per zichtjaar'!$A$132</c:f>
              <c:strCache>
                <c:ptCount val="1"/>
                <c:pt idx="0">
                  <c:v>Bijstook</c:v>
                </c:pt>
              </c:strCache>
            </c:strRef>
          </c:tx>
          <c:invertIfNegative val="0"/>
          <c:cat>
            <c:strRef>
              <c:f>'Vergelijking per zichtjaar'!$B$127:$E$127</c:f>
              <c:strCache>
                <c:ptCount val="4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</c:strCache>
            </c:strRef>
          </c:cat>
          <c:val>
            <c:numRef>
              <c:f>'Vergelijking per zichtjaar'!$B$132:$E$132</c:f>
              <c:numCache>
                <c:formatCode>0.0</c:formatCode>
                <c:ptCount val="4"/>
                <c:pt idx="0">
                  <c:v>2.8758288E-2</c:v>
                </c:pt>
                <c:pt idx="1">
                  <c:v>3.39587311E-2</c:v>
                </c:pt>
                <c:pt idx="2">
                  <c:v>2.4683623699999997E-2</c:v>
                </c:pt>
                <c:pt idx="3">
                  <c:v>1.4729376399999999E-2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35-45E8-AB91-EB882528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070848"/>
        <c:axId val="135072384"/>
      </c:barChart>
      <c:catAx>
        <c:axId val="1350708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35072384"/>
        <c:crosses val="autoZero"/>
        <c:auto val="1"/>
        <c:lblAlgn val="ctr"/>
        <c:lblOffset val="100"/>
        <c:noMultiLvlLbl val="0"/>
      </c:catAx>
      <c:valAx>
        <c:axId val="135072384"/>
        <c:scaling>
          <c:orientation val="minMax"/>
        </c:scaling>
        <c:delete val="0"/>
        <c:axPos val="b"/>
        <c:majorGridlines/>
        <c:title>
          <c:tx>
            <c:strRef>
              <c:f>'Vergelijking per zichtjaar'!$B$125</c:f>
              <c:strCache>
                <c:ptCount val="1"/>
                <c:pt idx="0">
                  <c:v>Mton/jaar</c:v>
                </c:pt>
              </c:strCache>
            </c:strRef>
          </c:tx>
          <c:overlay val="0"/>
        </c:title>
        <c:numFmt formatCode="0.0" sourceLinked="1"/>
        <c:majorTickMark val="out"/>
        <c:minorTickMark val="none"/>
        <c:tickLblPos val="nextTo"/>
        <c:crossAx val="135070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 baseline="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'Vergelijking per zichtjaar'!$B$73</c:f>
          <c:strCache>
            <c:ptCount val="1"/>
            <c:pt idx="0">
              <c:v>Nationale kosten, variant: Energiebelasting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'Vergelijking per zichtjaar'!$B$74</c:f>
              <c:strCache>
                <c:ptCount val="1"/>
                <c:pt idx="0">
                  <c:v>Referentie</c:v>
                </c:pt>
              </c:strCache>
            </c:strRef>
          </c:tx>
          <c:marker>
            <c:symbol val="none"/>
          </c:marker>
          <c:cat>
            <c:numRef>
              <c:f>'Vergelijking per zichtjaar'!$A$75:$A$79</c:f>
              <c:numCache>
                <c:formatCode>General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'Vergelijking per zichtjaar'!$B$75:$B$79</c:f>
              <c:numCache>
                <c:formatCode>0</c:formatCode>
                <c:ptCount val="5"/>
                <c:pt idx="0">
                  <c:v>225.46842604699981</c:v>
                </c:pt>
                <c:pt idx="1">
                  <c:v>237.429436147177</c:v>
                </c:pt>
                <c:pt idx="2">
                  <c:v>241.24288879884</c:v>
                </c:pt>
                <c:pt idx="3">
                  <c:v>257.09917442130001</c:v>
                </c:pt>
                <c:pt idx="4">
                  <c:v>267.0227985427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1C-449A-A04B-8352DA62159B}"/>
            </c:ext>
          </c:extLst>
        </c:ser>
        <c:ser>
          <c:idx val="2"/>
          <c:order val="1"/>
          <c:tx>
            <c:strRef>
              <c:f>'Vergelijking per zichtjaar'!$C$74</c:f>
              <c:strCache>
                <c:ptCount val="1"/>
                <c:pt idx="0">
                  <c:v>Label_B</c:v>
                </c:pt>
              </c:strCache>
            </c:strRef>
          </c:tx>
          <c:marker>
            <c:symbol val="none"/>
          </c:marker>
          <c:cat>
            <c:numRef>
              <c:f>'Vergelijking per zichtjaar'!$A$75:$A$79</c:f>
              <c:numCache>
                <c:formatCode>General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'Vergelijking per zichtjaar'!$C$75:$C$79</c:f>
              <c:numCache>
                <c:formatCode>0</c:formatCode>
                <c:ptCount val="5"/>
                <c:pt idx="0">
                  <c:v>225.46842604699981</c:v>
                </c:pt>
                <c:pt idx="1">
                  <c:v>285.08329851240001</c:v>
                </c:pt>
                <c:pt idx="2">
                  <c:v>293.33756376669999</c:v>
                </c:pt>
                <c:pt idx="3">
                  <c:v>300.92385160629999</c:v>
                </c:pt>
                <c:pt idx="4">
                  <c:v>315.19782025209997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1C-449A-A04B-8352DA62159B}"/>
            </c:ext>
          </c:extLst>
        </c:ser>
        <c:ser>
          <c:idx val="3"/>
          <c:order val="2"/>
          <c:tx>
            <c:strRef>
              <c:f>'Vergelijking per zichtjaar'!$D$74</c:f>
              <c:strCache>
                <c:ptCount val="1"/>
                <c:pt idx="0">
                  <c:v>Label_A+</c:v>
                </c:pt>
              </c:strCache>
            </c:strRef>
          </c:tx>
          <c:marker>
            <c:symbol val="none"/>
          </c:marker>
          <c:cat>
            <c:numRef>
              <c:f>'Vergelijking per zichtjaar'!$A$75:$A$79</c:f>
              <c:numCache>
                <c:formatCode>General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'Vergelijking per zichtjaar'!$D$75:$D$79</c:f>
              <c:numCache>
                <c:formatCode>0</c:formatCode>
                <c:ptCount val="5"/>
                <c:pt idx="0">
                  <c:v>225.46842604699981</c:v>
                </c:pt>
                <c:pt idx="1">
                  <c:v>351.45807096469997</c:v>
                </c:pt>
                <c:pt idx="2">
                  <c:v>391.86052994529996</c:v>
                </c:pt>
                <c:pt idx="3">
                  <c:v>427.26665044029994</c:v>
                </c:pt>
                <c:pt idx="4">
                  <c:v>463.56397080339997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1C-449A-A04B-8352DA62159B}"/>
            </c:ext>
          </c:extLst>
        </c:ser>
        <c:ser>
          <c:idx val="4"/>
          <c:order val="3"/>
          <c:tx>
            <c:strRef>
              <c:f>'Vergelijking per zichtjaar'!$E$74</c:f>
              <c:strCache>
                <c:ptCount val="1"/>
                <c:pt idx="0">
                  <c:v>Label_A+_eWP</c:v>
                </c:pt>
              </c:strCache>
            </c:strRef>
          </c:tx>
          <c:marker>
            <c:symbol val="none"/>
          </c:marker>
          <c:cat>
            <c:numRef>
              <c:f>'Vergelijking per zichtjaar'!$A$75:$A$79</c:f>
              <c:numCache>
                <c:formatCode>General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'Vergelijking per zichtjaar'!$E$75:$E$79</c:f>
              <c:numCache>
                <c:formatCode>0</c:formatCode>
                <c:ptCount val="5"/>
                <c:pt idx="0">
                  <c:v>225.46842604699981</c:v>
                </c:pt>
                <c:pt idx="1">
                  <c:v>420.83152673730001</c:v>
                </c:pt>
                <c:pt idx="2">
                  <c:v>412.76443494069997</c:v>
                </c:pt>
                <c:pt idx="3">
                  <c:v>405.79478254489993</c:v>
                </c:pt>
                <c:pt idx="4">
                  <c:v>402.11871375700002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1C-449A-A04B-8352DA62159B}"/>
            </c:ext>
          </c:extLst>
        </c:ser>
        <c:ser>
          <c:idx val="5"/>
          <c:order val="4"/>
          <c:tx>
            <c:strRef>
              <c:f>'Vergelijking per zichtjaar'!$F$74</c:f>
              <c:strCache>
                <c:ptCount val="1"/>
                <c:pt idx="0">
                  <c:v>Label_B_WP2euro/m3</c:v>
                </c:pt>
              </c:strCache>
            </c:strRef>
          </c:tx>
          <c:marker>
            <c:symbol val="none"/>
          </c:marker>
          <c:cat>
            <c:numRef>
              <c:f>'Vergelijking per zichtjaar'!$A$75:$A$79</c:f>
              <c:numCache>
                <c:formatCode>General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'Vergelijking per zichtjaar'!$F$75:$F$79</c:f>
              <c:numCache>
                <c:formatCode>0</c:formatCode>
                <c:ptCount val="5"/>
                <c:pt idx="0">
                  <c:v>225.46842604699981</c:v>
                </c:pt>
                <c:pt idx="1">
                  <c:v>386.47179046499599</c:v>
                </c:pt>
                <c:pt idx="2">
                  <c:v>395.13275858240399</c:v>
                </c:pt>
                <c:pt idx="3">
                  <c:v>401.75745736828299</c:v>
                </c:pt>
                <c:pt idx="4">
                  <c:v>409.25763227129329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1C-449A-A04B-8352DA62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08864"/>
        <c:axId val="135110656"/>
      </c:lineChart>
      <c:catAx>
        <c:axId val="13510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110656"/>
        <c:crosses val="autoZero"/>
        <c:auto val="1"/>
        <c:lblAlgn val="ctr"/>
        <c:lblOffset val="100"/>
        <c:noMultiLvlLbl val="0"/>
      </c:catAx>
      <c:valAx>
        <c:axId val="13511065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35108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ReadMe!$N$6</c:f>
          <c:strCache>
            <c:ptCount val="1"/>
            <c:pt idx="0">
              <c:v>Nationale kosten, Set: Doorrekening Utrecht, Label Opleggen en Warmteprijs</c:v>
            </c:pt>
          </c:strCache>
        </c:strRef>
      </c:tx>
      <c:overlay val="0"/>
      <c:txPr>
        <a:bodyPr/>
        <a:lstStyle/>
        <a:p>
          <a:pPr>
            <a:defRPr/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'Vergelijking per zichtjaar'!$B$74</c:f>
              <c:strCache>
                <c:ptCount val="1"/>
                <c:pt idx="0">
                  <c:v>Referentie</c:v>
                </c:pt>
              </c:strCache>
            </c:strRef>
          </c:tx>
          <c:marker>
            <c:symbol val="none"/>
          </c:marker>
          <c:cat>
            <c:numRef>
              <c:f>'Vergelijking per zichtjaar'!$A$75:$A$79</c:f>
              <c:numCache>
                <c:formatCode>General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'Vergelijking per zichtjaar'!$B$75:$B$79</c:f>
              <c:numCache>
                <c:formatCode>0</c:formatCode>
                <c:ptCount val="5"/>
                <c:pt idx="0">
                  <c:v>225.46842604699981</c:v>
                </c:pt>
                <c:pt idx="1">
                  <c:v>237.429436147177</c:v>
                </c:pt>
                <c:pt idx="2">
                  <c:v>241.24288879884</c:v>
                </c:pt>
                <c:pt idx="3">
                  <c:v>257.09917442130001</c:v>
                </c:pt>
                <c:pt idx="4">
                  <c:v>267.0227985427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5-4B7A-87D4-A2749516962D}"/>
            </c:ext>
          </c:extLst>
        </c:ser>
        <c:ser>
          <c:idx val="1"/>
          <c:order val="1"/>
          <c:tx>
            <c:strRef>
              <c:f>'Vergelijking per zichtjaar'!$C$74</c:f>
              <c:strCache>
                <c:ptCount val="1"/>
                <c:pt idx="0">
                  <c:v>Label_B</c:v>
                </c:pt>
              </c:strCache>
            </c:strRef>
          </c:tx>
          <c:marker>
            <c:symbol val="none"/>
          </c:marker>
          <c:cat>
            <c:numRef>
              <c:f>'Vergelijking per zichtjaar'!$A$75:$A$79</c:f>
              <c:numCache>
                <c:formatCode>General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'Vergelijking per zichtjaar'!$C$75:$C$79</c:f>
              <c:numCache>
                <c:formatCode>0</c:formatCode>
                <c:ptCount val="5"/>
                <c:pt idx="0">
                  <c:v>225.46842604699981</c:v>
                </c:pt>
                <c:pt idx="1">
                  <c:v>285.08329851240001</c:v>
                </c:pt>
                <c:pt idx="2">
                  <c:v>293.33756376669999</c:v>
                </c:pt>
                <c:pt idx="3">
                  <c:v>300.92385160629999</c:v>
                </c:pt>
                <c:pt idx="4">
                  <c:v>315.19782025209997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65-4B7A-87D4-A2749516962D}"/>
            </c:ext>
          </c:extLst>
        </c:ser>
        <c:ser>
          <c:idx val="2"/>
          <c:order val="2"/>
          <c:tx>
            <c:strRef>
              <c:f>'Vergelijking per zichtjaar'!$D$74</c:f>
              <c:strCache>
                <c:ptCount val="1"/>
                <c:pt idx="0">
                  <c:v>Label_A+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zichtjaar'!$A$75:$A$79</c:f>
              <c:numCache>
                <c:formatCode>General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zichtjaar'!$D$75:$D$79</c:f>
              <c:numCache>
                <c:formatCode>0</c:formatCode>
                <c:ptCount val="5"/>
                <c:pt idx="0">
                  <c:v>225.46842604699981</c:v>
                </c:pt>
                <c:pt idx="1">
                  <c:v>351.45807096469997</c:v>
                </c:pt>
                <c:pt idx="2">
                  <c:v>391.86052994529996</c:v>
                </c:pt>
                <c:pt idx="3">
                  <c:v>427.26665044029994</c:v>
                </c:pt>
                <c:pt idx="4">
                  <c:v>463.56397080339997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265-4B7A-87D4-A2749516962D}"/>
            </c:ext>
          </c:extLst>
        </c:ser>
        <c:ser>
          <c:idx val="3"/>
          <c:order val="3"/>
          <c:tx>
            <c:strRef>
              <c:f>'Vergelijking per zichtjaar'!$E$74</c:f>
              <c:strCache>
                <c:ptCount val="1"/>
                <c:pt idx="0">
                  <c:v>Label_A+_eWP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zichtjaar'!$A$75:$A$79</c:f>
              <c:numCache>
                <c:formatCode>General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zichtjaar'!$E$75:$E$79</c:f>
              <c:numCache>
                <c:formatCode>0</c:formatCode>
                <c:ptCount val="5"/>
                <c:pt idx="0">
                  <c:v>225.46842604699981</c:v>
                </c:pt>
                <c:pt idx="1">
                  <c:v>420.83152673730001</c:v>
                </c:pt>
                <c:pt idx="2">
                  <c:v>412.76443494069997</c:v>
                </c:pt>
                <c:pt idx="3">
                  <c:v>405.79478254489993</c:v>
                </c:pt>
                <c:pt idx="4">
                  <c:v>402.11871375700002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265-4B7A-87D4-A2749516962D}"/>
            </c:ext>
          </c:extLst>
        </c:ser>
        <c:ser>
          <c:idx val="4"/>
          <c:order val="4"/>
          <c:tx>
            <c:strRef>
              <c:f>'Vergelijking per zichtjaar'!$F$74</c:f>
              <c:strCache>
                <c:ptCount val="1"/>
                <c:pt idx="0">
                  <c:v>Label_B_WP2euro/m3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zichtjaar'!$A$75:$A$79</c:f>
              <c:numCache>
                <c:formatCode>General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zichtjaar'!$F$75:$F$79</c:f>
              <c:numCache>
                <c:formatCode>0</c:formatCode>
                <c:ptCount val="5"/>
                <c:pt idx="0">
                  <c:v>225.46842604699981</c:v>
                </c:pt>
                <c:pt idx="1">
                  <c:v>386.47179046499599</c:v>
                </c:pt>
                <c:pt idx="2">
                  <c:v>395.13275858240399</c:v>
                </c:pt>
                <c:pt idx="3">
                  <c:v>401.75745736828299</c:v>
                </c:pt>
                <c:pt idx="4">
                  <c:v>409.25763227129329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265-4B7A-87D4-A27495169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6880"/>
        <c:axId val="135152768"/>
        <c:extLst/>
      </c:lineChart>
      <c:catAx>
        <c:axId val="13514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152768"/>
        <c:crosses val="autoZero"/>
        <c:auto val="1"/>
        <c:lblAlgn val="ctr"/>
        <c:lblOffset val="100"/>
        <c:noMultiLvlLbl val="0"/>
      </c:catAx>
      <c:valAx>
        <c:axId val="135152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Miljoen euro/jaar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35146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800"/>
      </a:pPr>
      <a:endParaRPr lang="nl-NL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ReadMe!$N$5</c:f>
          <c:strCache>
            <c:ptCount val="1"/>
            <c:pt idx="0">
              <c:v>Uitgaven, Set: Doorrekening Utrecht, Label Opleggen en Warmteprijs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'Vergelijking per zichtjaar'!$B$67</c:f>
              <c:strCache>
                <c:ptCount val="1"/>
                <c:pt idx="0">
                  <c:v>Referentie</c:v>
                </c:pt>
              </c:strCache>
            </c:strRef>
          </c:tx>
          <c:marker>
            <c:symbol val="none"/>
          </c:marker>
          <c:cat>
            <c:numRef>
              <c:f>'Vergelijking per zichtjaar'!$A$68:$A$70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zichtjaar'!$B$68:$B$70</c:f>
              <c:numCache>
                <c:formatCode>0</c:formatCode>
                <c:ptCount val="3"/>
                <c:pt idx="0">
                  <c:v>293.03742798099967</c:v>
                </c:pt>
                <c:pt idx="1">
                  <c:v>325.95216172054</c:v>
                </c:pt>
                <c:pt idx="2">
                  <c:v>349.58609100370006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BF-4988-B48B-ECE3B57D055F}"/>
            </c:ext>
          </c:extLst>
        </c:ser>
        <c:ser>
          <c:idx val="1"/>
          <c:order val="1"/>
          <c:tx>
            <c:strRef>
              <c:f>'Vergelijking per zichtjaar'!$C$67</c:f>
              <c:strCache>
                <c:ptCount val="1"/>
                <c:pt idx="0">
                  <c:v>Label_B</c:v>
                </c:pt>
              </c:strCache>
            </c:strRef>
          </c:tx>
          <c:marker>
            <c:symbol val="none"/>
          </c:marker>
          <c:cat>
            <c:numRef>
              <c:f>'Vergelijking per zichtjaar'!$A$68:$A$70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zichtjaar'!$C$68:$C$70</c:f>
              <c:numCache>
                <c:formatCode>0</c:formatCode>
                <c:ptCount val="3"/>
                <c:pt idx="0">
                  <c:v>293.03742798099967</c:v>
                </c:pt>
                <c:pt idx="1">
                  <c:v>389.1186806892</c:v>
                </c:pt>
                <c:pt idx="2">
                  <c:v>411.72670893609995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BF-4988-B48B-ECE3B57D055F}"/>
            </c:ext>
          </c:extLst>
        </c:ser>
        <c:ser>
          <c:idx val="2"/>
          <c:order val="2"/>
          <c:tx>
            <c:strRef>
              <c:f>'Vergelijking per zichtjaar'!$D$67</c:f>
              <c:strCache>
                <c:ptCount val="1"/>
                <c:pt idx="0">
                  <c:v>Label_A+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zichtjaar'!$A$68:$A$70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zichtjaar'!$D$68:$D$70</c:f>
              <c:numCache>
                <c:formatCode>0</c:formatCode>
                <c:ptCount val="3"/>
                <c:pt idx="0">
                  <c:v>293.03742798099967</c:v>
                </c:pt>
                <c:pt idx="1">
                  <c:v>486.86223748980001</c:v>
                </c:pt>
                <c:pt idx="2">
                  <c:v>516.06452552439987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ABF-4988-B48B-ECE3B57D055F}"/>
            </c:ext>
          </c:extLst>
        </c:ser>
        <c:ser>
          <c:idx val="3"/>
          <c:order val="3"/>
          <c:tx>
            <c:strRef>
              <c:f>'Vergelijking per zichtjaar'!$E$67</c:f>
              <c:strCache>
                <c:ptCount val="1"/>
                <c:pt idx="0">
                  <c:v>Label_A+_eWP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zichtjaar'!$A$68:$A$70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zichtjaar'!$E$68:$E$70</c:f>
              <c:numCache>
                <c:formatCode>0</c:formatCode>
                <c:ptCount val="3"/>
                <c:pt idx="0">
                  <c:v>293.03742798099967</c:v>
                </c:pt>
                <c:pt idx="1">
                  <c:v>523.08386583069989</c:v>
                </c:pt>
                <c:pt idx="2">
                  <c:v>503.4114641028001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ABF-4988-B48B-ECE3B57D055F}"/>
            </c:ext>
          </c:extLst>
        </c:ser>
        <c:ser>
          <c:idx val="4"/>
          <c:order val="4"/>
          <c:tx>
            <c:strRef>
              <c:f>'Vergelijking per zichtjaar'!$F$67</c:f>
              <c:strCache>
                <c:ptCount val="1"/>
                <c:pt idx="0">
                  <c:v>Label_B_WP2euro/m3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zichtjaar'!$A$68:$A$70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zichtjaar'!$F$68:$F$70</c:f>
              <c:numCache>
                <c:formatCode>0</c:formatCode>
                <c:ptCount val="3"/>
                <c:pt idx="0">
                  <c:v>293.03742798099967</c:v>
                </c:pt>
                <c:pt idx="1">
                  <c:v>677.406674798214</c:v>
                </c:pt>
                <c:pt idx="2">
                  <c:v>668.56788801473328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ABF-4988-B48B-ECE3B57D0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730304"/>
        <c:axId val="135731840"/>
        <c:extLst/>
      </c:lineChart>
      <c:catAx>
        <c:axId val="135730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731840"/>
        <c:crosses val="autoZero"/>
        <c:auto val="1"/>
        <c:lblAlgn val="ctr"/>
        <c:lblOffset val="100"/>
        <c:noMultiLvlLbl val="0"/>
      </c:catAx>
      <c:valAx>
        <c:axId val="135731840"/>
        <c:scaling>
          <c:orientation val="minMax"/>
        </c:scaling>
        <c:delete val="0"/>
        <c:axPos val="l"/>
        <c:majorGridlines/>
        <c:title>
          <c:tx>
            <c:strRef>
              <c:f>'Vergelijking per zichtjaar'!$B$65</c:f>
              <c:strCache>
                <c:ptCount val="1"/>
                <c:pt idx="0">
                  <c:v>Miljoen euro/jaar</c:v>
                </c:pt>
              </c:strCache>
            </c:strRef>
          </c:tx>
          <c:overlay val="0"/>
          <c:txPr>
            <a:bodyPr rot="0" vert="horz"/>
            <a:lstStyle/>
            <a:p>
              <a:pPr>
                <a:defRPr/>
              </a:pPr>
              <a:endParaRPr lang="nl-NL"/>
            </a:p>
          </c:txPr>
        </c:title>
        <c:numFmt formatCode="0" sourceLinked="1"/>
        <c:majorTickMark val="out"/>
        <c:minorTickMark val="none"/>
        <c:tickLblPos val="nextTo"/>
        <c:crossAx val="135730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 baseline="0"/>
      </a:pPr>
      <a:endParaRPr lang="nl-NL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ReadMe!$N$7</c:f>
          <c:strCache>
            <c:ptCount val="1"/>
            <c:pt idx="0">
              <c:v>Warmte- en elektriciteitsvraag, Set: Doorrekening Utrecht, Label Opleggen en Warmteprijs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'Vergelijking per zichtjaar'!$B$97</c:f>
              <c:strCache>
                <c:ptCount val="1"/>
                <c:pt idx="0">
                  <c:v>Referentie</c:v>
                </c:pt>
              </c:strCache>
            </c:strRef>
          </c:tx>
          <c:marker>
            <c:symbol val="none"/>
          </c:marker>
          <c:cat>
            <c:numRef>
              <c:f>'Vergelijking per zichtjaar'!$A$98:$A$100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zichtjaar'!$B$98:$B$100</c:f>
              <c:numCache>
                <c:formatCode>0</c:formatCode>
                <c:ptCount val="3"/>
                <c:pt idx="0">
                  <c:v>9.6084393950000013</c:v>
                </c:pt>
                <c:pt idx="1">
                  <c:v>9.6245747203200001</c:v>
                </c:pt>
                <c:pt idx="2">
                  <c:v>9.2493323855020009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C4-483C-8429-2A9626675A6A}"/>
            </c:ext>
          </c:extLst>
        </c:ser>
        <c:ser>
          <c:idx val="1"/>
          <c:order val="1"/>
          <c:tx>
            <c:strRef>
              <c:f>'Vergelijking per zichtjaar'!$C$97</c:f>
              <c:strCache>
                <c:ptCount val="1"/>
                <c:pt idx="0">
                  <c:v>Label_B</c:v>
                </c:pt>
              </c:strCache>
            </c:strRef>
          </c:tx>
          <c:marker>
            <c:symbol val="none"/>
          </c:marker>
          <c:cat>
            <c:numRef>
              <c:f>'Vergelijking per zichtjaar'!$A$98:$A$100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zichtjaar'!$C$98:$C$100</c:f>
              <c:numCache>
                <c:formatCode>0</c:formatCode>
                <c:ptCount val="3"/>
                <c:pt idx="0">
                  <c:v>9.6084393950000013</c:v>
                </c:pt>
                <c:pt idx="1">
                  <c:v>8.0982421942799991</c:v>
                </c:pt>
                <c:pt idx="2">
                  <c:v>7.8516439253129988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C4-483C-8429-2A9626675A6A}"/>
            </c:ext>
          </c:extLst>
        </c:ser>
        <c:ser>
          <c:idx val="2"/>
          <c:order val="2"/>
          <c:tx>
            <c:strRef>
              <c:f>'Vergelijking per zichtjaar'!$D$97</c:f>
              <c:strCache>
                <c:ptCount val="1"/>
                <c:pt idx="0">
                  <c:v>Label_A+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zichtjaar'!$A$98:$A$100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zichtjaar'!$D$98:$D$100</c:f>
              <c:numCache>
                <c:formatCode>0</c:formatCode>
                <c:ptCount val="3"/>
                <c:pt idx="0">
                  <c:v>9.6084393950000013</c:v>
                </c:pt>
                <c:pt idx="1">
                  <c:v>6.9338257277199995</c:v>
                </c:pt>
                <c:pt idx="2">
                  <c:v>6.7901844315139996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1C4-483C-8429-2A9626675A6A}"/>
            </c:ext>
          </c:extLst>
        </c:ser>
        <c:ser>
          <c:idx val="3"/>
          <c:order val="3"/>
          <c:tx>
            <c:strRef>
              <c:f>'Vergelijking per zichtjaar'!$E$97</c:f>
              <c:strCache>
                <c:ptCount val="1"/>
                <c:pt idx="0">
                  <c:v>Label_A+_eWP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zichtjaar'!$A$98:$A$100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zichtjaar'!$E$98:$E$100</c:f>
              <c:numCache>
                <c:formatCode>0</c:formatCode>
                <c:ptCount val="3"/>
                <c:pt idx="0">
                  <c:v>9.6084393950000013</c:v>
                </c:pt>
                <c:pt idx="1">
                  <c:v>5.6603560047000006</c:v>
                </c:pt>
                <c:pt idx="2">
                  <c:v>5.5040911553000003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1C4-483C-8429-2A9626675A6A}"/>
            </c:ext>
          </c:extLst>
        </c:ser>
        <c:ser>
          <c:idx val="4"/>
          <c:order val="4"/>
          <c:tx>
            <c:strRef>
              <c:f>'Vergelijking per zichtjaar'!$F$97</c:f>
              <c:strCache>
                <c:ptCount val="1"/>
                <c:pt idx="0">
                  <c:v>Label_B_WP2euro/m3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zichtjaar'!$A$98:$A$100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zichtjaar'!$F$98:$F$100</c:f>
              <c:numCache>
                <c:formatCode>0</c:formatCode>
                <c:ptCount val="3"/>
                <c:pt idx="0">
                  <c:v>9.6084393950000013</c:v>
                </c:pt>
                <c:pt idx="1">
                  <c:v>7.7939345913779992</c:v>
                </c:pt>
                <c:pt idx="2">
                  <c:v>7.5713210163180005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1C4-483C-8429-2A9626675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772800"/>
        <c:axId val="135774592"/>
        <c:extLst/>
      </c:lineChart>
      <c:catAx>
        <c:axId val="13577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774592"/>
        <c:crosses val="autoZero"/>
        <c:auto val="1"/>
        <c:lblAlgn val="ctr"/>
        <c:lblOffset val="100"/>
        <c:noMultiLvlLbl val="0"/>
      </c:catAx>
      <c:valAx>
        <c:axId val="135774592"/>
        <c:scaling>
          <c:orientation val="minMax"/>
          <c:min val="0"/>
        </c:scaling>
        <c:delete val="0"/>
        <c:axPos val="l"/>
        <c:majorGridlines/>
        <c:title>
          <c:tx>
            <c:strRef>
              <c:f>'Vergelijking per zichtjaar'!$B$95</c:f>
              <c:strCache>
                <c:ptCount val="1"/>
                <c:pt idx="0">
                  <c:v>PJ/jaar</c:v>
                </c:pt>
              </c:strCache>
            </c:strRef>
          </c:tx>
          <c:overlay val="0"/>
          <c:txPr>
            <a:bodyPr rot="0" vert="horz"/>
            <a:lstStyle/>
            <a:p>
              <a:pPr>
                <a:defRPr/>
              </a:pPr>
              <a:endParaRPr lang="nl-NL"/>
            </a:p>
          </c:txPr>
        </c:title>
        <c:numFmt formatCode="0" sourceLinked="1"/>
        <c:majorTickMark val="out"/>
        <c:minorTickMark val="none"/>
        <c:tickLblPos val="nextTo"/>
        <c:crossAx val="135772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 baseline="0"/>
      </a:pPr>
      <a:endParaRPr lang="nl-NL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ReadMe!$N$16</c:f>
          <c:strCache>
            <c:ptCount val="1"/>
            <c:pt idx="0">
              <c:v>CO2-emissie, Set: Doorrekening Utrecht, Label Opleggen en Warmteprijs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'Vergelijking per zichtjaar'!$B$118</c:f>
              <c:strCache>
                <c:ptCount val="1"/>
                <c:pt idx="0">
                  <c:v>Referentie</c:v>
                </c:pt>
              </c:strCache>
            </c:strRef>
          </c:tx>
          <c:marker>
            <c:symbol val="none"/>
          </c:marker>
          <c:cat>
            <c:numRef>
              <c:f>'Vergelijking per zichtjaar'!$A$119:$A$121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zichtjaar'!$B$119:$B$121</c:f>
              <c:numCache>
                <c:formatCode>0.0</c:formatCode>
                <c:ptCount val="3"/>
                <c:pt idx="0">
                  <c:v>0.59061059590000009</c:v>
                </c:pt>
                <c:pt idx="1">
                  <c:v>0.25790976163653284</c:v>
                </c:pt>
                <c:pt idx="2">
                  <c:v>0.20497389660596343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D-49E0-AA3F-E5C965D69B39}"/>
            </c:ext>
          </c:extLst>
        </c:ser>
        <c:ser>
          <c:idx val="1"/>
          <c:order val="1"/>
          <c:tx>
            <c:strRef>
              <c:f>'Vergelijking per zichtjaar'!$C$118</c:f>
              <c:strCache>
                <c:ptCount val="1"/>
                <c:pt idx="0">
                  <c:v>Label_B</c:v>
                </c:pt>
              </c:strCache>
            </c:strRef>
          </c:tx>
          <c:marker>
            <c:symbol val="none"/>
          </c:marker>
          <c:cat>
            <c:numRef>
              <c:f>'Vergelijking per zichtjaar'!$A$119:$A$121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'Vergelijking per zichtjaar'!$C$119:$C$121</c:f>
              <c:numCache>
                <c:formatCode>0.0</c:formatCode>
                <c:ptCount val="3"/>
                <c:pt idx="0">
                  <c:v>0.59061059590000009</c:v>
                </c:pt>
                <c:pt idx="1">
                  <c:v>0.21053563556653995</c:v>
                </c:pt>
                <c:pt idx="2">
                  <c:v>0.16843858521641719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0D-49E0-AA3F-E5C965D69B39}"/>
            </c:ext>
          </c:extLst>
        </c:ser>
        <c:ser>
          <c:idx val="2"/>
          <c:order val="2"/>
          <c:tx>
            <c:strRef>
              <c:f>'Vergelijking per zichtjaar'!$D$118</c:f>
              <c:strCache>
                <c:ptCount val="1"/>
                <c:pt idx="0">
                  <c:v>Label_A+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zichtjaar'!$A$119:$A$121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zichtjaar'!$D$119:$D$121</c:f>
              <c:numCache>
                <c:formatCode>0.0</c:formatCode>
                <c:ptCount val="3"/>
                <c:pt idx="0">
                  <c:v>0.59061059590000009</c:v>
                </c:pt>
                <c:pt idx="1">
                  <c:v>8.0609545778591127E-2</c:v>
                </c:pt>
                <c:pt idx="2">
                  <c:v>4.9541560401992063E-2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B0D-49E0-AA3F-E5C965D69B39}"/>
            </c:ext>
          </c:extLst>
        </c:ser>
        <c:ser>
          <c:idx val="3"/>
          <c:order val="3"/>
          <c:tx>
            <c:strRef>
              <c:f>'Vergelijking per zichtjaar'!$E$118</c:f>
              <c:strCache>
                <c:ptCount val="1"/>
                <c:pt idx="0">
                  <c:v>Label_A+_eWP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zichtjaar'!$A$119:$A$121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zichtjaar'!$E$119:$E$121</c:f>
              <c:numCache>
                <c:formatCode>0.0</c:formatCode>
                <c:ptCount val="3"/>
                <c:pt idx="0">
                  <c:v>0.59061059590000009</c:v>
                </c:pt>
                <c:pt idx="1">
                  <c:v>5.8501958253952269E-2</c:v>
                </c:pt>
                <c:pt idx="2">
                  <c:v>3.4305533345044256E-2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B0D-49E0-AA3F-E5C965D69B39}"/>
            </c:ext>
          </c:extLst>
        </c:ser>
        <c:ser>
          <c:idx val="4"/>
          <c:order val="4"/>
          <c:tx>
            <c:strRef>
              <c:f>'Vergelijking per zichtjaar'!$F$118</c:f>
              <c:strCache>
                <c:ptCount val="1"/>
                <c:pt idx="0">
                  <c:v>Label_B_WP2euro/m3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'Vergelijking per zichtjaar'!$A$119:$A$121</c:f>
              <c:numCache>
                <c:formatCode>General</c:formatCode>
                <c:ptCount val="3"/>
                <c:pt idx="0">
                  <c:v>2013</c:v>
                </c:pt>
                <c:pt idx="1">
                  <c:v>2030</c:v>
                </c:pt>
                <c:pt idx="2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'Vergelijking per zichtjaar'!$F$119:$F$121</c:f>
              <c:numCache>
                <c:formatCode>0.0</c:formatCode>
                <c:ptCount val="3"/>
                <c:pt idx="0">
                  <c:v>0.59061059590000009</c:v>
                </c:pt>
                <c:pt idx="1">
                  <c:v>5.596935657943243E-2</c:v>
                </c:pt>
                <c:pt idx="2">
                  <c:v>3.3202578913659048E-2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0D-49E0-AA3F-E5C965D69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776384"/>
        <c:axId val="139777920"/>
        <c:extLst/>
      </c:lineChart>
      <c:catAx>
        <c:axId val="139776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777920"/>
        <c:crosses val="autoZero"/>
        <c:auto val="1"/>
        <c:lblAlgn val="ctr"/>
        <c:lblOffset val="100"/>
        <c:noMultiLvlLbl val="0"/>
      </c:catAx>
      <c:valAx>
        <c:axId val="139777920"/>
        <c:scaling>
          <c:orientation val="minMax"/>
        </c:scaling>
        <c:delete val="0"/>
        <c:axPos val="l"/>
        <c:majorGridlines/>
        <c:title>
          <c:tx>
            <c:strRef>
              <c:f>'Vergelijking per zichtjaar'!$B$116</c:f>
              <c:strCache>
                <c:ptCount val="1"/>
                <c:pt idx="0">
                  <c:v>Mton/jaar</c:v>
                </c:pt>
              </c:strCache>
            </c:strRef>
          </c:tx>
          <c:overlay val="0"/>
          <c:txPr>
            <a:bodyPr rot="0" vert="horz"/>
            <a:lstStyle/>
            <a:p>
              <a:pPr>
                <a:defRPr/>
              </a:pPr>
              <a:endParaRPr lang="nl-NL"/>
            </a:p>
          </c:txPr>
        </c:title>
        <c:numFmt formatCode="0.0" sourceLinked="1"/>
        <c:majorTickMark val="out"/>
        <c:minorTickMark val="none"/>
        <c:tickLblPos val="nextTo"/>
        <c:crossAx val="139776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 baseline="0"/>
      </a:pPr>
      <a:endParaRPr lang="nl-NL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ReadMe!$N$17</c:f>
          <c:strCache>
            <c:ptCount val="1"/>
            <c:pt idx="0">
              <c:v>Uitgaven 2030, Set: Doorrekening Utrecht, Label Opleggen en Warmteprijs</c:v>
            </c:pt>
          </c:strCache>
        </c:strRef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'Vergelijking per zichtjaar'!$A$87</c:f>
              <c:strCache>
                <c:ptCount val="1"/>
                <c:pt idx="0">
                  <c:v>Winst/Verlies warmtebedrijven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'Vergelijking per zichtjaar'!$B$86:$G$86</c15:sqref>
                  </c15:fullRef>
                </c:ext>
              </c:extLst>
              <c:f>'Vergelijking per zichtjaar'!$B$86:$F$86</c:f>
              <c:strCache>
                <c:ptCount val="5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'Vergelijking per zichtjaar'!$B$87:$G$87</c15:sqref>
                  </c15:fullRef>
                </c:ext>
              </c:extLst>
              <c:f>'Vergelijking per zichtjaar'!$B$87:$F$87</c:f>
              <c:numCache>
                <c:formatCode>0</c:formatCode>
                <c:ptCount val="5"/>
                <c:pt idx="0">
                  <c:v>-1.86205252</c:v>
                </c:pt>
                <c:pt idx="1">
                  <c:v>1.4593459999999947E-2</c:v>
                </c:pt>
                <c:pt idx="2">
                  <c:v>-2.4296055300000003</c:v>
                </c:pt>
                <c:pt idx="3">
                  <c:v>-108.38104042000001</c:v>
                </c:pt>
                <c:pt idx="4">
                  <c:v>-3.5991502299999998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3-48FA-B5B4-806142AA946A}"/>
            </c:ext>
          </c:extLst>
        </c:ser>
        <c:ser>
          <c:idx val="1"/>
          <c:order val="1"/>
          <c:tx>
            <c:strRef>
              <c:f>'Vergelijking per zichtjaar'!$A$88</c:f>
              <c:strCache>
                <c:ptCount val="1"/>
                <c:pt idx="0">
                  <c:v>Nationale kosten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'Vergelijking per zichtjaar'!$B$86:$G$86</c15:sqref>
                  </c15:fullRef>
                </c:ext>
              </c:extLst>
              <c:f>'Vergelijking per zichtjaar'!$B$86:$F$86</c:f>
              <c:strCache>
                <c:ptCount val="5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'Vergelijking per zichtjaar'!$B$88:$G$88</c15:sqref>
                  </c15:fullRef>
                </c:ext>
              </c:extLst>
              <c:f>'Vergelijking per zichtjaar'!$B$88:$F$88</c:f>
              <c:numCache>
                <c:formatCode>0</c:formatCode>
                <c:ptCount val="5"/>
                <c:pt idx="0">
                  <c:v>225.46842604699981</c:v>
                </c:pt>
                <c:pt idx="1">
                  <c:v>301.77274709483999</c:v>
                </c:pt>
                <c:pt idx="2">
                  <c:v>583.58155049209995</c:v>
                </c:pt>
                <c:pt idx="3">
                  <c:v>1269.4709627033999</c:v>
                </c:pt>
                <c:pt idx="4">
                  <c:v>715.43900995700005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73-48FA-B5B4-806142AA946A}"/>
            </c:ext>
          </c:extLst>
        </c:ser>
        <c:ser>
          <c:idx val="2"/>
          <c:order val="2"/>
          <c:tx>
            <c:strRef>
              <c:f>'Vergelijking per zichtjaar'!$A$89</c:f>
              <c:strCache>
                <c:ptCount val="1"/>
                <c:pt idx="0">
                  <c:v>Overheid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'Vergelijking per zichtjaar'!$B$86:$G$86</c15:sqref>
                  </c15:fullRef>
                </c:ext>
              </c:extLst>
              <c:f>'Vergelijking per zichtjaar'!$B$86:$F$86</c:f>
              <c:strCache>
                <c:ptCount val="5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'Vergelijking per zichtjaar'!$B$89:$G$89</c15:sqref>
                  </c15:fullRef>
                </c:ext>
              </c:extLst>
              <c:f>'Vergelijking per zichtjaar'!$B$89:$F$89</c:f>
              <c:numCache>
                <c:formatCode>0</c:formatCode>
                <c:ptCount val="5"/>
                <c:pt idx="0">
                  <c:v>69.431054454000019</c:v>
                </c:pt>
                <c:pt idx="1">
                  <c:v>76.844606313000014</c:v>
                </c:pt>
                <c:pt idx="2">
                  <c:v>72.757179662999988</c:v>
                </c:pt>
                <c:pt idx="3">
                  <c:v>80.858967382000003</c:v>
                </c:pt>
                <c:pt idx="4">
                  <c:v>67.759224059000019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73-48FA-B5B4-806142AA946A}"/>
            </c:ext>
          </c:extLst>
        </c:ser>
        <c:ser>
          <c:idx val="3"/>
          <c:order val="3"/>
          <c:tx>
            <c:strRef>
              <c:f>'Vergelijking per zichtjaar'!$A$90</c:f>
              <c:strCache>
                <c:ptCount val="1"/>
                <c:pt idx="0">
                  <c:v>Risicopremie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'Vergelijking per zichtjaar'!$B$86:$G$86</c15:sqref>
                  </c15:fullRef>
                </c:ext>
              </c:extLst>
              <c:f>'Vergelijking per zichtjaar'!$B$86:$F$86</c:f>
              <c:strCache>
                <c:ptCount val="5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'Vergelijking per zichtjaar'!$B$90:$G$90</c15:sqref>
                  </c15:fullRef>
                </c:ext>
              </c:extLst>
              <c:f>'Vergelijking per zichtjaar'!$B$90:$F$90</c:f>
              <c:numCache>
                <c:formatCode>0</c:formatCode>
                <c:ptCount val="5"/>
                <c:pt idx="0">
                  <c:v>-1.1101365089999999E-13</c:v>
                </c:pt>
                <c:pt idx="1">
                  <c:v>4.2192892899999999</c:v>
                </c:pt>
                <c:pt idx="2">
                  <c:v>24.716511152999995</c:v>
                </c:pt>
                <c:pt idx="3">
                  <c:v>78.537824360999991</c:v>
                </c:pt>
                <c:pt idx="4">
                  <c:v>35.6478731188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73-48FA-B5B4-806142AA9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18112"/>
        <c:axId val="139819648"/>
      </c:barChart>
      <c:catAx>
        <c:axId val="139818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9819648"/>
        <c:crosses val="autoZero"/>
        <c:auto val="1"/>
        <c:lblAlgn val="ctr"/>
        <c:lblOffset val="100"/>
        <c:noMultiLvlLbl val="0"/>
      </c:catAx>
      <c:valAx>
        <c:axId val="139819648"/>
        <c:scaling>
          <c:orientation val="minMax"/>
        </c:scaling>
        <c:delete val="0"/>
        <c:axPos val="b"/>
        <c:majorGridlines/>
        <c:title>
          <c:tx>
            <c:strRef>
              <c:f>'Vergelijking per zichtjaar'!$B$84</c:f>
              <c:strCache>
                <c:ptCount val="1"/>
                <c:pt idx="0">
                  <c:v>Miljoen euro/jaar</c:v>
                </c:pt>
              </c:strCache>
            </c:strRef>
          </c:tx>
          <c:overlay val="0"/>
        </c:title>
        <c:numFmt formatCode="0" sourceLinked="1"/>
        <c:majorTickMark val="out"/>
        <c:minorTickMark val="none"/>
        <c:tickLblPos val="nextTo"/>
        <c:crossAx val="139818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/>
      </a:pPr>
      <a:endParaRPr lang="nl-NL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ReadMe!$N$18</c:f>
          <c:strCache>
            <c:ptCount val="1"/>
            <c:pt idx="0">
              <c:v>Warmte- en elektriciteitsvraag 2030, Set: Doorrekening Utrecht, Label Opleggen en Warmteprijs</c:v>
            </c:pt>
          </c:strCache>
        </c:strRef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'Vergelijking per zichtjaar'!$A$107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strRef>
              <c:f>'Vergelijking per zichtjaar'!$B$106:$G$106</c:f>
              <c:strCache>
                <c:ptCount val="6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  <c:pt idx="5">
                  <c:v>Label_B_WP2euro/m3</c:v>
                </c:pt>
              </c:strCache>
            </c:strRef>
          </c:cat>
          <c:val>
            <c:numRef>
              <c:f>'Vergelijking per zichtjaar'!$B$107:$G$107</c:f>
              <c:numCache>
                <c:formatCode>0.0</c:formatCode>
                <c:ptCount val="6"/>
                <c:pt idx="0">
                  <c:v>4.7156557600000006</c:v>
                </c:pt>
                <c:pt idx="1">
                  <c:v>3.4296914419019999</c:v>
                </c:pt>
                <c:pt idx="2">
                  <c:v>2.713456208213</c:v>
                </c:pt>
                <c:pt idx="3">
                  <c:v>0.37433734001400004</c:v>
                </c:pt>
                <c:pt idx="4">
                  <c:v>0</c:v>
                </c:pt>
                <c:pt idx="5">
                  <c:v>1.2061417865E-2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D-4CF3-ADF2-376AF76487E6}"/>
            </c:ext>
          </c:extLst>
        </c:ser>
        <c:ser>
          <c:idx val="1"/>
          <c:order val="1"/>
          <c:tx>
            <c:strRef>
              <c:f>'Vergelijking per zichtjaar'!$A$108</c:f>
              <c:strCache>
                <c:ptCount val="1"/>
                <c:pt idx="0">
                  <c:v>Elektriciteit</c:v>
                </c:pt>
              </c:strCache>
            </c:strRef>
          </c:tx>
          <c:invertIfNegative val="0"/>
          <c:cat>
            <c:strRef>
              <c:f>'Vergelijking per zichtjaar'!$B$106:$G$106</c:f>
              <c:strCache>
                <c:ptCount val="6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  <c:pt idx="5">
                  <c:v>Label_B_WP2euro/m3</c:v>
                </c:pt>
              </c:strCache>
            </c:strRef>
          </c:cat>
          <c:val>
            <c:numRef>
              <c:f>'Vergelijking per zichtjaar'!$B$108:$G$108</c:f>
              <c:numCache>
                <c:formatCode>0.0</c:formatCode>
                <c:ptCount val="6"/>
                <c:pt idx="0">
                  <c:v>2.7905743200000002</c:v>
                </c:pt>
                <c:pt idx="1">
                  <c:v>3.1307742063000004</c:v>
                </c:pt>
                <c:pt idx="2">
                  <c:v>3.1307618593999997</c:v>
                </c:pt>
                <c:pt idx="3">
                  <c:v>3.6918337123999998</c:v>
                </c:pt>
                <c:pt idx="4">
                  <c:v>3.4305533344000003</c:v>
                </c:pt>
                <c:pt idx="5">
                  <c:v>3.0640449293500001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9D-4CF3-ADF2-376AF76487E6}"/>
            </c:ext>
          </c:extLst>
        </c:ser>
        <c:ser>
          <c:idx val="2"/>
          <c:order val="2"/>
          <c:tx>
            <c:strRef>
              <c:f>'Vergelijking per zichtjaar'!$A$109</c:f>
              <c:strCache>
                <c:ptCount val="1"/>
                <c:pt idx="0">
                  <c:v>Warmtebedrijven</c:v>
                </c:pt>
              </c:strCache>
            </c:strRef>
          </c:tx>
          <c:invertIfNegative val="0"/>
          <c:cat>
            <c:strRef>
              <c:f>'Vergelijking per zichtjaar'!$B$106:$G$106</c:f>
              <c:strCache>
                <c:ptCount val="6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  <c:pt idx="5">
                  <c:v>Label_B_WP2euro/m3</c:v>
                </c:pt>
              </c:strCache>
            </c:strRef>
          </c:cat>
          <c:val>
            <c:numRef>
              <c:f>'Vergelijking per zichtjaar'!$B$109:$G$109</c:f>
              <c:numCache>
                <c:formatCode>0.0</c:formatCode>
                <c:ptCount val="6"/>
                <c:pt idx="0">
                  <c:v>2.1022093150000001</c:v>
                </c:pt>
                <c:pt idx="1">
                  <c:v>2.6888667373000001</c:v>
                </c:pt>
                <c:pt idx="2">
                  <c:v>2.0074258576999999</c:v>
                </c:pt>
                <c:pt idx="3">
                  <c:v>2.7240133790999992</c:v>
                </c:pt>
                <c:pt idx="4">
                  <c:v>2.0735378208999999</c:v>
                </c:pt>
                <c:pt idx="5">
                  <c:v>4.4952146691030004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9D-4CF3-ADF2-376AF76487E6}"/>
            </c:ext>
          </c:extLst>
        </c:ser>
        <c:ser>
          <c:idx val="3"/>
          <c:order val="3"/>
          <c:tx>
            <c:strRef>
              <c:f>'Vergelijking per zichtjaar'!$A$110</c:f>
              <c:strCache>
                <c:ptCount val="1"/>
                <c:pt idx="0">
                  <c:v>Zon-PV/Zonneboiler</c:v>
                </c:pt>
              </c:strCache>
            </c:strRef>
          </c:tx>
          <c:invertIfNegative val="0"/>
          <c:cat>
            <c:strRef>
              <c:f>'Vergelijking per zichtjaar'!$B$106:$G$106</c:f>
              <c:strCache>
                <c:ptCount val="6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  <c:pt idx="5">
                  <c:v>Label_B_WP2euro/m3</c:v>
                </c:pt>
              </c:strCache>
            </c:strRef>
          </c:cat>
          <c:val>
            <c:numRef>
              <c:f>'Vergelijking per zichtjaar'!$B$110:$G$110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9D-4CF3-ADF2-376AF76487E6}"/>
            </c:ext>
          </c:extLst>
        </c:ser>
        <c:ser>
          <c:idx val="4"/>
          <c:order val="4"/>
          <c:tx>
            <c:strRef>
              <c:f>'Vergelijking per zichtjaar'!$A$111</c:f>
              <c:strCache>
                <c:ptCount val="1"/>
                <c:pt idx="0">
                  <c:v>Bijstook</c:v>
                </c:pt>
              </c:strCache>
            </c:strRef>
          </c:tx>
          <c:invertIfNegative val="0"/>
          <c:cat>
            <c:strRef>
              <c:f>'Vergelijking per zichtjaar'!$B$106:$G$106</c:f>
              <c:strCache>
                <c:ptCount val="6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  <c:pt idx="5">
                  <c:v>Label_B_WP2euro/m3</c:v>
                </c:pt>
              </c:strCache>
            </c:strRef>
          </c:cat>
          <c:val>
            <c:numRef>
              <c:f>'Vergelijking per zichtjaar'!$B$111:$G$111</c:f>
              <c:numCache>
                <c:formatCode>0.0</c:formatCode>
                <c:ptCount val="6"/>
                <c:pt idx="0">
                  <c:v>0.56816467900000001</c:v>
                </c:pt>
                <c:pt idx="1">
                  <c:v>0.67090751599999998</c:v>
                </c:pt>
                <c:pt idx="2">
                  <c:v>0.48766335300000002</c:v>
                </c:pt>
                <c:pt idx="3">
                  <c:v>0.29100172499999999</c:v>
                </c:pt>
                <c:pt idx="4">
                  <c:v>0.56041562599999994</c:v>
                </c:pt>
                <c:pt idx="5">
                  <c:v>1.2144274310000001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9D-4CF3-ADF2-376AF7648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575680"/>
        <c:axId val="143581568"/>
      </c:barChart>
      <c:catAx>
        <c:axId val="1435756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43581568"/>
        <c:crosses val="autoZero"/>
        <c:auto val="1"/>
        <c:lblAlgn val="ctr"/>
        <c:lblOffset val="100"/>
        <c:noMultiLvlLbl val="0"/>
      </c:catAx>
      <c:valAx>
        <c:axId val="143581568"/>
        <c:scaling>
          <c:orientation val="minMax"/>
        </c:scaling>
        <c:delete val="0"/>
        <c:axPos val="b"/>
        <c:majorGridlines/>
        <c:title>
          <c:tx>
            <c:strRef>
              <c:f>'Vergelijking per zichtjaar'!$B$104</c:f>
              <c:strCache>
                <c:ptCount val="1"/>
                <c:pt idx="0">
                  <c:v>PJ/jaar</c:v>
                </c:pt>
              </c:strCache>
            </c:strRef>
          </c:tx>
          <c:overlay val="0"/>
        </c:title>
        <c:numFmt formatCode="0.0" sourceLinked="0"/>
        <c:majorTickMark val="out"/>
        <c:minorTickMark val="none"/>
        <c:tickLblPos val="nextTo"/>
        <c:crossAx val="143575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 baseline="0"/>
      </a:pPr>
      <a:endParaRPr lang="nl-NL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ReadMe!$N$19</c:f>
          <c:strCache>
            <c:ptCount val="1"/>
            <c:pt idx="0">
              <c:v>CO2-emissie 2030, Set: Doorrekening Utrecht, Label Opleggen en Warmteprijs</c:v>
            </c:pt>
          </c:strCache>
        </c:strRef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'Vergelijking per zichtjaar'!$A$128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strRef>
              <c:f>'Vergelijking per zichtjaar'!$B$127:$G$127</c:f>
              <c:strCache>
                <c:ptCount val="6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  <c:pt idx="5">
                  <c:v>Label_B_WP2euro/m3</c:v>
                </c:pt>
              </c:strCache>
            </c:strRef>
          </c:cat>
          <c:val>
            <c:numRef>
              <c:f>'Vergelijking per zichtjaar'!$B$128:$G$128</c:f>
              <c:numCache>
                <c:formatCode>0.0</c:formatCode>
                <c:ptCount val="6"/>
                <c:pt idx="0">
                  <c:v>0.23868816780000002</c:v>
                </c:pt>
                <c:pt idx="1">
                  <c:v>0.17359765175929998</c:v>
                </c:pt>
                <c:pt idx="2">
                  <c:v>0.1373446081811</c:v>
                </c:pt>
                <c:pt idx="3">
                  <c:v>1.89475013947E-2</c:v>
                </c:pt>
                <c:pt idx="4">
                  <c:v>0</c:v>
                </c:pt>
                <c:pt idx="5">
                  <c:v>6.1050209609999999E-4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7-4B84-9266-C10B132112C8}"/>
            </c:ext>
          </c:extLst>
        </c:ser>
        <c:ser>
          <c:idx val="1"/>
          <c:order val="1"/>
          <c:tx>
            <c:strRef>
              <c:f>'Vergelijking per zichtjaar'!$A$129</c:f>
              <c:strCache>
                <c:ptCount val="1"/>
                <c:pt idx="0">
                  <c:v>Elektriciteit</c:v>
                </c:pt>
              </c:strCache>
            </c:strRef>
          </c:tx>
          <c:invertIfNegative val="0"/>
          <c:cat>
            <c:strRef>
              <c:f>'Vergelijking per zichtjaar'!$B$127:$G$127</c:f>
              <c:strCache>
                <c:ptCount val="6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  <c:pt idx="5">
                  <c:v>Label_B_WP2euro/m3</c:v>
                </c:pt>
              </c:strCache>
            </c:strRef>
          </c:cat>
          <c:val>
            <c:numRef>
              <c:f>'Vergelijking per zichtjaar'!$B$129:$G$129</c:f>
              <c:numCache>
                <c:formatCode>0.0</c:formatCode>
                <c:ptCount val="6"/>
                <c:pt idx="0">
                  <c:v>0.35192242800000001</c:v>
                </c:pt>
                <c:pt idx="1">
                  <c:v>3.0488566064000001E-2</c:v>
                </c:pt>
                <c:pt idx="2">
                  <c:v>3.0503181564000004E-2</c:v>
                </c:pt>
                <c:pt idx="3">
                  <c:v>3.0041679984000001E-2</c:v>
                </c:pt>
                <c:pt idx="4">
                  <c:v>3.4305533344000008E-2</c:v>
                </c:pt>
                <c:pt idx="5">
                  <c:v>3.0633187964000004E-2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7-4B84-9266-C10B132112C8}"/>
            </c:ext>
          </c:extLst>
        </c:ser>
        <c:ser>
          <c:idx val="2"/>
          <c:order val="2"/>
          <c:tx>
            <c:strRef>
              <c:f>'Vergelijking per zichtjaar'!$A$130</c:f>
              <c:strCache>
                <c:ptCount val="1"/>
                <c:pt idx="0">
                  <c:v>Warmtebedrijven</c:v>
                </c:pt>
              </c:strCache>
            </c:strRef>
          </c:tx>
          <c:invertIfNegative val="0"/>
          <c:cat>
            <c:strRef>
              <c:f>'Vergelijking per zichtjaar'!$B$127:$G$127</c:f>
              <c:strCache>
                <c:ptCount val="6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  <c:pt idx="5">
                  <c:v>Label_B_WP2euro/m3</c:v>
                </c:pt>
              </c:strCache>
            </c:strRef>
          </c:cat>
          <c:val>
            <c:numRef>
              <c:f>'Vergelijking per zichtjaar'!$B$130:$G$130</c:f>
              <c:numCache>
                <c:formatCode>0.0</c:formatCode>
                <c:ptCount val="6"/>
                <c:pt idx="0">
                  <c:v>1.000000013351432E-10</c:v>
                </c:pt>
                <c:pt idx="1">
                  <c:v>1.1050858881900001E-2</c:v>
                </c:pt>
                <c:pt idx="2">
                  <c:v>7.354909804200005E-3</c:v>
                </c:pt>
                <c:pt idx="3">
                  <c:v>6.8766571364999984E-3</c:v>
                </c:pt>
                <c:pt idx="4">
                  <c:v>1.3000003851182385E-11</c:v>
                </c:pt>
                <c:pt idx="5">
                  <c:v>2.438652889849998E-2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7-4B84-9266-C10B132112C8}"/>
            </c:ext>
          </c:extLst>
        </c:ser>
        <c:ser>
          <c:idx val="3"/>
          <c:order val="3"/>
          <c:tx>
            <c:strRef>
              <c:f>'Vergelijking per zichtjaar'!$A$131</c:f>
              <c:strCache>
                <c:ptCount val="1"/>
                <c:pt idx="0">
                  <c:v>Zon-PV/Zonneboiler</c:v>
                </c:pt>
              </c:strCache>
            </c:strRef>
          </c:tx>
          <c:invertIfNegative val="0"/>
          <c:cat>
            <c:strRef>
              <c:f>'Vergelijking per zichtjaar'!$B$127:$G$127</c:f>
              <c:strCache>
                <c:ptCount val="6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  <c:pt idx="5">
                  <c:v>Label_B_WP2euro/m3</c:v>
                </c:pt>
              </c:strCache>
            </c:strRef>
          </c:cat>
          <c:val>
            <c:numRef>
              <c:f>'Vergelijking per zichtjaar'!$B$131:$G$131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7-4B84-9266-C10B132112C8}"/>
            </c:ext>
          </c:extLst>
        </c:ser>
        <c:ser>
          <c:idx val="4"/>
          <c:order val="4"/>
          <c:tx>
            <c:strRef>
              <c:f>'Vergelijking per zichtjaar'!$A$132</c:f>
              <c:strCache>
                <c:ptCount val="1"/>
                <c:pt idx="0">
                  <c:v>Bijstook</c:v>
                </c:pt>
              </c:strCache>
            </c:strRef>
          </c:tx>
          <c:invertIfNegative val="0"/>
          <c:cat>
            <c:strRef>
              <c:f>'Vergelijking per zichtjaar'!$B$127:$G$127</c:f>
              <c:strCache>
                <c:ptCount val="6"/>
                <c:pt idx="0">
                  <c:v>2013</c:v>
                </c:pt>
                <c:pt idx="1">
                  <c:v>Referentie</c:v>
                </c:pt>
                <c:pt idx="2">
                  <c:v>Label_B</c:v>
                </c:pt>
                <c:pt idx="3">
                  <c:v>Label_A+</c:v>
                </c:pt>
                <c:pt idx="4">
                  <c:v>Label_A+_eWP</c:v>
                </c:pt>
                <c:pt idx="5">
                  <c:v>Label_B_WP2euro/m3</c:v>
                </c:pt>
              </c:strCache>
            </c:strRef>
          </c:cat>
          <c:val>
            <c:numRef>
              <c:f>'Vergelijking per zichtjaar'!$B$132:$G$132</c:f>
              <c:numCache>
                <c:formatCode>0.0</c:formatCode>
                <c:ptCount val="6"/>
                <c:pt idx="0">
                  <c:v>2.8758288E-2</c:v>
                </c:pt>
                <c:pt idx="1">
                  <c:v>3.39587311E-2</c:v>
                </c:pt>
                <c:pt idx="2">
                  <c:v>2.4683623699999997E-2</c:v>
                </c:pt>
                <c:pt idx="3">
                  <c:v>1.4729376399999999E-2</c:v>
                </c:pt>
                <c:pt idx="4">
                  <c:v>2.8366061099999999E-2</c:v>
                </c:pt>
                <c:pt idx="5">
                  <c:v>6.1469597000000008E-2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7-4B84-9266-C10B13211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630720"/>
        <c:axId val="143632256"/>
      </c:barChart>
      <c:catAx>
        <c:axId val="1436307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43632256"/>
        <c:crosses val="autoZero"/>
        <c:auto val="1"/>
        <c:lblAlgn val="ctr"/>
        <c:lblOffset val="100"/>
        <c:noMultiLvlLbl val="0"/>
      </c:catAx>
      <c:valAx>
        <c:axId val="143632256"/>
        <c:scaling>
          <c:orientation val="minMax"/>
        </c:scaling>
        <c:delete val="0"/>
        <c:axPos val="b"/>
        <c:majorGridlines/>
        <c:title>
          <c:tx>
            <c:strRef>
              <c:f>'Vergelijking per zichtjaar'!$B$125</c:f>
              <c:strCache>
                <c:ptCount val="1"/>
                <c:pt idx="0">
                  <c:v>Mton/jaar</c:v>
                </c:pt>
              </c:strCache>
            </c:strRef>
          </c:tx>
          <c:overlay val="0"/>
        </c:title>
        <c:numFmt formatCode="0.0" sourceLinked="1"/>
        <c:majorTickMark val="out"/>
        <c:minorTickMark val="none"/>
        <c:tickLblPos val="nextTo"/>
        <c:crossAx val="143630720"/>
        <c:crosses val="autoZero"/>
        <c:crossBetween val="between"/>
      </c:valAx>
    </c:plotArea>
    <c:legend>
      <c:legendPos val="r"/>
      <c:legendEntry>
        <c:idx val="3"/>
        <c:delete val="1"/>
      </c:legendEntry>
      <c:overlay val="0"/>
    </c:legend>
    <c:plotVisOnly val="1"/>
    <c:dispBlanksAs val="gap"/>
    <c:showDLblsOverMax val="0"/>
  </c:chart>
  <c:txPr>
    <a:bodyPr/>
    <a:lstStyle/>
    <a:p>
      <a:pPr>
        <a:defRPr sz="2400" baseline="0"/>
      </a:pPr>
      <a:endParaRPr lang="nl-NL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ReadMe!$N$10</c:f>
          <c:strCache>
            <c:ptCount val="1"/>
            <c:pt idx="0">
              <c:v>Warmtevraag woningen, Set: Doorrekening Utrecht, Label Opleggen en Warmteprijs</c:v>
            </c:pt>
          </c:strCache>
        </c:strRef>
      </c:tx>
      <c:overlay val="0"/>
      <c:txPr>
        <a:bodyPr/>
        <a:lstStyle/>
        <a:p>
          <a:pPr>
            <a:defRPr/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Energy_Flow!$K$188</c:f>
              <c:strCache>
                <c:ptCount val="1"/>
                <c:pt idx="0">
                  <c:v>Referentie</c:v>
                </c:pt>
              </c:strCache>
            </c:strRef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Energy_Flow!$M$187:$Q$187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Energy_Flow!$M$188:$Q$188</c:f>
              <c:numCache>
                <c:formatCode>0.0</c:formatCode>
                <c:ptCount val="5"/>
                <c:pt idx="0">
                  <c:v>4.8114045599999997</c:v>
                </c:pt>
                <c:pt idx="1">
                  <c:v>4.7470383941699996</c:v>
                </c:pt>
                <c:pt idx="2">
                  <c:v>4.64421709324</c:v>
                </c:pt>
                <c:pt idx="3">
                  <c:v>4.5385101378500003</c:v>
                </c:pt>
                <c:pt idx="4">
                  <c:v>4.4356488382599997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26-4DFE-8E8E-83016B1AE7AF}"/>
            </c:ext>
          </c:extLst>
        </c:ser>
        <c:ser>
          <c:idx val="6"/>
          <c:order val="1"/>
          <c:tx>
            <c:strRef>
              <c:f>Energy_Flow!$K$189</c:f>
              <c:strCache>
                <c:ptCount val="1"/>
                <c:pt idx="0">
                  <c:v>Label_B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Energy_Flow!$M$187:$Q$187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Energy_Flow!$M$189:$Q$189</c:f>
              <c:numCache>
                <c:formatCode>0.0</c:formatCode>
                <c:ptCount val="5"/>
                <c:pt idx="0">
                  <c:v>4.8114045599999997</c:v>
                </c:pt>
                <c:pt idx="1">
                  <c:v>4.0766635045999999</c:v>
                </c:pt>
                <c:pt idx="2">
                  <c:v>3.9926759329000001</c:v>
                </c:pt>
                <c:pt idx="3">
                  <c:v>3.9088495510000003</c:v>
                </c:pt>
                <c:pt idx="4">
                  <c:v>3.8218138327500002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26-4DFE-8E8E-83016B1AE7AF}"/>
            </c:ext>
          </c:extLst>
        </c:ser>
        <c:ser>
          <c:idx val="7"/>
          <c:order val="2"/>
          <c:tx>
            <c:strRef>
              <c:f>Energy_Flow!$K$190</c:f>
              <c:strCache>
                <c:ptCount val="1"/>
                <c:pt idx="0">
                  <c:v>Label_A+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Energy_Flow!$M$187:$Q$187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Energy_Flow!$M$190:$Q$190</c:f>
              <c:numCache>
                <c:formatCode>0.0</c:formatCode>
                <c:ptCount val="5"/>
                <c:pt idx="0">
                  <c:v>4.8114045599999997</c:v>
                </c:pt>
                <c:pt idx="1">
                  <c:v>2.7201366015700001</c:v>
                </c:pt>
                <c:pt idx="2">
                  <c:v>2.6668921160400005</c:v>
                </c:pt>
                <c:pt idx="3">
                  <c:v>2.6084889357100001</c:v>
                </c:pt>
                <c:pt idx="4">
                  <c:v>2.55167245662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626-4DFE-8E8E-83016B1AE7AF}"/>
            </c:ext>
          </c:extLst>
        </c:ser>
        <c:ser>
          <c:idx val="8"/>
          <c:order val="3"/>
          <c:tx>
            <c:strRef>
              <c:f>Energy_Flow!$K$191</c:f>
              <c:strCache>
                <c:ptCount val="1"/>
                <c:pt idx="0">
                  <c:v>Label_A+_eWP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Energy_Flow!$M$187:$Q$187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Energy_Flow!$M$191:$Q$191</c:f>
              <c:numCache>
                <c:formatCode>0.0</c:formatCode>
                <c:ptCount val="5"/>
                <c:pt idx="0">
                  <c:v>4.8114045599999997</c:v>
                </c:pt>
                <c:pt idx="1">
                  <c:v>2.8371464540000004</c:v>
                </c:pt>
                <c:pt idx="2">
                  <c:v>2.7523410050000008</c:v>
                </c:pt>
                <c:pt idx="3">
                  <c:v>2.6856140680000009</c:v>
                </c:pt>
                <c:pt idx="4">
                  <c:v>2.6187643210000009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626-4DFE-8E8E-83016B1AE7AF}"/>
            </c:ext>
          </c:extLst>
        </c:ser>
        <c:ser>
          <c:idx val="9"/>
          <c:order val="4"/>
          <c:tx>
            <c:strRef>
              <c:f>Energy_Flow!$K$192</c:f>
              <c:strCache>
                <c:ptCount val="1"/>
                <c:pt idx="0">
                  <c:v>Label_B_WP2euro/m3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Energy_Flow!$M$187:$Q$187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Energy_Flow!$M$192:$Q$192</c:f>
              <c:numCache>
                <c:formatCode>0.0</c:formatCode>
                <c:ptCount val="5"/>
                <c:pt idx="0">
                  <c:v>4.8114045599999997</c:v>
                </c:pt>
                <c:pt idx="1">
                  <c:v>3.8469946036179996</c:v>
                </c:pt>
                <c:pt idx="2">
                  <c:v>3.7620244278369999</c:v>
                </c:pt>
                <c:pt idx="3">
                  <c:v>3.6772173852220003</c:v>
                </c:pt>
                <c:pt idx="4">
                  <c:v>3.5922471990289999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626-4DFE-8E8E-83016B1AE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42624"/>
        <c:axId val="144052608"/>
        <c:extLst/>
      </c:lineChart>
      <c:catAx>
        <c:axId val="14404262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144052608"/>
        <c:crosses val="autoZero"/>
        <c:auto val="1"/>
        <c:lblAlgn val="ctr"/>
        <c:lblOffset val="100"/>
        <c:noMultiLvlLbl val="0"/>
      </c:catAx>
      <c:valAx>
        <c:axId val="144052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PJ/jaar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4042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/>
      </a:pPr>
      <a:endParaRPr lang="nl-NL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ReadMe!$N$8</c:f>
          <c:strCache>
            <c:ptCount val="1"/>
            <c:pt idx="0">
              <c:v>Warmtevraag bestaande woningen, Set: Doorrekening Utrecht, Label Opleggen en Warmteprijs</c:v>
            </c:pt>
          </c:strCache>
        </c:strRef>
      </c:tx>
      <c:overlay val="0"/>
      <c:txPr>
        <a:bodyPr/>
        <a:lstStyle/>
        <a:p>
          <a:pPr>
            <a:defRPr/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Energy_Flow!$AA$192</c:f>
              <c:strCache>
                <c:ptCount val="1"/>
                <c:pt idx="0">
                  <c:v>Referentie</c:v>
                </c:pt>
              </c:strCache>
            </c:strRef>
          </c:tx>
          <c:marker>
            <c:symbol val="none"/>
          </c:marker>
          <c:cat>
            <c:numRef>
              <c:f>Energy_Flow!$AC$191:$AG$191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Energy_Flow!$AC$192:$AG$192</c:f>
              <c:numCache>
                <c:formatCode>0.0</c:formatCode>
                <c:ptCount val="5"/>
                <c:pt idx="0">
                  <c:v>4.8114045599999997</c:v>
                </c:pt>
                <c:pt idx="1">
                  <c:v>4.3707908099999999</c:v>
                </c:pt>
                <c:pt idx="2">
                  <c:v>4.2761931400000002</c:v>
                </c:pt>
                <c:pt idx="3">
                  <c:v>4.1787095799999996</c:v>
                </c:pt>
                <c:pt idx="4">
                  <c:v>4.0840970499999996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E-4B7D-9772-AD9FB9EEFC72}"/>
            </c:ext>
          </c:extLst>
        </c:ser>
        <c:ser>
          <c:idx val="1"/>
          <c:order val="1"/>
          <c:tx>
            <c:strRef>
              <c:f>Energy_Flow!$AA$193</c:f>
              <c:strCache>
                <c:ptCount val="1"/>
                <c:pt idx="0">
                  <c:v>Label_B</c:v>
                </c:pt>
              </c:strCache>
            </c:strRef>
          </c:tx>
          <c:marker>
            <c:symbol val="none"/>
          </c:marker>
          <c:cat>
            <c:numRef>
              <c:f>Energy_Flow!$AC$191:$AG$191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Energy_Flow!$AC$193:$AG$193</c:f>
              <c:numCache>
                <c:formatCode>0.0</c:formatCode>
                <c:ptCount val="5"/>
                <c:pt idx="0">
                  <c:v>4.8114045599999997</c:v>
                </c:pt>
                <c:pt idx="1">
                  <c:v>3.70027967</c:v>
                </c:pt>
                <c:pt idx="2">
                  <c:v>3.6245151699999996</c:v>
                </c:pt>
                <c:pt idx="3">
                  <c:v>3.5488973399999999</c:v>
                </c:pt>
                <c:pt idx="4">
                  <c:v>3.4701241200000004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CE-4B7D-9772-AD9FB9EEFC72}"/>
            </c:ext>
          </c:extLst>
        </c:ser>
        <c:ser>
          <c:idx val="2"/>
          <c:order val="2"/>
          <c:tx>
            <c:strRef>
              <c:f>Energy_Flow!$AA$194</c:f>
              <c:strCache>
                <c:ptCount val="1"/>
                <c:pt idx="0">
                  <c:v>Label_A+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Energy_Flow!$AC$191:$AG$191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Energy_Flow!$AC$194:$AG$194</c:f>
              <c:numCache>
                <c:formatCode>0.0</c:formatCode>
                <c:ptCount val="5"/>
                <c:pt idx="0">
                  <c:v>4.8114045599999997</c:v>
                </c:pt>
                <c:pt idx="1">
                  <c:v>2.3440851609999998</c:v>
                </c:pt>
                <c:pt idx="2">
                  <c:v>2.2990769270000002</c:v>
                </c:pt>
                <c:pt idx="3">
                  <c:v>2.2488980079999998</c:v>
                </c:pt>
                <c:pt idx="4">
                  <c:v>2.2003311669999999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3CE-4B7D-9772-AD9FB9EEFC72}"/>
            </c:ext>
          </c:extLst>
        </c:ser>
        <c:ser>
          <c:idx val="3"/>
          <c:order val="3"/>
          <c:tx>
            <c:strRef>
              <c:f>Energy_Flow!$AA$195</c:f>
              <c:strCache>
                <c:ptCount val="1"/>
                <c:pt idx="0">
                  <c:v>Label_A+_eWP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Energy_Flow!$AC$191:$AG$191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Energy_Flow!$AC$195:$AG$195</c:f>
              <c:numCache>
                <c:formatCode>0.0</c:formatCode>
                <c:ptCount val="5"/>
                <c:pt idx="0">
                  <c:v>4.8114045599999997</c:v>
                </c:pt>
                <c:pt idx="1">
                  <c:v>2.49472351</c:v>
                </c:pt>
                <c:pt idx="2">
                  <c:v>2.4181449800000001</c:v>
                </c:pt>
                <c:pt idx="3">
                  <c:v>2.3596304300000002</c:v>
                </c:pt>
                <c:pt idx="4">
                  <c:v>2.3010076000000002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3CE-4B7D-9772-AD9FB9EEFC72}"/>
            </c:ext>
          </c:extLst>
        </c:ser>
        <c:ser>
          <c:idx val="4"/>
          <c:order val="4"/>
          <c:tx>
            <c:strRef>
              <c:f>Energy_Flow!$AA$196</c:f>
              <c:strCache>
                <c:ptCount val="1"/>
                <c:pt idx="0">
                  <c:v>Label_B_WP2euro/m3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Energy_Flow!$AC$191:$AG$191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Energy_Flow!$AC$196:$AG$196</c:f>
              <c:numCache>
                <c:formatCode>0.0</c:formatCode>
                <c:ptCount val="5"/>
                <c:pt idx="0">
                  <c:v>4.8114045599999997</c:v>
                </c:pt>
                <c:pt idx="1">
                  <c:v>3.4715622269999997</c:v>
                </c:pt>
                <c:pt idx="2">
                  <c:v>3.3948188766999996</c:v>
                </c:pt>
                <c:pt idx="3">
                  <c:v>3.3182241313000005</c:v>
                </c:pt>
                <c:pt idx="4">
                  <c:v>3.241480771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3CE-4B7D-9772-AD9FB9EEF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73792"/>
        <c:axId val="144275328"/>
        <c:extLst/>
      </c:lineChart>
      <c:catAx>
        <c:axId val="144273792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144275328"/>
        <c:crosses val="autoZero"/>
        <c:auto val="1"/>
        <c:lblAlgn val="ctr"/>
        <c:lblOffset val="100"/>
        <c:noMultiLvlLbl val="0"/>
      </c:catAx>
      <c:valAx>
        <c:axId val="144275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PJ/jaar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427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/>
      </a:pPr>
      <a:endParaRPr lang="nl-NL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ReadMe!$N$11</c:f>
          <c:strCache>
            <c:ptCount val="1"/>
            <c:pt idx="0">
              <c:v>Gasverbruik woningen, Set: Doorrekening Utrecht, Label Opleggen en Warmteprijs</c:v>
            </c:pt>
          </c:strCache>
        </c:strRef>
      </c:tx>
      <c:overlay val="0"/>
      <c:txPr>
        <a:bodyPr/>
        <a:lstStyle/>
        <a:p>
          <a:pPr>
            <a:defRPr/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Energy_Flow!$B$188</c:f>
              <c:strCache>
                <c:ptCount val="1"/>
                <c:pt idx="0">
                  <c:v>Referentie</c:v>
                </c:pt>
              </c:strCache>
            </c:strRef>
          </c:tx>
          <c:marker>
            <c:symbol val="none"/>
          </c:marker>
          <c:cat>
            <c:numRef>
              <c:f>Energy_Flow!$D$187:$H$187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Energy_Flow!$D$188:$H$188</c:f>
              <c:numCache>
                <c:formatCode>0.0</c:formatCode>
                <c:ptCount val="5"/>
                <c:pt idx="0">
                  <c:v>3.5135086100000001</c:v>
                </c:pt>
                <c:pt idx="1">
                  <c:v>3.1226826011699997</c:v>
                </c:pt>
                <c:pt idx="2">
                  <c:v>3.0565685252399999</c:v>
                </c:pt>
                <c:pt idx="3">
                  <c:v>2.95399623485</c:v>
                </c:pt>
                <c:pt idx="4">
                  <c:v>2.88842571126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0-4F2C-9AF1-B4CB1A747BD3}"/>
            </c:ext>
          </c:extLst>
        </c:ser>
        <c:ser>
          <c:idx val="1"/>
          <c:order val="1"/>
          <c:tx>
            <c:strRef>
              <c:f>Energy_Flow!$B$189</c:f>
              <c:strCache>
                <c:ptCount val="1"/>
                <c:pt idx="0">
                  <c:v>Label_B</c:v>
                </c:pt>
              </c:strCache>
            </c:strRef>
          </c:tx>
          <c:marker>
            <c:symbol val="none"/>
          </c:marker>
          <c:cat>
            <c:numRef>
              <c:f>Energy_Flow!$D$187:$H$187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Energy_Flow!$D$189:$H$189</c:f>
              <c:numCache>
                <c:formatCode>0.0</c:formatCode>
                <c:ptCount val="5"/>
                <c:pt idx="0">
                  <c:v>3.5135086100000001</c:v>
                </c:pt>
                <c:pt idx="1">
                  <c:v>2.6145637846000001</c:v>
                </c:pt>
                <c:pt idx="2">
                  <c:v>2.5627335719</c:v>
                </c:pt>
                <c:pt idx="3">
                  <c:v>2.5110071610000002</c:v>
                </c:pt>
                <c:pt idx="4">
                  <c:v>2.4256582177500001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E0-4F2C-9AF1-B4CB1A747BD3}"/>
            </c:ext>
          </c:extLst>
        </c:ser>
        <c:ser>
          <c:idx val="2"/>
          <c:order val="2"/>
          <c:tx>
            <c:strRef>
              <c:f>Energy_Flow!$B$190</c:f>
              <c:strCache>
                <c:ptCount val="1"/>
                <c:pt idx="0">
                  <c:v>Label_A+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Energy_Flow!$D$187:$H$187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Energy_Flow!$D$190:$H$190</c:f>
              <c:numCache>
                <c:formatCode>0.0</c:formatCode>
                <c:ptCount val="5"/>
                <c:pt idx="0">
                  <c:v>3.5135086100000001</c:v>
                </c:pt>
                <c:pt idx="1">
                  <c:v>0.44345248557</c:v>
                </c:pt>
                <c:pt idx="2">
                  <c:v>0.42430638304000001</c:v>
                </c:pt>
                <c:pt idx="3">
                  <c:v>0.36747252971</c:v>
                </c:pt>
                <c:pt idx="4">
                  <c:v>0.32412371662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FE0-4F2C-9AF1-B4CB1A747BD3}"/>
            </c:ext>
          </c:extLst>
        </c:ser>
        <c:ser>
          <c:idx val="3"/>
          <c:order val="3"/>
          <c:tx>
            <c:strRef>
              <c:f>Energy_Flow!$B$191</c:f>
              <c:strCache>
                <c:ptCount val="1"/>
                <c:pt idx="0">
                  <c:v>Label_A+_eWP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Energy_Flow!$D$187:$H$187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Energy_Flow!$D$191:$H$191</c:f>
              <c:numCache>
                <c:formatCode>0.0</c:formatCode>
                <c:ptCount val="5"/>
                <c:pt idx="0">
                  <c:v>3.5135086100000001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FE0-4F2C-9AF1-B4CB1A747BD3}"/>
            </c:ext>
          </c:extLst>
        </c:ser>
        <c:ser>
          <c:idx val="4"/>
          <c:order val="4"/>
          <c:tx>
            <c:strRef>
              <c:f>Energy_Flow!$B$192</c:f>
              <c:strCache>
                <c:ptCount val="1"/>
                <c:pt idx="0">
                  <c:v>Label_B_WP2euro/m3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Energy_Flow!$D$187:$H$187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Energy_Flow!$D$192:$H$192</c:f>
              <c:numCache>
                <c:formatCode>0.0</c:formatCode>
                <c:ptCount val="5"/>
                <c:pt idx="0">
                  <c:v>3.5135086100000001</c:v>
                </c:pt>
                <c:pt idx="1">
                  <c:v>1.1647902567999999E-2</c:v>
                </c:pt>
                <c:pt idx="2">
                  <c:v>1.1404959806999999E-2</c:v>
                </c:pt>
                <c:pt idx="3">
                  <c:v>1.1162999497E-2</c:v>
                </c:pt>
                <c:pt idx="4">
                  <c:v>1.0920056714999999E-2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FE0-4F2C-9AF1-B4CB1A747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582528"/>
        <c:axId val="144584064"/>
        <c:extLst/>
      </c:lineChart>
      <c:catAx>
        <c:axId val="14458252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144584064"/>
        <c:crosses val="autoZero"/>
        <c:auto val="1"/>
        <c:lblAlgn val="ctr"/>
        <c:lblOffset val="100"/>
        <c:noMultiLvlLbl val="0"/>
      </c:catAx>
      <c:valAx>
        <c:axId val="144584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PJ/jaar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4582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/>
      </a:pPr>
      <a:endParaRPr lang="nl-NL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ReadMe!$N$12</c:f>
          <c:strCache>
            <c:ptCount val="1"/>
            <c:pt idx="0">
              <c:v>Levering warmtenetten woningen, Set: Doorrekening Utrecht, Label Opleggen en Warmteprijs</c:v>
            </c:pt>
          </c:strCache>
        </c:strRef>
      </c:tx>
      <c:overlay val="0"/>
      <c:txPr>
        <a:bodyPr/>
        <a:lstStyle/>
        <a:p>
          <a:pPr>
            <a:defRPr/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Energy_Flow!$B$193</c:f>
              <c:strCache>
                <c:ptCount val="1"/>
                <c:pt idx="0">
                  <c:v>Referentie</c:v>
                </c:pt>
              </c:strCache>
            </c:strRef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Energy_Flow!$D$187:$H$187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Energy_Flow!$D$193:$H$193</c:f>
              <c:numCache>
                <c:formatCode>0.0</c:formatCode>
                <c:ptCount val="5"/>
                <c:pt idx="0">
                  <c:v>1.29789595</c:v>
                </c:pt>
                <c:pt idx="1">
                  <c:v>1.6243557930000001</c:v>
                </c:pt>
                <c:pt idx="2">
                  <c:v>1.5876485680000001</c:v>
                </c:pt>
                <c:pt idx="3">
                  <c:v>1.5845139029999999</c:v>
                </c:pt>
                <c:pt idx="4">
                  <c:v>1.5472231269999999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7-4361-BF18-423BE6D03B5A}"/>
            </c:ext>
          </c:extLst>
        </c:ser>
        <c:ser>
          <c:idx val="6"/>
          <c:order val="1"/>
          <c:tx>
            <c:strRef>
              <c:f>Energy_Flow!$B$194</c:f>
              <c:strCache>
                <c:ptCount val="1"/>
                <c:pt idx="0">
                  <c:v>Label_B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Energy_Flow!$D$187:$H$187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Energy_Flow!$D$194:$H$194</c:f>
              <c:numCache>
                <c:formatCode>0.0</c:formatCode>
                <c:ptCount val="5"/>
                <c:pt idx="0">
                  <c:v>1.29789595</c:v>
                </c:pt>
                <c:pt idx="1">
                  <c:v>1.4620997199999999</c:v>
                </c:pt>
                <c:pt idx="2">
                  <c:v>1.4299423609999999</c:v>
                </c:pt>
                <c:pt idx="3">
                  <c:v>1.3978423899999999</c:v>
                </c:pt>
                <c:pt idx="4">
                  <c:v>1.3961556150000001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A7-4361-BF18-423BE6D03B5A}"/>
            </c:ext>
          </c:extLst>
        </c:ser>
        <c:ser>
          <c:idx val="7"/>
          <c:order val="2"/>
          <c:tx>
            <c:strRef>
              <c:f>Energy_Flow!$B$195</c:f>
              <c:strCache>
                <c:ptCount val="1"/>
                <c:pt idx="0">
                  <c:v>Label_A+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Energy_Flow!$D$187:$H$187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Energy_Flow!$D$195:$H$195</c:f>
              <c:numCache>
                <c:formatCode>0.0</c:formatCode>
                <c:ptCount val="5"/>
                <c:pt idx="0">
                  <c:v>1.29789595</c:v>
                </c:pt>
                <c:pt idx="1">
                  <c:v>2.2766841160000002</c:v>
                </c:pt>
                <c:pt idx="2">
                  <c:v>2.2425857330000003</c:v>
                </c:pt>
                <c:pt idx="3">
                  <c:v>2.241016406</c:v>
                </c:pt>
                <c:pt idx="4">
                  <c:v>2.22754874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A7-4361-BF18-423BE6D03B5A}"/>
            </c:ext>
          </c:extLst>
        </c:ser>
        <c:ser>
          <c:idx val="8"/>
          <c:order val="3"/>
          <c:tx>
            <c:strRef>
              <c:f>Energy_Flow!$B$196</c:f>
              <c:strCache>
                <c:ptCount val="1"/>
                <c:pt idx="0">
                  <c:v>Label_A+_eWP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Energy_Flow!$D$187:$H$187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Energy_Flow!$D$196:$H$196</c:f>
              <c:numCache>
                <c:formatCode>0.0</c:formatCode>
                <c:ptCount val="5"/>
                <c:pt idx="0">
                  <c:v>1.29789595</c:v>
                </c:pt>
                <c:pt idx="1">
                  <c:v>1.4748623940000001</c:v>
                </c:pt>
                <c:pt idx="2">
                  <c:v>1.423879973</c:v>
                </c:pt>
                <c:pt idx="3">
                  <c:v>1.39090918</c:v>
                </c:pt>
                <c:pt idx="4">
                  <c:v>1.3578824570000001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A7-4361-BF18-423BE6D03B5A}"/>
            </c:ext>
          </c:extLst>
        </c:ser>
        <c:ser>
          <c:idx val="9"/>
          <c:order val="4"/>
          <c:tx>
            <c:strRef>
              <c:f>Energy_Flow!$B$197</c:f>
              <c:strCache>
                <c:ptCount val="1"/>
                <c:pt idx="0">
                  <c:v>Label_B_WP2euro/m3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Energy_Flow!$D$187:$H$187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Energy_Flow!$D$197:$H$197</c:f>
              <c:numCache>
                <c:formatCode>0.0</c:formatCode>
                <c:ptCount val="5"/>
                <c:pt idx="0">
                  <c:v>1.29789595</c:v>
                </c:pt>
                <c:pt idx="1">
                  <c:v>3.8353467010499998</c:v>
                </c:pt>
                <c:pt idx="2">
                  <c:v>3.75061946803</c:v>
                </c:pt>
                <c:pt idx="3">
                  <c:v>3.6660543857250003</c:v>
                </c:pt>
                <c:pt idx="4">
                  <c:v>3.5813271423140001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A7-4361-BF18-423BE6D03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747904"/>
        <c:axId val="144753792"/>
        <c:extLst/>
      </c:lineChart>
      <c:catAx>
        <c:axId val="14474790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144753792"/>
        <c:crosses val="autoZero"/>
        <c:auto val="1"/>
        <c:lblAlgn val="ctr"/>
        <c:lblOffset val="100"/>
        <c:noMultiLvlLbl val="0"/>
      </c:catAx>
      <c:valAx>
        <c:axId val="144753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PJ/jaar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47479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2000"/>
          </a:pPr>
          <a:endParaRPr lang="nl-NL"/>
        </a:p>
      </c:txPr>
    </c:legend>
    <c:plotVisOnly val="1"/>
    <c:dispBlanksAs val="gap"/>
    <c:showDLblsOverMax val="0"/>
  </c:chart>
  <c:txPr>
    <a:bodyPr/>
    <a:lstStyle/>
    <a:p>
      <a:pPr>
        <a:defRPr sz="2400"/>
      </a:pPr>
      <a:endParaRPr lang="nl-NL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ReadMe!$N$9</c:f>
          <c:strCache>
            <c:ptCount val="1"/>
            <c:pt idx="0">
              <c:v>Warmtevraag woning (bestaand &amp; nieuwbouw), Set: Doorrekening Utrecht, Label Opleggen en Warmteprijs, Variant:Label_B_WP2euro/m3</c:v>
            </c:pt>
          </c:strCache>
        </c:strRef>
      </c:tx>
      <c:overlay val="0"/>
      <c:txPr>
        <a:bodyPr/>
        <a:lstStyle/>
        <a:p>
          <a:pPr>
            <a:defRPr/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Energy_Flow!$S$171</c:f>
              <c:strCache>
                <c:ptCount val="1"/>
                <c:pt idx="0">
                  <c:v>Bestaand + Nieuwbouw</c:v>
                </c:pt>
              </c:strCache>
            </c:strRef>
          </c:tx>
          <c:marker>
            <c:symbol val="none"/>
          </c:marker>
          <c:cat>
            <c:numRef>
              <c:f>Energy_Flow!$U$170:$Y$170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Energy_Flow!$U$171:$Y$171</c:f>
              <c:numCache>
                <c:formatCode>0.0</c:formatCode>
                <c:ptCount val="5"/>
                <c:pt idx="0">
                  <c:v>4.8114045599999997</c:v>
                </c:pt>
                <c:pt idx="1">
                  <c:v>3.8469946036179996</c:v>
                </c:pt>
                <c:pt idx="2">
                  <c:v>3.7620244278369999</c:v>
                </c:pt>
                <c:pt idx="3">
                  <c:v>3.6772173852220003</c:v>
                </c:pt>
                <c:pt idx="4">
                  <c:v>3.5922471990289999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00-4B12-AFAC-AE8897BFA393}"/>
            </c:ext>
          </c:extLst>
        </c:ser>
        <c:ser>
          <c:idx val="1"/>
          <c:order val="1"/>
          <c:tx>
            <c:strRef>
              <c:f>Energy_Flow!$S$172</c:f>
              <c:strCache>
                <c:ptCount val="1"/>
                <c:pt idx="0">
                  <c:v>Bestaand</c:v>
                </c:pt>
              </c:strCache>
            </c:strRef>
          </c:tx>
          <c:marker>
            <c:symbol val="none"/>
          </c:marker>
          <c:cat>
            <c:numRef>
              <c:f>Energy_Flow!$U$170:$Y$170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Energy_Flow!$U$172:$Y$172</c:f>
              <c:numCache>
                <c:formatCode>0.0</c:formatCode>
                <c:ptCount val="5"/>
                <c:pt idx="0">
                  <c:v>4.8114045599999997</c:v>
                </c:pt>
                <c:pt idx="1">
                  <c:v>3.4715622269999997</c:v>
                </c:pt>
                <c:pt idx="2">
                  <c:v>3.3948188766999996</c:v>
                </c:pt>
                <c:pt idx="3">
                  <c:v>3.3182241313000005</c:v>
                </c:pt>
                <c:pt idx="4">
                  <c:v>3.241480771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00-4B12-AFAC-AE8897BFA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800384"/>
        <c:axId val="144802176"/>
      </c:lineChart>
      <c:catAx>
        <c:axId val="14480038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144802176"/>
        <c:crosses val="autoZero"/>
        <c:auto val="1"/>
        <c:lblAlgn val="ctr"/>
        <c:lblOffset val="100"/>
        <c:noMultiLvlLbl val="0"/>
      </c:catAx>
      <c:valAx>
        <c:axId val="144802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PJ/jaar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4800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2400"/>
      </a:pPr>
      <a:endParaRPr lang="nl-NL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ReadMe!$N$13</c:f>
          <c:strCache>
            <c:ptCount val="1"/>
            <c:pt idx="0">
              <c:v>Inzet warmtebronnen voor warmtelevering woning, Set:Doorrekening Utrecht, Label Opleggen en Warmteprijs, Variant: Label_B_WP2euro/m3</c:v>
            </c:pt>
          </c:strCache>
        </c:strRef>
      </c:tx>
      <c:overlay val="0"/>
      <c:txPr>
        <a:bodyPr/>
        <a:lstStyle/>
        <a:p>
          <a:pPr>
            <a:defRPr/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Energy_Flow!$S$162</c:f>
              <c:strCache>
                <c:ptCount val="1"/>
                <c:pt idx="0">
                  <c:v>BioWKK</c:v>
                </c:pt>
              </c:strCache>
            </c:strRef>
          </c:tx>
          <c:marker>
            <c:symbol val="none"/>
          </c:marker>
          <c:cat>
            <c:numRef>
              <c:f>Energy_Flow!$U$161:$Y$161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Energy_Flow!$U$162:$Y$162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76-4AC1-A795-6A879AD9A51F}"/>
            </c:ext>
          </c:extLst>
        </c:ser>
        <c:ser>
          <c:idx val="1"/>
          <c:order val="1"/>
          <c:tx>
            <c:strRef>
              <c:f>Energy_Flow!$S$163</c:f>
              <c:strCache>
                <c:ptCount val="1"/>
                <c:pt idx="0">
                  <c:v>GeoThermie</c:v>
                </c:pt>
              </c:strCache>
            </c:strRef>
          </c:tx>
          <c:marker>
            <c:symbol val="none"/>
          </c:marker>
          <c:cat>
            <c:numRef>
              <c:f>Energy_Flow!$U$161:$Y$161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Energy_Flow!$U$163:$Y$163</c:f>
              <c:numCache>
                <c:formatCode>0.0</c:formatCode>
                <c:ptCount val="5"/>
                <c:pt idx="0">
                  <c:v>0</c:v>
                </c:pt>
                <c:pt idx="1">
                  <c:v>1.2882334539</c:v>
                </c:pt>
                <c:pt idx="2">
                  <c:v>1.2598225489999999</c:v>
                </c:pt>
                <c:pt idx="3">
                  <c:v>1.2314578430000001</c:v>
                </c:pt>
                <c:pt idx="4">
                  <c:v>1.2030469405999999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76-4AC1-A795-6A879AD9A51F}"/>
            </c:ext>
          </c:extLst>
        </c:ser>
        <c:ser>
          <c:idx val="2"/>
          <c:order val="2"/>
          <c:tx>
            <c:strRef>
              <c:f>Energy_Flow!$S$164</c:f>
              <c:strCache>
                <c:ptCount val="1"/>
                <c:pt idx="0">
                  <c:v>RestWarmte</c:v>
                </c:pt>
              </c:strCache>
            </c:strRef>
          </c:tx>
          <c:marker>
            <c:symbol val="none"/>
          </c:marker>
          <c:cat>
            <c:numRef>
              <c:f>Energy_Flow!$U$161:$Y$161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Energy_Flow!$U$164:$Y$164</c:f>
              <c:numCache>
                <c:formatCode>0.0</c:formatCode>
                <c:ptCount val="5"/>
                <c:pt idx="0">
                  <c:v>1.29789595</c:v>
                </c:pt>
                <c:pt idx="1">
                  <c:v>2.546068167</c:v>
                </c:pt>
                <c:pt idx="2">
                  <c:v>2.4897747219999999</c:v>
                </c:pt>
                <c:pt idx="3">
                  <c:v>2.4335971320000001</c:v>
                </c:pt>
                <c:pt idx="4">
                  <c:v>2.3773036740000002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76-4AC1-A795-6A879AD9A51F}"/>
            </c:ext>
          </c:extLst>
        </c:ser>
        <c:ser>
          <c:idx val="3"/>
          <c:order val="3"/>
          <c:tx>
            <c:strRef>
              <c:f>Energy_Flow!$S$165</c:f>
              <c:strCache>
                <c:ptCount val="1"/>
                <c:pt idx="0">
                  <c:v>WKO</c:v>
                </c:pt>
              </c:strCache>
            </c:strRef>
          </c:tx>
          <c:marker>
            <c:symbol val="none"/>
          </c:marker>
          <c:cat>
            <c:numRef>
              <c:f>Energy_Flow!$U$161:$Y$161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Energy_Flow!$U$165:$Y$165</c:f>
              <c:numCache>
                <c:formatCode>0.0</c:formatCode>
                <c:ptCount val="5"/>
                <c:pt idx="0">
                  <c:v>0</c:v>
                </c:pt>
                <c:pt idx="1">
                  <c:v>1.0450801499999999E-3</c:v>
                </c:pt>
                <c:pt idx="2">
                  <c:v>1.02219703E-3</c:v>
                </c:pt>
                <c:pt idx="3">
                  <c:v>9.9941072499999998E-4</c:v>
                </c:pt>
                <c:pt idx="4">
                  <c:v>9.76527714E-4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76-4AC1-A795-6A879AD9A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940416"/>
        <c:axId val="144958592"/>
      </c:lineChart>
      <c:catAx>
        <c:axId val="14494041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144958592"/>
        <c:crosses val="autoZero"/>
        <c:auto val="1"/>
        <c:lblAlgn val="ctr"/>
        <c:lblOffset val="100"/>
        <c:noMultiLvlLbl val="0"/>
      </c:catAx>
      <c:valAx>
        <c:axId val="144958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PJ/jaar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4940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345852031904206"/>
          <c:y val="0.43456248707715378"/>
          <c:w val="0.20882253943079634"/>
          <c:h val="0.2930637129066577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2400"/>
      </a:pPr>
      <a:endParaRPr lang="nl-NL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ReadMe!$N$14</c:f>
          <c:strCache>
            <c:ptCount val="1"/>
            <c:pt idx="0">
              <c:v>Warmteaanbod woningen, Set:Doorrekening Utrecht, Label Opleggen en Warmteprijs, Variant: Label_A+_eWP</c:v>
            </c:pt>
          </c:strCache>
        </c:strRef>
      </c:tx>
      <c:overlay val="0"/>
      <c:txPr>
        <a:bodyPr/>
        <a:lstStyle/>
        <a:p>
          <a:pPr>
            <a:defRPr/>
          </a:pPr>
          <a:endParaRPr lang="nl-NL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Energy_Flow!$S$145</c:f>
              <c:strCache>
                <c:ptCount val="1"/>
                <c:pt idx="0">
                  <c:v>Warmtenetten</c:v>
                </c:pt>
              </c:strCache>
            </c:strRef>
          </c:tx>
          <c:cat>
            <c:numRef>
              <c:f>Energy_Flow!$U$144:$Y$144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Energy_Flow!$U$145:$Y$145</c:f>
              <c:numCache>
                <c:formatCode>0.0</c:formatCode>
                <c:ptCount val="5"/>
                <c:pt idx="0">
                  <c:v>1.29789595</c:v>
                </c:pt>
                <c:pt idx="1">
                  <c:v>1.4748623940000001</c:v>
                </c:pt>
                <c:pt idx="2">
                  <c:v>1.423879973</c:v>
                </c:pt>
                <c:pt idx="3">
                  <c:v>1.39090918</c:v>
                </c:pt>
                <c:pt idx="4">
                  <c:v>1.3578824570000001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1F-4A49-B1B2-0DD524EB1715}"/>
            </c:ext>
          </c:extLst>
        </c:ser>
        <c:ser>
          <c:idx val="1"/>
          <c:order val="1"/>
          <c:tx>
            <c:strRef>
              <c:f>Energy_Flow!$S$146</c:f>
              <c:strCache>
                <c:ptCount val="1"/>
                <c:pt idx="0">
                  <c:v>Warmtepomp</c:v>
                </c:pt>
              </c:strCache>
            </c:strRef>
          </c:tx>
          <c:spPr>
            <a:ln w="25400">
              <a:noFill/>
            </a:ln>
          </c:spPr>
          <c:cat>
            <c:numRef>
              <c:f>Energy_Flow!$U$144:$Y$144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Energy_Flow!$U$146:$Y$146</c:f>
              <c:numCache>
                <c:formatCode>0.0</c:formatCode>
                <c:ptCount val="5"/>
                <c:pt idx="0">
                  <c:v>0</c:v>
                </c:pt>
                <c:pt idx="1">
                  <c:v>1.3622840600000004</c:v>
                </c:pt>
                <c:pt idx="2">
                  <c:v>1.3284610320000008</c:v>
                </c:pt>
                <c:pt idx="3">
                  <c:v>1.2947048880000009</c:v>
                </c:pt>
                <c:pt idx="4">
                  <c:v>1.2608818640000008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1F-4A49-B1B2-0DD524EB1715}"/>
            </c:ext>
          </c:extLst>
        </c:ser>
        <c:ser>
          <c:idx val="2"/>
          <c:order val="2"/>
          <c:tx>
            <c:strRef>
              <c:f>Energy_Flow!$S$147</c:f>
              <c:strCache>
                <c:ptCount val="1"/>
                <c:pt idx="0">
                  <c:v>Gas</c:v>
                </c:pt>
              </c:strCache>
            </c:strRef>
          </c:tx>
          <c:spPr>
            <a:ln w="25400">
              <a:noFill/>
            </a:ln>
          </c:spPr>
          <c:cat>
            <c:numRef>
              <c:f>Energy_Flow!$U$144:$Y$144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Energy_Flow!$U$147:$Y$147</c:f>
              <c:numCache>
                <c:formatCode>0.0</c:formatCode>
                <c:ptCount val="5"/>
                <c:pt idx="0">
                  <c:v>3.5135086100000001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1F-4A49-B1B2-0DD524E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71488"/>
        <c:axId val="145077376"/>
      </c:areaChart>
      <c:catAx>
        <c:axId val="14507148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145077376"/>
        <c:crosses val="autoZero"/>
        <c:auto val="1"/>
        <c:lblAlgn val="ctr"/>
        <c:lblOffset val="100"/>
        <c:noMultiLvlLbl val="0"/>
      </c:catAx>
      <c:valAx>
        <c:axId val="145077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PJ/jaar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4507148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2000"/>
          </a:pPr>
          <a:endParaRPr lang="nl-NL"/>
        </a:p>
      </c:txPr>
    </c:legend>
    <c:plotVisOnly val="1"/>
    <c:dispBlanksAs val="zero"/>
    <c:showDLblsOverMax val="0"/>
  </c:chart>
  <c:txPr>
    <a:bodyPr/>
    <a:lstStyle/>
    <a:p>
      <a:pPr>
        <a:defRPr sz="2400"/>
      </a:pPr>
      <a:endParaRPr lang="nl-NL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ReadMe!$N$15</c:f>
          <c:strCache>
            <c:ptCount val="1"/>
            <c:pt idx="0">
              <c:v>Warmteaanbod woningen, Set:Doorrekening Utrecht, Label Opleggen en Warmteprijs, Variant: Label_B_WP2euro/m3</c:v>
            </c:pt>
          </c:strCache>
        </c:strRef>
      </c:tx>
      <c:overlay val="0"/>
      <c:txPr>
        <a:bodyPr/>
        <a:lstStyle/>
        <a:p>
          <a:pPr>
            <a:defRPr/>
          </a:pPr>
          <a:endParaRPr lang="nl-NL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Energy_Flow!$S$153</c:f>
              <c:strCache>
                <c:ptCount val="1"/>
                <c:pt idx="0">
                  <c:v>Warmtenetten</c:v>
                </c:pt>
              </c:strCache>
            </c:strRef>
          </c:tx>
          <c:cat>
            <c:numRef>
              <c:f>Energy_Flow!$U$152:$Y$152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Energy_Flow!$U$153:$Y$153</c:f>
              <c:numCache>
                <c:formatCode>0.0</c:formatCode>
                <c:ptCount val="5"/>
                <c:pt idx="0">
                  <c:v>1.29789595</c:v>
                </c:pt>
                <c:pt idx="1">
                  <c:v>3.8353467010499998</c:v>
                </c:pt>
                <c:pt idx="2">
                  <c:v>3.75061946803</c:v>
                </c:pt>
                <c:pt idx="3">
                  <c:v>3.6660543857250003</c:v>
                </c:pt>
                <c:pt idx="4">
                  <c:v>3.5813271423140001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E-43FB-876B-BEAF1351F4BE}"/>
            </c:ext>
          </c:extLst>
        </c:ser>
        <c:ser>
          <c:idx val="1"/>
          <c:order val="1"/>
          <c:tx>
            <c:strRef>
              <c:f>Energy_Flow!$S$154</c:f>
              <c:strCache>
                <c:ptCount val="1"/>
                <c:pt idx="0">
                  <c:v>Warmtepomp</c:v>
                </c:pt>
              </c:strCache>
            </c:strRef>
          </c:tx>
          <c:spPr>
            <a:ln w="25400">
              <a:noFill/>
            </a:ln>
          </c:spPr>
          <c:cat>
            <c:numRef>
              <c:f>Energy_Flow!$U$152:$Y$152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Energy_Flow!$U$154:$Y$154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EE-43FB-876B-BEAF1351F4BE}"/>
            </c:ext>
          </c:extLst>
        </c:ser>
        <c:ser>
          <c:idx val="2"/>
          <c:order val="2"/>
          <c:tx>
            <c:strRef>
              <c:f>Energy_Flow!$S$155</c:f>
              <c:strCache>
                <c:ptCount val="1"/>
                <c:pt idx="0">
                  <c:v>Gas</c:v>
                </c:pt>
              </c:strCache>
            </c:strRef>
          </c:tx>
          <c:spPr>
            <a:ln w="25400">
              <a:noFill/>
            </a:ln>
          </c:spPr>
          <c:cat>
            <c:numRef>
              <c:f>Energy_Flow!$U$152:$Y$152</c:f>
              <c:numCache>
                <c:formatCode>0.0</c:formatCode>
                <c:ptCount val="5"/>
                <c:pt idx="0">
                  <c:v>2013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Energy_Flow!$U$155:$Y$155</c:f>
              <c:numCache>
                <c:formatCode>0.0</c:formatCode>
                <c:ptCount val="5"/>
                <c:pt idx="0">
                  <c:v>3.5135086100000001</c:v>
                </c:pt>
                <c:pt idx="1">
                  <c:v>1.1647902567999999E-2</c:v>
                </c:pt>
                <c:pt idx="2">
                  <c:v>1.1404959806999999E-2</c:v>
                </c:pt>
                <c:pt idx="3">
                  <c:v>1.1162999497E-2</c:v>
                </c:pt>
                <c:pt idx="4">
                  <c:v>1.0920056714999999E-2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EE-43FB-876B-BEAF1351F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73440"/>
        <c:axId val="147379328"/>
      </c:areaChart>
      <c:catAx>
        <c:axId val="14737344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147379328"/>
        <c:crosses val="autoZero"/>
        <c:auto val="1"/>
        <c:lblAlgn val="ctr"/>
        <c:lblOffset val="100"/>
        <c:noMultiLvlLbl val="0"/>
      </c:catAx>
      <c:valAx>
        <c:axId val="147379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PJ/jaar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473734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2000"/>
          </a:pPr>
          <a:endParaRPr lang="nl-NL"/>
        </a:p>
      </c:txPr>
    </c:legend>
    <c:plotVisOnly val="1"/>
    <c:dispBlanksAs val="zero"/>
    <c:showDLblsOverMax val="0"/>
  </c:chart>
  <c:txPr>
    <a:bodyPr/>
    <a:lstStyle/>
    <a:p>
      <a:pPr>
        <a:defRPr sz="2400"/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chart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chart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chart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chart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chartsheets/sheet1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40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>
    <tabColor theme="4" tint="0.59999389629810485"/>
  </sheetPr>
  <sheetViews>
    <sheetView zoomScale="140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>
    <tabColor theme="4" tint="0.59999389629810485"/>
  </sheetPr>
  <sheetViews>
    <sheetView zoomScale="140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>
    <tabColor theme="4" tint="0.59999389629810485"/>
  </sheetPr>
  <sheetViews>
    <sheetView zoomScale="140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>
    <tabColor theme="4" tint="0.59999389629810485"/>
  </sheetPr>
  <sheetViews>
    <sheetView zoomScale="137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>
    <tabColor theme="4" tint="0.59999389629810485"/>
  </sheetPr>
  <sheetViews>
    <sheetView zoomScale="137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>
    <tabColor theme="4" tint="0.59999389629810485"/>
  </sheetPr>
  <sheetViews>
    <sheetView zoomScale="130" workbookViewId="0"/>
  </sheetViews>
  <pageMargins left="0.7" right="0.7" top="0.75" bottom="0.75" header="0.3" footer="0.3"/>
  <pageSetup paperSize="9" orientation="landscape" r:id="rId1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37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37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40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40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12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40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13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40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14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40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15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60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245</xdr:row>
      <xdr:rowOff>63500</xdr:rowOff>
    </xdr:from>
    <xdr:to>
      <xdr:col>11</xdr:col>
      <xdr:colOff>348950</xdr:colOff>
      <xdr:row>277</xdr:row>
      <xdr:rowOff>173900</xdr:rowOff>
    </xdr:to>
    <xdr:graphicFrame macro="">
      <xdr:nvGraphicFramePr>
        <xdr:cNvPr id="6" name="Grafiek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476250</xdr:colOff>
      <xdr:row>245</xdr:row>
      <xdr:rowOff>63500</xdr:rowOff>
    </xdr:from>
    <xdr:to>
      <xdr:col>25</xdr:col>
      <xdr:colOff>429550</xdr:colOff>
      <xdr:row>277</xdr:row>
      <xdr:rowOff>173900</xdr:rowOff>
    </xdr:to>
    <xdr:graphicFrame macro="">
      <xdr:nvGraphicFramePr>
        <xdr:cNvPr id="7" name="Grafiek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627062</xdr:colOff>
      <xdr:row>66</xdr:row>
      <xdr:rowOff>0</xdr:rowOff>
    </xdr:from>
    <xdr:to>
      <xdr:col>26</xdr:col>
      <xdr:colOff>476250</xdr:colOff>
      <xdr:row>101</xdr:row>
      <xdr:rowOff>31750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63501</xdr:colOff>
      <xdr:row>64</xdr:row>
      <xdr:rowOff>63501</xdr:rowOff>
    </xdr:from>
    <xdr:to>
      <xdr:col>18</xdr:col>
      <xdr:colOff>349250</xdr:colOff>
      <xdr:row>101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658812</xdr:colOff>
      <xdr:row>54</xdr:row>
      <xdr:rowOff>152399</xdr:rowOff>
    </xdr:from>
    <xdr:to>
      <xdr:col>12</xdr:col>
      <xdr:colOff>1079500</xdr:colOff>
      <xdr:row>101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666751</xdr:colOff>
      <xdr:row>103</xdr:row>
      <xdr:rowOff>47625</xdr:rowOff>
    </xdr:from>
    <xdr:to>
      <xdr:col>12</xdr:col>
      <xdr:colOff>1016000</xdr:colOff>
      <xdr:row>130</xdr:row>
      <xdr:rowOff>79375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23812</xdr:colOff>
      <xdr:row>103</xdr:row>
      <xdr:rowOff>57149</xdr:rowOff>
    </xdr:from>
    <xdr:to>
      <xdr:col>18</xdr:col>
      <xdr:colOff>269875</xdr:colOff>
      <xdr:row>129</xdr:row>
      <xdr:rowOff>15874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730250</xdr:colOff>
      <xdr:row>103</xdr:row>
      <xdr:rowOff>111125</xdr:rowOff>
    </xdr:from>
    <xdr:to>
      <xdr:col>27</xdr:col>
      <xdr:colOff>79375</xdr:colOff>
      <xdr:row>132</xdr:row>
      <xdr:rowOff>95250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531812</xdr:colOff>
      <xdr:row>51</xdr:row>
      <xdr:rowOff>120650</xdr:rowOff>
    </xdr:from>
    <xdr:to>
      <xdr:col>16</xdr:col>
      <xdr:colOff>452437</xdr:colOff>
      <xdr:row>65</xdr:row>
      <xdr:rowOff>165100</xdr:rowOff>
    </xdr:to>
    <xdr:graphicFrame macro="">
      <xdr:nvGraphicFramePr>
        <xdr:cNvPr id="5" name="Grafiek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222" cy="6074833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9222" cy="60748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9222" cy="60748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9222" cy="60748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A211"/>
  <sheetViews>
    <sheetView tabSelected="1" zoomScale="60" zoomScaleNormal="60" workbookViewId="0">
      <selection activeCell="A9" sqref="A9"/>
    </sheetView>
  </sheetViews>
  <sheetFormatPr defaultRowHeight="15" x14ac:dyDescent="0.25"/>
  <cols>
    <col min="1" max="1" width="84.85546875" customWidth="1"/>
    <col min="2" max="2" width="19.85546875" style="37" customWidth="1"/>
    <col min="3" max="7" width="43.7109375" customWidth="1"/>
    <col min="11" max="11" width="20.28515625" customWidth="1"/>
    <col min="12" max="12" width="36.28515625" customWidth="1"/>
    <col min="13" max="13" width="25.42578125" customWidth="1"/>
    <col min="14" max="14" width="59.42578125" customWidth="1"/>
  </cols>
  <sheetData>
    <row r="1" spans="1:53" ht="21" x14ac:dyDescent="0.35">
      <c r="A1" s="71" t="s">
        <v>515</v>
      </c>
    </row>
    <row r="2" spans="1:53" x14ac:dyDescent="0.25">
      <c r="A2" s="39" t="s">
        <v>406</v>
      </c>
      <c r="B2" s="37" t="s">
        <v>484</v>
      </c>
    </row>
    <row r="3" spans="1:53" s="84" customFormat="1" x14ac:dyDescent="0.25">
      <c r="A3" s="113" t="s">
        <v>407</v>
      </c>
      <c r="C3" s="84" t="str">
        <f>C16</f>
        <v>Referentie</v>
      </c>
      <c r="D3" s="84" t="str">
        <f>D16</f>
        <v>Label_B</v>
      </c>
      <c r="E3" s="84" t="str">
        <f>E16</f>
        <v>Label_A+</v>
      </c>
      <c r="F3" s="84" t="str">
        <f>F16</f>
        <v>Label_A+_eWP</v>
      </c>
      <c r="G3" s="84" t="str">
        <f>G16</f>
        <v>Label_B_WP2euro/m3</v>
      </c>
      <c r="K3" t="s">
        <v>372</v>
      </c>
      <c r="L3" t="s">
        <v>267</v>
      </c>
    </row>
    <row r="4" spans="1:53" s="84" customFormat="1" x14ac:dyDescent="0.25">
      <c r="A4" s="84" t="s">
        <v>409</v>
      </c>
      <c r="C4" s="84" t="s">
        <v>412</v>
      </c>
      <c r="D4" s="84" t="s">
        <v>412</v>
      </c>
      <c r="E4" s="84" t="s">
        <v>412</v>
      </c>
      <c r="F4" s="84" t="s">
        <v>412</v>
      </c>
      <c r="G4" s="84" t="s">
        <v>412</v>
      </c>
      <c r="K4" s="85" t="str">
        <f>"1-5"</f>
        <v>1-5</v>
      </c>
      <c r="L4" t="s">
        <v>268</v>
      </c>
      <c r="M4" t="s">
        <v>282</v>
      </c>
      <c r="N4" t="s">
        <v>269</v>
      </c>
    </row>
    <row r="5" spans="1:53" x14ac:dyDescent="0.25">
      <c r="A5" t="s">
        <v>411</v>
      </c>
      <c r="C5" t="s">
        <v>413</v>
      </c>
      <c r="D5" t="s">
        <v>413</v>
      </c>
      <c r="E5" s="84" t="s">
        <v>413</v>
      </c>
      <c r="F5" s="84" t="s">
        <v>413</v>
      </c>
      <c r="G5" s="84" t="s">
        <v>413</v>
      </c>
      <c r="K5" s="1"/>
      <c r="L5" t="s">
        <v>380</v>
      </c>
      <c r="N5" s="2" t="str">
        <f>"Uitgaven, Set: "&amp;$B$2</f>
        <v>Uitgaven, Set: Doorrekening Utrecht, Label Opleggen en Warmteprijs</v>
      </c>
    </row>
    <row r="6" spans="1:53" s="84" customFormat="1" x14ac:dyDescent="0.25">
      <c r="A6" s="84" t="s">
        <v>416</v>
      </c>
      <c r="B6" s="84" t="s">
        <v>417</v>
      </c>
      <c r="K6" s="1"/>
      <c r="L6" t="s">
        <v>383</v>
      </c>
      <c r="M6"/>
      <c r="N6" s="2" t="str">
        <f>"Nationale kosten, Set: "&amp;$B$2</f>
        <v>Nationale kosten, Set: Doorrekening Utrecht, Label Opleggen en Warmteprijs</v>
      </c>
    </row>
    <row r="7" spans="1:53" x14ac:dyDescent="0.25">
      <c r="A7" s="39" t="s">
        <v>408</v>
      </c>
      <c r="C7">
        <v>4176</v>
      </c>
      <c r="D7" s="84">
        <v>4176</v>
      </c>
      <c r="E7" s="84">
        <v>4176</v>
      </c>
      <c r="F7" s="84">
        <v>4176</v>
      </c>
      <c r="G7" s="84">
        <v>4176</v>
      </c>
      <c r="K7" s="1"/>
      <c r="L7" s="73" t="s">
        <v>270</v>
      </c>
      <c r="N7" s="2" t="str">
        <f>"Warmte- en elektriciteitsvraag, Set: "&amp;$B$2</f>
        <v>Warmte- en elektriciteitsvraag, Set: Doorrekening Utrecht, Label Opleggen en Warmteprijs</v>
      </c>
    </row>
    <row r="8" spans="1:53" s="84" customFormat="1" x14ac:dyDescent="0.25">
      <c r="A8" s="39" t="s">
        <v>418</v>
      </c>
      <c r="C8" t="s">
        <v>414</v>
      </c>
      <c r="D8" s="84" t="s">
        <v>414</v>
      </c>
      <c r="E8" s="84" t="s">
        <v>414</v>
      </c>
      <c r="F8" s="84" t="s">
        <v>414</v>
      </c>
      <c r="G8" s="84" t="s">
        <v>414</v>
      </c>
      <c r="K8" s="1"/>
      <c r="L8" t="s">
        <v>271</v>
      </c>
      <c r="M8"/>
      <c r="N8" s="2" t="str">
        <f>"Warmtevraag bestaande woningen, Set: "&amp;$B$2</f>
        <v>Warmtevraag bestaande woningen, Set: Doorrekening Utrecht, Label Opleggen en Warmteprijs</v>
      </c>
    </row>
    <row r="9" spans="1:53" x14ac:dyDescent="0.25">
      <c r="A9" s="39" t="s">
        <v>410</v>
      </c>
      <c r="B9" s="1"/>
      <c r="C9" s="84" t="s">
        <v>506</v>
      </c>
      <c r="D9" s="84" t="s">
        <v>506</v>
      </c>
      <c r="E9" s="84" t="s">
        <v>506</v>
      </c>
      <c r="F9" s="84" t="s">
        <v>506</v>
      </c>
      <c r="G9" s="84" t="s">
        <v>506</v>
      </c>
      <c r="K9" s="1">
        <v>5</v>
      </c>
      <c r="L9" s="37" t="s">
        <v>272</v>
      </c>
      <c r="M9" t="str">
        <f>IF($K9=1,$C$16,IF($K9=2,$D$16,IF($K9=3,$E$16,IF($K9=4,$F$16,IF($K9=5,$G$16,0)))))</f>
        <v>Label_B_WP2euro/m3</v>
      </c>
      <c r="N9" s="2" t="str">
        <f>"Warmtevraag woning (bestaand &amp; nieuwbouw), Set: "&amp;$B$2&amp;", Variant:"&amp;$M$9</f>
        <v>Warmtevraag woning (bestaand &amp; nieuwbouw), Set: Doorrekening Utrecht, Label Opleggen en Warmteprijs, Variant:Label_B_WP2euro/m3</v>
      </c>
    </row>
    <row r="10" spans="1:53" s="84" customFormat="1" x14ac:dyDescent="0.25">
      <c r="A10" s="84" t="s">
        <v>145</v>
      </c>
      <c r="C10" s="102" t="s">
        <v>485</v>
      </c>
      <c r="D10" s="103" t="s">
        <v>486</v>
      </c>
      <c r="E10" s="102" t="s">
        <v>487</v>
      </c>
      <c r="F10" s="102" t="s">
        <v>488</v>
      </c>
      <c r="G10" s="102" t="s">
        <v>489</v>
      </c>
      <c r="K10"/>
      <c r="L10" t="s">
        <v>273</v>
      </c>
      <c r="M10"/>
      <c r="N10" s="2" t="str">
        <f>"Warmtevraag woningen, Set: "&amp;$B$2</f>
        <v>Warmtevraag woningen, Set: Doorrekening Utrecht, Label Opleggen en Warmteprijs</v>
      </c>
    </row>
    <row r="11" spans="1:53" x14ac:dyDescent="0.25">
      <c r="A11" s="43"/>
      <c r="B11" s="43"/>
      <c r="C11" s="46"/>
      <c r="D11" s="46"/>
      <c r="E11" s="46"/>
      <c r="F11" s="46"/>
      <c r="G11" s="46"/>
      <c r="L11" t="s">
        <v>274</v>
      </c>
      <c r="N11" s="2" t="str">
        <f>"Gasverbruik woningen, Set: "&amp;$B$2</f>
        <v>Gasverbruik woningen, Set: Doorrekening Utrecht, Label Opleggen en Warmteprijs</v>
      </c>
    </row>
    <row r="12" spans="1:53" x14ac:dyDescent="0.25">
      <c r="A12" s="84"/>
      <c r="B12" s="1"/>
      <c r="C12" s="84"/>
      <c r="D12" s="84"/>
      <c r="E12" s="84"/>
      <c r="F12" s="84"/>
      <c r="G12" s="84"/>
      <c r="H12" s="37"/>
      <c r="I12" s="37"/>
      <c r="J12" s="37"/>
      <c r="L12" t="s">
        <v>275</v>
      </c>
      <c r="N12" s="2" t="str">
        <f>"Levering warmtenetten woningen, Set: "&amp;$B$2</f>
        <v>Levering warmtenetten woningen, Set: Doorrekening Utrecht, Label Opleggen en Warmteprijs</v>
      </c>
      <c r="O12" s="37"/>
      <c r="P12" s="37"/>
      <c r="Q12" s="37"/>
      <c r="R12" s="37"/>
      <c r="S12" s="37"/>
      <c r="U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</row>
    <row r="13" spans="1:53" ht="21" x14ac:dyDescent="0.35">
      <c r="A13" s="71" t="s">
        <v>516</v>
      </c>
      <c r="B13" s="4" t="s">
        <v>144</v>
      </c>
      <c r="C13" s="4" t="s">
        <v>147</v>
      </c>
      <c r="D13" s="4" t="s">
        <v>148</v>
      </c>
      <c r="E13" s="4" t="s">
        <v>149</v>
      </c>
      <c r="F13" s="4" t="s">
        <v>150</v>
      </c>
      <c r="G13" s="4" t="s">
        <v>151</v>
      </c>
      <c r="K13" s="1">
        <v>5</v>
      </c>
      <c r="L13" t="s">
        <v>276</v>
      </c>
      <c r="M13" s="84" t="str">
        <f>IF($K13=1,$C$16,IF($K13=2,$D$16,IF($K13=3,$E$16,IF($K13=4,$F$16,IF($K13=5,$G$16,0)))))</f>
        <v>Label_B_WP2euro/m3</v>
      </c>
      <c r="N13" s="2" t="str">
        <f>"Inzet warmtebronnen voor warmtelevering woning, Set:"&amp;$B$2&amp;", Variant: "&amp;$M13</f>
        <v>Inzet warmtebronnen voor warmtelevering woning, Set:Doorrekening Utrecht, Label Opleggen en Warmteprijs, Variant: Label_B_WP2euro/m3</v>
      </c>
    </row>
    <row r="14" spans="1:53" x14ac:dyDescent="0.25">
      <c r="A14" s="39" t="s">
        <v>419</v>
      </c>
      <c r="B14" s="84"/>
      <c r="C14" s="101" t="s">
        <v>482</v>
      </c>
      <c r="D14" s="101" t="s">
        <v>495</v>
      </c>
      <c r="E14" s="101" t="s">
        <v>497</v>
      </c>
      <c r="F14" s="101" t="s">
        <v>500</v>
      </c>
      <c r="G14" s="101" t="s">
        <v>501</v>
      </c>
      <c r="K14" s="1">
        <v>4</v>
      </c>
      <c r="L14" t="s">
        <v>277</v>
      </c>
      <c r="M14" s="84" t="str">
        <f>IF($K14=1,$C$16,IF($K14=2,$D$16,IF($K14=3,$E$16,IF($K14=4,$F$16,IF($K14=5,$G$16,0)))))</f>
        <v>Label_A+_eWP</v>
      </c>
      <c r="N14" s="2" t="str">
        <f>"Warmteaanbod woningen, Set:"&amp;$B$2&amp;", Variant: "&amp;$M14</f>
        <v>Warmteaanbod woningen, Set:Doorrekening Utrecht, Label Opleggen en Warmteprijs, Variant: Label_A+_eWP</v>
      </c>
    </row>
    <row r="15" spans="1:53" x14ac:dyDescent="0.25">
      <c r="A15" s="84" t="s">
        <v>420</v>
      </c>
      <c r="B15" s="84"/>
      <c r="C15" s="101" t="s">
        <v>483</v>
      </c>
      <c r="D15" s="101" t="s">
        <v>496</v>
      </c>
      <c r="E15" s="101" t="s">
        <v>498</v>
      </c>
      <c r="F15" s="101" t="s">
        <v>499</v>
      </c>
      <c r="G15" s="101" t="s">
        <v>502</v>
      </c>
      <c r="K15" s="1">
        <v>5</v>
      </c>
      <c r="L15" t="s">
        <v>278</v>
      </c>
      <c r="M15" s="84" t="str">
        <f>IF($K15=1,$C$16,IF($K15=2,$D$16,IF($K15=3,$E$16,IF($K15=4,$F$16,IF($K15=5,$G$16,0)))))</f>
        <v>Label_B_WP2euro/m3</v>
      </c>
      <c r="N15" s="2" t="str">
        <f>"Warmteaanbod woningen, Set:"&amp;$B$2&amp;", Variant: "&amp;$M15</f>
        <v>Warmteaanbod woningen, Set:Doorrekening Utrecht, Label Opleggen en Warmteprijs, Variant: Label_B_WP2euro/m3</v>
      </c>
    </row>
    <row r="16" spans="1:53" x14ac:dyDescent="0.25">
      <c r="A16" s="84" t="s">
        <v>146</v>
      </c>
      <c r="B16" s="84"/>
      <c r="C16" s="101" t="s">
        <v>421</v>
      </c>
      <c r="D16" s="101" t="s">
        <v>491</v>
      </c>
      <c r="E16" s="101" t="s">
        <v>493</v>
      </c>
      <c r="F16" s="101" t="s">
        <v>492</v>
      </c>
      <c r="G16" s="101" t="s">
        <v>494</v>
      </c>
      <c r="K16" s="1"/>
      <c r="L16" t="s">
        <v>279</v>
      </c>
      <c r="N16" s="2" t="str">
        <f>"CO2-emissie, Set: "&amp;$B$2</f>
        <v>CO2-emissie, Set: Doorrekening Utrecht, Label Opleggen en Warmteprijs</v>
      </c>
    </row>
    <row r="17" spans="1:14" x14ac:dyDescent="0.25">
      <c r="L17" t="s">
        <v>384</v>
      </c>
      <c r="N17" s="2" t="str">
        <f>"Uitgaven 2030, Set: "&amp;$B$2</f>
        <v>Uitgaven 2030, Set: Doorrekening Utrecht, Label Opleggen en Warmteprijs</v>
      </c>
    </row>
    <row r="18" spans="1:14" x14ac:dyDescent="0.25">
      <c r="A18" s="1"/>
      <c r="B18" s="1"/>
      <c r="C18" s="84"/>
      <c r="D18" s="84"/>
      <c r="E18" s="84"/>
      <c r="F18" s="84"/>
      <c r="G18" s="84"/>
      <c r="L18" t="s">
        <v>280</v>
      </c>
      <c r="N18" s="2" t="str">
        <f>"Warmte- en elektriciteitsvraag 2030, Set: "&amp;$B$2</f>
        <v>Warmte- en elektriciteitsvraag 2030, Set: Doorrekening Utrecht, Label Opleggen en Warmteprijs</v>
      </c>
    </row>
    <row r="19" spans="1:14" x14ac:dyDescent="0.25">
      <c r="A19" s="43"/>
      <c r="B19" s="43"/>
      <c r="C19" s="46"/>
      <c r="D19" s="46"/>
      <c r="E19" s="46"/>
      <c r="F19" s="46"/>
      <c r="G19" s="46"/>
      <c r="L19" t="s">
        <v>281</v>
      </c>
      <c r="N19" s="2" t="str">
        <f>"CO2-emissie 2030, Set: "&amp;$B$2</f>
        <v>CO2-emissie 2030, Set: Doorrekening Utrecht, Label Opleggen en Warmteprijs</v>
      </c>
    </row>
    <row r="20" spans="1:14" s="7" customFormat="1" ht="21" x14ac:dyDescent="0.35">
      <c r="A20" s="133" t="s">
        <v>509</v>
      </c>
      <c r="C20" s="132"/>
      <c r="D20" s="132"/>
      <c r="E20" s="132"/>
      <c r="F20" s="132"/>
      <c r="G20" s="132"/>
    </row>
    <row r="21" spans="1:14" s="7" customFormat="1" x14ac:dyDescent="0.25">
      <c r="A21" s="102" t="s">
        <v>514</v>
      </c>
      <c r="C21" s="132"/>
      <c r="D21" s="132"/>
      <c r="E21" s="132"/>
      <c r="F21" s="132"/>
      <c r="G21" s="132"/>
    </row>
    <row r="22" spans="1:14" s="7" customFormat="1" x14ac:dyDescent="0.25">
      <c r="A22" s="102" t="s">
        <v>510</v>
      </c>
      <c r="C22" s="132"/>
      <c r="D22" s="132"/>
      <c r="E22" s="132"/>
      <c r="F22" s="132"/>
      <c r="G22" s="132"/>
    </row>
    <row r="23" spans="1:14" s="7" customFormat="1" x14ac:dyDescent="0.25">
      <c r="A23" s="102" t="s">
        <v>511</v>
      </c>
      <c r="C23" s="132"/>
      <c r="D23" s="132"/>
      <c r="E23" s="132"/>
      <c r="F23" s="132"/>
      <c r="G23" s="132"/>
    </row>
    <row r="24" spans="1:14" s="7" customFormat="1" x14ac:dyDescent="0.25">
      <c r="A24" s="102" t="s">
        <v>512</v>
      </c>
      <c r="C24" s="132"/>
      <c r="D24" s="132"/>
      <c r="E24" s="132"/>
      <c r="F24" s="132"/>
      <c r="G24" s="132"/>
    </row>
    <row r="25" spans="1:14" s="7" customFormat="1" x14ac:dyDescent="0.25">
      <c r="A25" s="102" t="s">
        <v>513</v>
      </c>
      <c r="C25" s="132"/>
      <c r="D25" s="132"/>
      <c r="E25" s="132"/>
      <c r="F25" s="132"/>
      <c r="G25" s="132"/>
    </row>
    <row r="26" spans="1:14" s="7" customFormat="1" x14ac:dyDescent="0.25">
      <c r="A26" s="102"/>
      <c r="C26" s="132"/>
      <c r="D26" s="132"/>
      <c r="E26" s="132"/>
      <c r="F26" s="132"/>
      <c r="G26" s="132"/>
    </row>
    <row r="27" spans="1:14" s="7" customFormat="1" x14ac:dyDescent="0.25">
      <c r="A27" s="102"/>
      <c r="C27" s="132"/>
      <c r="D27" s="132"/>
      <c r="E27" s="132"/>
      <c r="F27" s="132"/>
      <c r="G27" s="132"/>
    </row>
    <row r="28" spans="1:14" x14ac:dyDescent="0.25">
      <c r="A28" s="43"/>
      <c r="B28" s="46"/>
      <c r="C28" s="43"/>
      <c r="D28" s="43"/>
      <c r="E28" s="43"/>
      <c r="F28" s="43"/>
      <c r="G28" s="43"/>
    </row>
    <row r="29" spans="1:14" ht="21" x14ac:dyDescent="0.35">
      <c r="A29" s="47" t="s">
        <v>71</v>
      </c>
      <c r="B29" s="48"/>
      <c r="C29" s="84"/>
      <c r="D29" s="84"/>
      <c r="E29" s="84"/>
      <c r="F29" s="84"/>
      <c r="G29" s="84"/>
    </row>
    <row r="30" spans="1:14" x14ac:dyDescent="0.25">
      <c r="A30" s="84" t="s">
        <v>72</v>
      </c>
      <c r="B30" s="84"/>
      <c r="C30" s="1" t="s">
        <v>73</v>
      </c>
      <c r="D30" s="1" t="s">
        <v>73</v>
      </c>
      <c r="E30" s="1" t="s">
        <v>73</v>
      </c>
      <c r="F30" s="1" t="s">
        <v>73</v>
      </c>
      <c r="G30" s="1" t="s">
        <v>73</v>
      </c>
    </row>
    <row r="31" spans="1:14" x14ac:dyDescent="0.25">
      <c r="A31" s="41" t="s">
        <v>74</v>
      </c>
      <c r="B31" s="84"/>
      <c r="C31" s="84"/>
      <c r="D31" s="84"/>
      <c r="E31" s="84"/>
      <c r="F31" s="84"/>
      <c r="G31" s="84"/>
    </row>
    <row r="32" spans="1:14" x14ac:dyDescent="0.25">
      <c r="A32" s="84" t="s">
        <v>75</v>
      </c>
      <c r="B32" s="84"/>
      <c r="C32" s="1" t="s">
        <v>76</v>
      </c>
      <c r="D32" s="1" t="s">
        <v>76</v>
      </c>
      <c r="E32" s="1" t="s">
        <v>76</v>
      </c>
      <c r="F32" s="1" t="s">
        <v>76</v>
      </c>
      <c r="G32" s="1" t="s">
        <v>76</v>
      </c>
    </row>
    <row r="33" spans="1:13" x14ac:dyDescent="0.25">
      <c r="A33" s="84" t="s">
        <v>77</v>
      </c>
      <c r="B33" s="84"/>
      <c r="C33" s="1" t="s">
        <v>76</v>
      </c>
      <c r="D33" s="1" t="s">
        <v>76</v>
      </c>
      <c r="E33" s="1" t="s">
        <v>76</v>
      </c>
      <c r="F33" s="1" t="s">
        <v>76</v>
      </c>
      <c r="G33" s="1" t="s">
        <v>76</v>
      </c>
    </row>
    <row r="34" spans="1:13" x14ac:dyDescent="0.25">
      <c r="A34" s="84" t="s">
        <v>78</v>
      </c>
      <c r="B34" s="84"/>
      <c r="C34" s="1" t="s">
        <v>371</v>
      </c>
      <c r="D34" s="1" t="s">
        <v>371</v>
      </c>
      <c r="E34" s="1" t="s">
        <v>371</v>
      </c>
      <c r="F34" s="1" t="s">
        <v>371</v>
      </c>
      <c r="G34" s="1" t="s">
        <v>371</v>
      </c>
    </row>
    <row r="35" spans="1:13" x14ac:dyDescent="0.25">
      <c r="A35" s="84" t="s">
        <v>79</v>
      </c>
      <c r="B35" s="84"/>
      <c r="C35" s="1" t="s">
        <v>80</v>
      </c>
      <c r="D35" s="1" t="s">
        <v>80</v>
      </c>
      <c r="E35" s="1" t="s">
        <v>80</v>
      </c>
      <c r="F35" s="1" t="s">
        <v>80</v>
      </c>
      <c r="G35" s="1" t="s">
        <v>80</v>
      </c>
    </row>
    <row r="36" spans="1:13" x14ac:dyDescent="0.25">
      <c r="A36" s="45"/>
      <c r="B36" s="45"/>
      <c r="C36" s="1"/>
      <c r="D36" s="1"/>
      <c r="E36" s="1"/>
      <c r="F36" s="1"/>
      <c r="G36" s="1"/>
    </row>
    <row r="37" spans="1:13" x14ac:dyDescent="0.25">
      <c r="A37" s="43"/>
      <c r="B37" s="43"/>
      <c r="C37" s="46"/>
      <c r="D37" s="46"/>
      <c r="E37" s="46"/>
      <c r="F37" s="46"/>
      <c r="G37" s="46"/>
    </row>
    <row r="38" spans="1:13" x14ac:dyDescent="0.25">
      <c r="A38" s="45"/>
      <c r="B38" s="45"/>
      <c r="C38" s="45"/>
      <c r="D38" s="45"/>
      <c r="E38" s="84"/>
      <c r="F38" s="84"/>
      <c r="G38" s="45"/>
    </row>
    <row r="39" spans="1:13" ht="21" x14ac:dyDescent="0.35">
      <c r="A39" s="49" t="s">
        <v>81</v>
      </c>
      <c r="B39" s="34"/>
      <c r="C39" s="34"/>
      <c r="D39" s="34"/>
      <c r="E39" s="34"/>
      <c r="F39" s="34"/>
      <c r="G39" s="34"/>
    </row>
    <row r="40" spans="1:13" ht="15.75" thickBot="1" x14ac:dyDescent="0.3">
      <c r="A40" s="50" t="s">
        <v>82</v>
      </c>
      <c r="B40" s="51"/>
      <c r="C40" s="51" t="s">
        <v>415</v>
      </c>
      <c r="D40" s="51" t="s">
        <v>415</v>
      </c>
      <c r="E40" s="51" t="s">
        <v>415</v>
      </c>
      <c r="F40" s="51" t="s">
        <v>415</v>
      </c>
      <c r="G40" s="51" t="s">
        <v>415</v>
      </c>
    </row>
    <row r="41" spans="1:13" ht="21" x14ac:dyDescent="0.35">
      <c r="A41" s="52" t="s">
        <v>3</v>
      </c>
      <c r="B41" s="53"/>
      <c r="C41" s="53"/>
      <c r="D41" s="53"/>
      <c r="E41" s="53"/>
      <c r="F41" s="53"/>
      <c r="G41" s="53"/>
    </row>
    <row r="42" spans="1:13" x14ac:dyDescent="0.25">
      <c r="A42" s="54" t="s">
        <v>166</v>
      </c>
      <c r="B42" s="34"/>
      <c r="C42" s="34"/>
      <c r="D42" s="34"/>
      <c r="E42" s="34"/>
      <c r="F42" s="34"/>
      <c r="G42" s="34"/>
    </row>
    <row r="43" spans="1:13" x14ac:dyDescent="0.25">
      <c r="A43" s="55" t="s">
        <v>83</v>
      </c>
      <c r="B43" s="55" t="s">
        <v>84</v>
      </c>
      <c r="C43" s="56">
        <v>0.16300000000000001</v>
      </c>
      <c r="D43" s="56">
        <v>0.16300000000000001</v>
      </c>
      <c r="E43" s="56">
        <v>0.16300000000000001</v>
      </c>
      <c r="F43" s="56">
        <v>0.16300000000000001</v>
      </c>
      <c r="G43" s="56">
        <v>0.16300000000000001</v>
      </c>
    </row>
    <row r="44" spans="1:13" x14ac:dyDescent="0.25">
      <c r="A44" s="34" t="s">
        <v>85</v>
      </c>
      <c r="B44" s="34" t="s">
        <v>84</v>
      </c>
      <c r="C44" s="57">
        <v>0.22900000000000001</v>
      </c>
      <c r="D44" s="57">
        <f t="shared" ref="D44:G47" si="0">$C44+J44</f>
        <v>0.27900000000000003</v>
      </c>
      <c r="E44" s="57">
        <f t="shared" si="0"/>
        <v>0.32900000000000001</v>
      </c>
      <c r="F44" s="57">
        <f t="shared" si="0"/>
        <v>0.42900000000000005</v>
      </c>
      <c r="G44" s="57">
        <f t="shared" si="0"/>
        <v>0.52900000000000003</v>
      </c>
      <c r="I44" s="73"/>
      <c r="J44">
        <v>0.05</v>
      </c>
      <c r="K44">
        <v>0.1</v>
      </c>
      <c r="L44" s="84">
        <v>0.2</v>
      </c>
      <c r="M44" s="84">
        <v>0.3</v>
      </c>
    </row>
    <row r="45" spans="1:13" x14ac:dyDescent="0.25">
      <c r="A45" s="34" t="s">
        <v>86</v>
      </c>
      <c r="B45" s="34" t="s">
        <v>84</v>
      </c>
      <c r="C45" s="57">
        <v>0.22900000000000001</v>
      </c>
      <c r="D45" s="57">
        <f t="shared" si="0"/>
        <v>0.32900000000000001</v>
      </c>
      <c r="E45" s="57">
        <f t="shared" si="0"/>
        <v>0.42900000000000005</v>
      </c>
      <c r="F45" s="57">
        <f t="shared" si="0"/>
        <v>0.629</v>
      </c>
      <c r="G45" s="57">
        <f t="shared" si="0"/>
        <v>0.82899999999999996</v>
      </c>
      <c r="I45" s="73"/>
      <c r="J45">
        <v>0.1</v>
      </c>
      <c r="K45">
        <v>0.2</v>
      </c>
      <c r="L45" s="84">
        <v>0.4</v>
      </c>
      <c r="M45" s="84">
        <v>0.6</v>
      </c>
    </row>
    <row r="46" spans="1:13" x14ac:dyDescent="0.25">
      <c r="A46" s="34" t="s">
        <v>87</v>
      </c>
      <c r="B46" s="34" t="s">
        <v>84</v>
      </c>
      <c r="C46" s="57">
        <v>0.22900000000000001</v>
      </c>
      <c r="D46" s="57">
        <f t="shared" si="0"/>
        <v>0.42900000000000005</v>
      </c>
      <c r="E46" s="57">
        <f t="shared" si="0"/>
        <v>0.629</v>
      </c>
      <c r="F46" s="57">
        <f t="shared" si="0"/>
        <v>1.0290000000000001</v>
      </c>
      <c r="G46" s="57">
        <f t="shared" si="0"/>
        <v>1.429</v>
      </c>
      <c r="I46" s="73"/>
      <c r="J46">
        <v>0.2</v>
      </c>
      <c r="K46">
        <v>0.4</v>
      </c>
      <c r="L46" s="84">
        <v>0.8</v>
      </c>
      <c r="M46" s="84">
        <v>1.2</v>
      </c>
    </row>
    <row r="47" spans="1:13" x14ac:dyDescent="0.25">
      <c r="A47" s="34" t="s">
        <v>88</v>
      </c>
      <c r="B47" s="34" t="s">
        <v>84</v>
      </c>
      <c r="C47" s="57">
        <v>0.22900000000000001</v>
      </c>
      <c r="D47" s="57">
        <f t="shared" si="0"/>
        <v>0.47899999999999998</v>
      </c>
      <c r="E47" s="57">
        <f t="shared" si="0"/>
        <v>0.72899999999999998</v>
      </c>
      <c r="F47" s="57">
        <f t="shared" si="0"/>
        <v>1.2290000000000001</v>
      </c>
      <c r="G47" s="57">
        <f t="shared" si="0"/>
        <v>1.7290000000000001</v>
      </c>
      <c r="I47" s="73"/>
      <c r="J47">
        <v>0.25</v>
      </c>
      <c r="K47">
        <v>0.5</v>
      </c>
      <c r="L47" s="84">
        <v>1</v>
      </c>
      <c r="M47" s="84">
        <v>1.5</v>
      </c>
    </row>
    <row r="48" spans="1:13" x14ac:dyDescent="0.25">
      <c r="A48" s="58" t="s">
        <v>167</v>
      </c>
      <c r="B48" s="59"/>
      <c r="C48" s="59"/>
      <c r="D48" s="59"/>
      <c r="E48" s="59"/>
      <c r="F48" s="59"/>
      <c r="G48" s="59"/>
    </row>
    <row r="49" spans="1:13" x14ac:dyDescent="0.25">
      <c r="A49" s="34" t="s">
        <v>170</v>
      </c>
      <c r="B49" s="34" t="s">
        <v>84</v>
      </c>
      <c r="C49" s="57">
        <v>0.14099999999999999</v>
      </c>
      <c r="D49" s="57">
        <v>0.14099999999999999</v>
      </c>
      <c r="E49" s="57">
        <v>0.14099999999999999</v>
      </c>
      <c r="F49" s="57">
        <v>0.14099999999999999</v>
      </c>
      <c r="G49" s="57">
        <v>0.14099999999999999</v>
      </c>
    </row>
    <row r="50" spans="1:13" x14ac:dyDescent="0.25">
      <c r="A50" s="34" t="s">
        <v>171</v>
      </c>
      <c r="B50" s="34" t="s">
        <v>84</v>
      </c>
      <c r="C50" s="57">
        <v>0.22900000000000001</v>
      </c>
      <c r="D50" s="57">
        <f t="shared" ref="D50:G53" si="1">$C50+J50</f>
        <v>0.27900000000000003</v>
      </c>
      <c r="E50" s="57">
        <f t="shared" si="1"/>
        <v>0.32900000000000001</v>
      </c>
      <c r="F50" s="57">
        <f t="shared" si="1"/>
        <v>0.42900000000000005</v>
      </c>
      <c r="G50" s="57">
        <f t="shared" si="1"/>
        <v>0.52900000000000003</v>
      </c>
      <c r="I50" s="73"/>
      <c r="J50" s="84">
        <v>0.05</v>
      </c>
      <c r="K50" s="84">
        <v>0.1</v>
      </c>
      <c r="L50" s="84">
        <v>0.2</v>
      </c>
      <c r="M50" s="84">
        <v>0.3</v>
      </c>
    </row>
    <row r="51" spans="1:13" x14ac:dyDescent="0.25">
      <c r="A51" s="34" t="s">
        <v>172</v>
      </c>
      <c r="B51" s="34" t="s">
        <v>84</v>
      </c>
      <c r="C51" s="57">
        <v>0.22900000000000001</v>
      </c>
      <c r="D51" s="57">
        <f t="shared" si="1"/>
        <v>0.32900000000000001</v>
      </c>
      <c r="E51" s="57">
        <f t="shared" si="1"/>
        <v>0.42900000000000005</v>
      </c>
      <c r="F51" s="57">
        <f t="shared" si="1"/>
        <v>0.629</v>
      </c>
      <c r="G51" s="57">
        <f t="shared" si="1"/>
        <v>0.82899999999999996</v>
      </c>
      <c r="I51" s="73"/>
      <c r="J51" s="84">
        <v>0.1</v>
      </c>
      <c r="K51" s="84">
        <v>0.2</v>
      </c>
      <c r="L51" s="84">
        <v>0.4</v>
      </c>
      <c r="M51" s="84">
        <v>0.6</v>
      </c>
    </row>
    <row r="52" spans="1:13" x14ac:dyDescent="0.25">
      <c r="A52" s="34" t="s">
        <v>173</v>
      </c>
      <c r="B52" s="34" t="s">
        <v>84</v>
      </c>
      <c r="C52" s="57">
        <v>0.22900000000000001</v>
      </c>
      <c r="D52" s="57">
        <f t="shared" si="1"/>
        <v>0.42900000000000005</v>
      </c>
      <c r="E52" s="57">
        <f t="shared" si="1"/>
        <v>0.629</v>
      </c>
      <c r="F52" s="57">
        <f t="shared" si="1"/>
        <v>1.0290000000000001</v>
      </c>
      <c r="G52" s="57">
        <f t="shared" si="1"/>
        <v>1.429</v>
      </c>
      <c r="I52" s="73"/>
      <c r="J52" s="84">
        <v>0.2</v>
      </c>
      <c r="K52" s="84">
        <v>0.4</v>
      </c>
      <c r="L52" s="84">
        <v>0.8</v>
      </c>
      <c r="M52" s="84">
        <v>1.2</v>
      </c>
    </row>
    <row r="53" spans="1:13" x14ac:dyDescent="0.25">
      <c r="A53" s="34" t="s">
        <v>174</v>
      </c>
      <c r="B53" s="34" t="s">
        <v>84</v>
      </c>
      <c r="C53" s="57">
        <v>0.22900000000000001</v>
      </c>
      <c r="D53" s="57">
        <f t="shared" si="1"/>
        <v>0.47899999999999998</v>
      </c>
      <c r="E53" s="57">
        <f t="shared" si="1"/>
        <v>0.72899999999999998</v>
      </c>
      <c r="F53" s="57">
        <f t="shared" si="1"/>
        <v>1.2290000000000001</v>
      </c>
      <c r="G53" s="57">
        <f t="shared" si="1"/>
        <v>1.7290000000000001</v>
      </c>
      <c r="I53" s="73"/>
      <c r="J53" s="84">
        <v>0.25</v>
      </c>
      <c r="K53" s="84">
        <v>0.5</v>
      </c>
      <c r="L53" s="84">
        <v>1</v>
      </c>
      <c r="M53" s="84">
        <v>1.5</v>
      </c>
    </row>
    <row r="54" spans="1:13" s="73" customFormat="1" x14ac:dyDescent="0.25">
      <c r="A54" s="58" t="s">
        <v>168</v>
      </c>
      <c r="B54" s="59"/>
      <c r="C54" s="76"/>
      <c r="D54" s="76"/>
      <c r="E54" s="76"/>
      <c r="F54" s="76"/>
      <c r="G54" s="76"/>
    </row>
    <row r="55" spans="1:13" s="73" customFormat="1" x14ac:dyDescent="0.25">
      <c r="A55" s="34" t="s">
        <v>175</v>
      </c>
      <c r="B55" s="34" t="s">
        <v>84</v>
      </c>
      <c r="C55" s="57">
        <v>3.9E-2</v>
      </c>
      <c r="D55" s="57">
        <v>3.9E-2</v>
      </c>
      <c r="E55" s="57">
        <v>3.9E-2</v>
      </c>
      <c r="F55" s="57">
        <v>3.9E-2</v>
      </c>
      <c r="G55" s="57">
        <v>3.9E-2</v>
      </c>
    </row>
    <row r="56" spans="1:13" s="73" customFormat="1" x14ac:dyDescent="0.25">
      <c r="A56" s="34" t="s">
        <v>176</v>
      </c>
      <c r="B56" s="34" t="s">
        <v>84</v>
      </c>
      <c r="C56" s="57">
        <v>7.0000000000000007E-2</v>
      </c>
      <c r="D56" s="57">
        <f t="shared" ref="D56:G59" si="2">$C56+J56</f>
        <v>0.12000000000000001</v>
      </c>
      <c r="E56" s="57">
        <f t="shared" si="2"/>
        <v>0.17</v>
      </c>
      <c r="F56" s="57">
        <f t="shared" si="2"/>
        <v>0.27</v>
      </c>
      <c r="G56" s="57">
        <f t="shared" si="2"/>
        <v>0.37</v>
      </c>
      <c r="J56" s="84">
        <v>0.05</v>
      </c>
      <c r="K56" s="84">
        <v>0.1</v>
      </c>
      <c r="L56" s="84">
        <v>0.2</v>
      </c>
      <c r="M56" s="84">
        <v>0.3</v>
      </c>
    </row>
    <row r="57" spans="1:13" s="73" customFormat="1" x14ac:dyDescent="0.25">
      <c r="A57" s="34" t="s">
        <v>177</v>
      </c>
      <c r="B57" s="34" t="s">
        <v>84</v>
      </c>
      <c r="C57" s="57">
        <v>7.0000000000000007E-2</v>
      </c>
      <c r="D57" s="57">
        <f t="shared" si="2"/>
        <v>0.17</v>
      </c>
      <c r="E57" s="57">
        <f t="shared" si="2"/>
        <v>0.27</v>
      </c>
      <c r="F57" s="57">
        <f t="shared" si="2"/>
        <v>0.47000000000000003</v>
      </c>
      <c r="G57" s="57">
        <f t="shared" si="2"/>
        <v>0.66999999999999993</v>
      </c>
      <c r="J57" s="84">
        <v>0.1</v>
      </c>
      <c r="K57" s="84">
        <v>0.2</v>
      </c>
      <c r="L57" s="84">
        <v>0.4</v>
      </c>
      <c r="M57" s="84">
        <v>0.6</v>
      </c>
    </row>
    <row r="58" spans="1:13" s="73" customFormat="1" x14ac:dyDescent="0.25">
      <c r="A58" s="34" t="s">
        <v>178</v>
      </c>
      <c r="B58" s="34" t="s">
        <v>84</v>
      </c>
      <c r="C58" s="57">
        <v>7.0000000000000007E-2</v>
      </c>
      <c r="D58" s="57">
        <f t="shared" si="2"/>
        <v>0.27</v>
      </c>
      <c r="E58" s="57">
        <f t="shared" si="2"/>
        <v>0.47000000000000003</v>
      </c>
      <c r="F58" s="57">
        <f t="shared" si="2"/>
        <v>0.87000000000000011</v>
      </c>
      <c r="G58" s="57">
        <f t="shared" si="2"/>
        <v>1.27</v>
      </c>
      <c r="J58" s="84">
        <v>0.2</v>
      </c>
      <c r="K58" s="84">
        <v>0.4</v>
      </c>
      <c r="L58" s="84">
        <v>0.8</v>
      </c>
      <c r="M58" s="84">
        <v>1.2</v>
      </c>
    </row>
    <row r="59" spans="1:13" s="73" customFormat="1" x14ac:dyDescent="0.25">
      <c r="A59" s="34" t="s">
        <v>179</v>
      </c>
      <c r="B59" s="34" t="s">
        <v>84</v>
      </c>
      <c r="C59" s="57">
        <v>7.0000000000000007E-2</v>
      </c>
      <c r="D59" s="57">
        <f t="shared" si="2"/>
        <v>0.32</v>
      </c>
      <c r="E59" s="57">
        <f t="shared" si="2"/>
        <v>0.57000000000000006</v>
      </c>
      <c r="F59" s="57">
        <f t="shared" si="2"/>
        <v>1.07</v>
      </c>
      <c r="G59" s="57">
        <f t="shared" si="2"/>
        <v>1.57</v>
      </c>
      <c r="J59" s="84">
        <v>0.25</v>
      </c>
      <c r="K59" s="84">
        <v>0.5</v>
      </c>
      <c r="L59" s="84">
        <v>1</v>
      </c>
      <c r="M59" s="84">
        <v>1.5</v>
      </c>
    </row>
    <row r="60" spans="1:13" x14ac:dyDescent="0.25">
      <c r="A60" s="54" t="s">
        <v>169</v>
      </c>
      <c r="B60" s="34"/>
      <c r="C60" s="34"/>
      <c r="D60" s="34"/>
      <c r="E60" s="34"/>
      <c r="F60" s="34"/>
      <c r="G60" s="34"/>
    </row>
    <row r="61" spans="1:13" x14ac:dyDescent="0.25">
      <c r="A61" s="55" t="s">
        <v>180</v>
      </c>
      <c r="B61" s="55" t="s">
        <v>84</v>
      </c>
      <c r="C61" s="56">
        <v>1.2E-2</v>
      </c>
      <c r="D61" s="56">
        <v>1.2E-2</v>
      </c>
      <c r="E61" s="56">
        <v>1.2E-2</v>
      </c>
      <c r="F61" s="56">
        <v>1.2E-2</v>
      </c>
      <c r="G61" s="56">
        <v>1.2E-2</v>
      </c>
    </row>
    <row r="62" spans="1:13" x14ac:dyDescent="0.25">
      <c r="A62" s="34" t="s">
        <v>181</v>
      </c>
      <c r="B62" s="34" t="s">
        <v>84</v>
      </c>
      <c r="C62" s="57">
        <v>2.3E-2</v>
      </c>
      <c r="D62" s="57">
        <f t="shared" ref="D62:G65" si="3">$C62+J62</f>
        <v>7.3000000000000009E-2</v>
      </c>
      <c r="E62" s="57">
        <f t="shared" si="3"/>
        <v>0.123</v>
      </c>
      <c r="F62" s="57">
        <f t="shared" si="3"/>
        <v>0.223</v>
      </c>
      <c r="G62" s="57">
        <f t="shared" si="3"/>
        <v>0.32300000000000001</v>
      </c>
      <c r="I62" s="73"/>
      <c r="J62" s="84">
        <v>0.05</v>
      </c>
      <c r="K62" s="84">
        <v>0.1</v>
      </c>
      <c r="L62" s="84">
        <v>0.2</v>
      </c>
      <c r="M62" s="84">
        <v>0.3</v>
      </c>
    </row>
    <row r="63" spans="1:13" x14ac:dyDescent="0.25">
      <c r="A63" s="34" t="s">
        <v>182</v>
      </c>
      <c r="B63" s="34" t="s">
        <v>84</v>
      </c>
      <c r="C63" s="57">
        <v>2.3E-2</v>
      </c>
      <c r="D63" s="57">
        <f t="shared" si="3"/>
        <v>0.123</v>
      </c>
      <c r="E63" s="57">
        <f t="shared" si="3"/>
        <v>0.223</v>
      </c>
      <c r="F63" s="57">
        <f t="shared" si="3"/>
        <v>0.42300000000000004</v>
      </c>
      <c r="G63" s="57">
        <f t="shared" si="3"/>
        <v>0.623</v>
      </c>
      <c r="I63" s="73"/>
      <c r="J63" s="84">
        <v>0.1</v>
      </c>
      <c r="K63" s="84">
        <v>0.2</v>
      </c>
      <c r="L63" s="84">
        <v>0.4</v>
      </c>
      <c r="M63" s="84">
        <v>0.6</v>
      </c>
    </row>
    <row r="64" spans="1:13" x14ac:dyDescent="0.25">
      <c r="A64" s="34" t="s">
        <v>183</v>
      </c>
      <c r="B64" s="34" t="s">
        <v>84</v>
      </c>
      <c r="C64" s="57">
        <v>2.3E-2</v>
      </c>
      <c r="D64" s="57">
        <f t="shared" si="3"/>
        <v>0.223</v>
      </c>
      <c r="E64" s="57">
        <f t="shared" si="3"/>
        <v>0.42300000000000004</v>
      </c>
      <c r="F64" s="57">
        <f t="shared" si="3"/>
        <v>0.82300000000000006</v>
      </c>
      <c r="G64" s="57">
        <f t="shared" si="3"/>
        <v>1.2229999999999999</v>
      </c>
      <c r="I64" s="73"/>
      <c r="J64" s="84">
        <v>0.2</v>
      </c>
      <c r="K64" s="84">
        <v>0.4</v>
      </c>
      <c r="L64" s="84">
        <v>0.8</v>
      </c>
      <c r="M64" s="84">
        <v>1.2</v>
      </c>
    </row>
    <row r="65" spans="1:13" x14ac:dyDescent="0.25">
      <c r="A65" s="34" t="s">
        <v>184</v>
      </c>
      <c r="B65" s="34" t="s">
        <v>84</v>
      </c>
      <c r="C65" s="57">
        <v>2.3E-2</v>
      </c>
      <c r="D65" s="57">
        <f t="shared" si="3"/>
        <v>0.27300000000000002</v>
      </c>
      <c r="E65" s="57">
        <f t="shared" si="3"/>
        <v>0.52300000000000002</v>
      </c>
      <c r="F65" s="57">
        <f t="shared" si="3"/>
        <v>1.0229999999999999</v>
      </c>
      <c r="G65" s="57">
        <f t="shared" si="3"/>
        <v>1.5229999999999999</v>
      </c>
      <c r="I65" s="73"/>
      <c r="J65" s="84">
        <v>0.25</v>
      </c>
      <c r="K65" s="84">
        <v>0.5</v>
      </c>
      <c r="L65" s="84">
        <v>1</v>
      </c>
      <c r="M65" s="84">
        <v>1.5</v>
      </c>
    </row>
    <row r="66" spans="1:13" x14ac:dyDescent="0.25">
      <c r="A66" s="58" t="s">
        <v>25</v>
      </c>
      <c r="B66" s="59"/>
      <c r="C66" s="59"/>
      <c r="D66" s="59"/>
      <c r="E66" s="59"/>
      <c r="F66" s="59"/>
      <c r="G66" s="59"/>
    </row>
    <row r="67" spans="1:13" x14ac:dyDescent="0.25">
      <c r="A67" s="34" t="s">
        <v>89</v>
      </c>
      <c r="B67" s="34" t="s">
        <v>84</v>
      </c>
      <c r="C67" s="57">
        <v>2.4E-2</v>
      </c>
      <c r="D67" s="57">
        <v>2.4E-2</v>
      </c>
      <c r="E67" s="57">
        <v>2.4E-2</v>
      </c>
      <c r="F67" s="57">
        <v>2.4E-2</v>
      </c>
      <c r="G67" s="57">
        <v>2.4E-2</v>
      </c>
    </row>
    <row r="68" spans="1:13" x14ac:dyDescent="0.25">
      <c r="A68" s="34" t="s">
        <v>90</v>
      </c>
      <c r="B68" s="34" t="s">
        <v>84</v>
      </c>
      <c r="C68" s="57">
        <v>3.6999999999999998E-2</v>
      </c>
      <c r="D68" s="57">
        <f t="shared" ref="D68:G71" si="4">$C68+J68</f>
        <v>8.6999999999999994E-2</v>
      </c>
      <c r="E68" s="57">
        <f t="shared" si="4"/>
        <v>0.13700000000000001</v>
      </c>
      <c r="F68" s="57">
        <f t="shared" si="4"/>
        <v>0.23700000000000002</v>
      </c>
      <c r="G68" s="57">
        <f t="shared" si="4"/>
        <v>0.33699999999999997</v>
      </c>
      <c r="I68" s="73"/>
      <c r="J68" s="84">
        <v>0.05</v>
      </c>
      <c r="K68" s="84">
        <v>0.1</v>
      </c>
      <c r="L68" s="84">
        <v>0.2</v>
      </c>
      <c r="M68" s="84">
        <v>0.3</v>
      </c>
    </row>
    <row r="69" spans="1:13" x14ac:dyDescent="0.25">
      <c r="A69" s="34" t="s">
        <v>91</v>
      </c>
      <c r="B69" s="34" t="s">
        <v>84</v>
      </c>
      <c r="C69" s="57">
        <v>3.6999999999999998E-2</v>
      </c>
      <c r="D69" s="57">
        <f t="shared" si="4"/>
        <v>0.13700000000000001</v>
      </c>
      <c r="E69" s="57">
        <f t="shared" si="4"/>
        <v>0.23700000000000002</v>
      </c>
      <c r="F69" s="57">
        <f t="shared" si="4"/>
        <v>0.437</v>
      </c>
      <c r="G69" s="57">
        <f t="shared" si="4"/>
        <v>0.63700000000000001</v>
      </c>
      <c r="I69" s="73"/>
      <c r="J69" s="84">
        <v>0.1</v>
      </c>
      <c r="K69" s="84">
        <v>0.2</v>
      </c>
      <c r="L69" s="84">
        <v>0.4</v>
      </c>
      <c r="M69" s="84">
        <v>0.6</v>
      </c>
    </row>
    <row r="70" spans="1:13" x14ac:dyDescent="0.25">
      <c r="A70" s="34" t="s">
        <v>92</v>
      </c>
      <c r="B70" s="34" t="s">
        <v>84</v>
      </c>
      <c r="C70" s="57">
        <v>3.6999999999999998E-2</v>
      </c>
      <c r="D70" s="57">
        <f t="shared" si="4"/>
        <v>0.23700000000000002</v>
      </c>
      <c r="E70" s="57">
        <f t="shared" si="4"/>
        <v>0.437</v>
      </c>
      <c r="F70" s="57">
        <f t="shared" si="4"/>
        <v>0.83700000000000008</v>
      </c>
      <c r="G70" s="57">
        <f t="shared" si="4"/>
        <v>1.2369999999999999</v>
      </c>
      <c r="I70" s="73"/>
      <c r="J70" s="84">
        <v>0.2</v>
      </c>
      <c r="K70" s="84">
        <v>0.4</v>
      </c>
      <c r="L70" s="84">
        <v>0.8</v>
      </c>
      <c r="M70" s="84">
        <v>1.2</v>
      </c>
    </row>
    <row r="71" spans="1:13" ht="15.75" thickBot="1" x14ac:dyDescent="0.3">
      <c r="A71" s="51" t="s">
        <v>93</v>
      </c>
      <c r="B71" s="51" t="s">
        <v>84</v>
      </c>
      <c r="C71" s="60">
        <v>3.6999999999999998E-2</v>
      </c>
      <c r="D71" s="60">
        <f t="shared" si="4"/>
        <v>0.28699999999999998</v>
      </c>
      <c r="E71" s="60">
        <f t="shared" si="4"/>
        <v>0.53700000000000003</v>
      </c>
      <c r="F71" s="60">
        <f t="shared" si="4"/>
        <v>1.0369999999999999</v>
      </c>
      <c r="G71" s="60">
        <f t="shared" si="4"/>
        <v>1.5369999999999999</v>
      </c>
      <c r="I71" s="73"/>
      <c r="J71" s="84">
        <v>0.25</v>
      </c>
      <c r="K71" s="84">
        <v>0.5</v>
      </c>
      <c r="L71" s="84">
        <v>1</v>
      </c>
      <c r="M71" s="84">
        <v>1.5</v>
      </c>
    </row>
    <row r="72" spans="1:13" ht="21" x14ac:dyDescent="0.35">
      <c r="A72" s="61" t="s">
        <v>38</v>
      </c>
      <c r="B72" s="34"/>
      <c r="C72" s="34"/>
      <c r="D72" s="34"/>
      <c r="E72" s="34"/>
      <c r="F72" s="34"/>
      <c r="G72" s="34"/>
    </row>
    <row r="73" spans="1:13" x14ac:dyDescent="0.25">
      <c r="A73" s="54" t="s">
        <v>185</v>
      </c>
      <c r="B73" s="34"/>
      <c r="C73" s="34"/>
      <c r="D73" s="34"/>
      <c r="E73" s="34"/>
      <c r="F73" s="34"/>
      <c r="G73" s="34"/>
    </row>
    <row r="74" spans="1:13" x14ac:dyDescent="0.25">
      <c r="A74" s="55" t="s">
        <v>186</v>
      </c>
      <c r="B74" s="55" t="s">
        <v>94</v>
      </c>
      <c r="C74" s="62">
        <v>0.1114</v>
      </c>
      <c r="D74" s="62">
        <v>0.1114</v>
      </c>
      <c r="E74" s="62">
        <v>0.1114</v>
      </c>
      <c r="F74" s="62">
        <v>0.1114</v>
      </c>
      <c r="G74" s="62">
        <v>0.1114</v>
      </c>
    </row>
    <row r="75" spans="1:13" x14ac:dyDescent="0.25">
      <c r="A75" s="34" t="s">
        <v>187</v>
      </c>
      <c r="B75" s="34" t="s">
        <v>94</v>
      </c>
      <c r="C75" s="57">
        <v>9.1999999999999998E-2</v>
      </c>
      <c r="D75" s="57">
        <v>9.1999999999999998E-2</v>
      </c>
      <c r="E75" s="57">
        <v>9.1999999999999998E-2</v>
      </c>
      <c r="F75" s="57">
        <v>9.1999999999999998E-2</v>
      </c>
      <c r="G75" s="57">
        <v>9.1999999999999998E-2</v>
      </c>
    </row>
    <row r="76" spans="1:13" x14ac:dyDescent="0.25">
      <c r="A76" s="34" t="s">
        <v>188</v>
      </c>
      <c r="B76" s="34" t="s">
        <v>94</v>
      </c>
      <c r="C76" s="57">
        <v>9.1999999999999998E-2</v>
      </c>
      <c r="D76" s="57">
        <v>9.1999999999999998E-2</v>
      </c>
      <c r="E76" s="57">
        <v>9.1999999999999998E-2</v>
      </c>
      <c r="F76" s="57">
        <v>9.1999999999999998E-2</v>
      </c>
      <c r="G76" s="57">
        <v>9.1999999999999998E-2</v>
      </c>
    </row>
    <row r="77" spans="1:13" x14ac:dyDescent="0.25">
      <c r="A77" s="34" t="s">
        <v>189</v>
      </c>
      <c r="B77" s="34" t="s">
        <v>94</v>
      </c>
      <c r="C77" s="57">
        <v>9.1999999999999998E-2</v>
      </c>
      <c r="D77" s="57">
        <v>9.1999999999999998E-2</v>
      </c>
      <c r="E77" s="57">
        <v>9.1999999999999998E-2</v>
      </c>
      <c r="F77" s="57">
        <v>9.1999999999999998E-2</v>
      </c>
      <c r="G77" s="57">
        <v>9.1999999999999998E-2</v>
      </c>
    </row>
    <row r="78" spans="1:13" x14ac:dyDescent="0.25">
      <c r="A78" s="34" t="s">
        <v>190</v>
      </c>
      <c r="B78" s="34" t="s">
        <v>94</v>
      </c>
      <c r="C78" s="57">
        <v>9.1999999999999998E-2</v>
      </c>
      <c r="D78" s="57">
        <v>9.1999999999999998E-2</v>
      </c>
      <c r="E78" s="57">
        <v>9.1999999999999998E-2</v>
      </c>
      <c r="F78" s="57">
        <v>9.1999999999999998E-2</v>
      </c>
      <c r="G78" s="57">
        <v>9.1999999999999998E-2</v>
      </c>
    </row>
    <row r="79" spans="1:13" x14ac:dyDescent="0.25">
      <c r="A79" s="58" t="s">
        <v>191</v>
      </c>
      <c r="B79" s="59"/>
      <c r="C79" s="59"/>
      <c r="D79" s="59"/>
      <c r="E79" s="59"/>
      <c r="F79" s="59"/>
      <c r="G79" s="59"/>
    </row>
    <row r="80" spans="1:13" x14ac:dyDescent="0.25">
      <c r="A80" s="34" t="s">
        <v>192</v>
      </c>
      <c r="B80" s="34" t="s">
        <v>94</v>
      </c>
      <c r="C80" s="63">
        <v>4.0599999999999997E-2</v>
      </c>
      <c r="D80" s="63">
        <v>4.0599999999999997E-2</v>
      </c>
      <c r="E80" s="63">
        <v>4.0599999999999997E-2</v>
      </c>
      <c r="F80" s="63">
        <v>4.0599999999999997E-2</v>
      </c>
      <c r="G80" s="63">
        <v>4.0599999999999997E-2</v>
      </c>
    </row>
    <row r="81" spans="1:7" x14ac:dyDescent="0.25">
      <c r="A81" s="34" t="s">
        <v>193</v>
      </c>
      <c r="B81" s="34" t="s">
        <v>94</v>
      </c>
      <c r="C81" s="57">
        <v>4.5999999999999999E-2</v>
      </c>
      <c r="D81" s="57">
        <v>4.5999999999999999E-2</v>
      </c>
      <c r="E81" s="57">
        <v>4.5999999999999999E-2</v>
      </c>
      <c r="F81" s="57">
        <v>4.5999999999999999E-2</v>
      </c>
      <c r="G81" s="57">
        <v>4.5999999999999999E-2</v>
      </c>
    </row>
    <row r="82" spans="1:7" x14ac:dyDescent="0.25">
      <c r="A82" s="34" t="s">
        <v>194</v>
      </c>
      <c r="B82" s="34" t="s">
        <v>94</v>
      </c>
      <c r="C82" s="57">
        <v>4.5999999999999999E-2</v>
      </c>
      <c r="D82" s="57">
        <v>4.5999999999999999E-2</v>
      </c>
      <c r="E82" s="57">
        <v>4.5999999999999999E-2</v>
      </c>
      <c r="F82" s="57">
        <v>4.5999999999999999E-2</v>
      </c>
      <c r="G82" s="57">
        <v>4.5999999999999999E-2</v>
      </c>
    </row>
    <row r="83" spans="1:7" x14ac:dyDescent="0.25">
      <c r="A83" s="34" t="s">
        <v>195</v>
      </c>
      <c r="B83" s="34" t="s">
        <v>94</v>
      </c>
      <c r="C83" s="57">
        <v>4.5999999999999999E-2</v>
      </c>
      <c r="D83" s="57">
        <v>4.5999999999999999E-2</v>
      </c>
      <c r="E83" s="57">
        <v>4.5999999999999999E-2</v>
      </c>
      <c r="F83" s="57">
        <v>4.5999999999999999E-2</v>
      </c>
      <c r="G83" s="57">
        <v>4.5999999999999999E-2</v>
      </c>
    </row>
    <row r="84" spans="1:7" x14ac:dyDescent="0.25">
      <c r="A84" s="34" t="s">
        <v>196</v>
      </c>
      <c r="B84" s="34" t="s">
        <v>94</v>
      </c>
      <c r="C84" s="57">
        <v>4.5999999999999999E-2</v>
      </c>
      <c r="D84" s="57">
        <v>4.5999999999999999E-2</v>
      </c>
      <c r="E84" s="57">
        <v>4.5999999999999999E-2</v>
      </c>
      <c r="F84" s="57">
        <v>4.5999999999999999E-2</v>
      </c>
      <c r="G84" s="57">
        <v>4.5999999999999999E-2</v>
      </c>
    </row>
    <row r="85" spans="1:7" x14ac:dyDescent="0.25">
      <c r="A85" s="54" t="s">
        <v>197</v>
      </c>
      <c r="B85" s="34"/>
      <c r="C85" s="34"/>
      <c r="D85" s="34"/>
      <c r="E85" s="34"/>
      <c r="F85" s="34"/>
      <c r="G85" s="34"/>
    </row>
    <row r="86" spans="1:7" x14ac:dyDescent="0.25">
      <c r="A86" s="55" t="s">
        <v>198</v>
      </c>
      <c r="B86" s="55" t="s">
        <v>94</v>
      </c>
      <c r="C86" s="62">
        <v>1.0800000000000001E-2</v>
      </c>
      <c r="D86" s="62">
        <v>1.0800000000000001E-2</v>
      </c>
      <c r="E86" s="62">
        <v>1.0800000000000001E-2</v>
      </c>
      <c r="F86" s="62">
        <v>1.0800000000000001E-2</v>
      </c>
      <c r="G86" s="62">
        <v>1.0800000000000001E-2</v>
      </c>
    </row>
    <row r="87" spans="1:7" x14ac:dyDescent="0.25">
      <c r="A87" s="34" t="s">
        <v>199</v>
      </c>
      <c r="B87" s="34" t="s">
        <v>94</v>
      </c>
      <c r="C87" s="57">
        <v>1.2E-2</v>
      </c>
      <c r="D87" s="57">
        <v>1.2E-2</v>
      </c>
      <c r="E87" s="57">
        <v>1.2E-2</v>
      </c>
      <c r="F87" s="57">
        <v>1.2E-2</v>
      </c>
      <c r="G87" s="57">
        <v>1.2E-2</v>
      </c>
    </row>
    <row r="88" spans="1:7" x14ac:dyDescent="0.25">
      <c r="A88" s="34" t="s">
        <v>200</v>
      </c>
      <c r="B88" s="34" t="s">
        <v>94</v>
      </c>
      <c r="C88" s="57">
        <v>1.2E-2</v>
      </c>
      <c r="D88" s="57">
        <v>1.2E-2</v>
      </c>
      <c r="E88" s="57">
        <v>1.2E-2</v>
      </c>
      <c r="F88" s="57">
        <v>1.2E-2</v>
      </c>
      <c r="G88" s="57">
        <v>1.2E-2</v>
      </c>
    </row>
    <row r="89" spans="1:7" x14ac:dyDescent="0.25">
      <c r="A89" s="34" t="s">
        <v>201</v>
      </c>
      <c r="B89" s="34" t="s">
        <v>94</v>
      </c>
      <c r="C89" s="57">
        <v>1.2E-2</v>
      </c>
      <c r="D89" s="57">
        <v>1.2E-2</v>
      </c>
      <c r="E89" s="57">
        <v>1.2E-2</v>
      </c>
      <c r="F89" s="57">
        <v>1.2E-2</v>
      </c>
      <c r="G89" s="57">
        <v>1.2E-2</v>
      </c>
    </row>
    <row r="90" spans="1:7" x14ac:dyDescent="0.25">
      <c r="A90" s="34" t="s">
        <v>202</v>
      </c>
      <c r="B90" s="34" t="s">
        <v>94</v>
      </c>
      <c r="C90" s="57">
        <v>1.2E-2</v>
      </c>
      <c r="D90" s="57">
        <v>1.2E-2</v>
      </c>
      <c r="E90" s="57">
        <v>1.2E-2</v>
      </c>
      <c r="F90" s="57">
        <v>1.2E-2</v>
      </c>
      <c r="G90" s="57">
        <v>1.2E-2</v>
      </c>
    </row>
    <row r="91" spans="1:7" x14ac:dyDescent="0.25">
      <c r="A91" s="58" t="s">
        <v>203</v>
      </c>
      <c r="B91" s="59"/>
      <c r="C91" s="59"/>
      <c r="D91" s="59"/>
      <c r="E91" s="59"/>
      <c r="F91" s="59"/>
      <c r="G91" s="59"/>
    </row>
    <row r="92" spans="1:7" x14ac:dyDescent="0.25">
      <c r="A92" s="34" t="s">
        <v>204</v>
      </c>
      <c r="B92" s="34" t="s">
        <v>94</v>
      </c>
      <c r="C92" s="63">
        <v>1E-3</v>
      </c>
      <c r="D92" s="63">
        <v>1E-3</v>
      </c>
      <c r="E92" s="63">
        <v>1E-3</v>
      </c>
      <c r="F92" s="63">
        <v>1E-3</v>
      </c>
      <c r="G92" s="63">
        <v>1E-3</v>
      </c>
    </row>
    <row r="93" spans="1:7" x14ac:dyDescent="0.25">
      <c r="A93" s="34" t="s">
        <v>205</v>
      </c>
      <c r="B93" s="34" t="s">
        <v>94</v>
      </c>
      <c r="C93" s="57">
        <v>1E-3</v>
      </c>
      <c r="D93" s="57">
        <v>1E-3</v>
      </c>
      <c r="E93" s="57">
        <v>1E-3</v>
      </c>
      <c r="F93" s="57">
        <v>1E-3</v>
      </c>
      <c r="G93" s="57">
        <v>1E-3</v>
      </c>
    </row>
    <row r="94" spans="1:7" x14ac:dyDescent="0.25">
      <c r="A94" s="34" t="s">
        <v>206</v>
      </c>
      <c r="B94" s="34" t="s">
        <v>94</v>
      </c>
      <c r="C94" s="57">
        <v>1E-3</v>
      </c>
      <c r="D94" s="57">
        <v>1E-3</v>
      </c>
      <c r="E94" s="57">
        <v>1E-3</v>
      </c>
      <c r="F94" s="57">
        <v>1E-3</v>
      </c>
      <c r="G94" s="57">
        <v>1E-3</v>
      </c>
    </row>
    <row r="95" spans="1:7" x14ac:dyDescent="0.25">
      <c r="A95" s="34" t="s">
        <v>207</v>
      </c>
      <c r="B95" s="34" t="s">
        <v>94</v>
      </c>
      <c r="C95" s="57">
        <v>1E-3</v>
      </c>
      <c r="D95" s="57">
        <v>1E-3</v>
      </c>
      <c r="E95" s="57">
        <v>1E-3</v>
      </c>
      <c r="F95" s="57">
        <v>1E-3</v>
      </c>
      <c r="G95" s="57">
        <v>1E-3</v>
      </c>
    </row>
    <row r="96" spans="1:7" ht="15.75" thickBot="1" x14ac:dyDescent="0.3">
      <c r="A96" s="51" t="s">
        <v>208</v>
      </c>
      <c r="B96" s="51" t="s">
        <v>94</v>
      </c>
      <c r="C96" s="60">
        <v>1E-3</v>
      </c>
      <c r="D96" s="60">
        <v>1E-3</v>
      </c>
      <c r="E96" s="60">
        <v>1E-3</v>
      </c>
      <c r="F96" s="60">
        <v>1E-3</v>
      </c>
      <c r="G96" s="60">
        <v>1E-3</v>
      </c>
    </row>
    <row r="97" spans="1:7" ht="21" x14ac:dyDescent="0.35">
      <c r="A97" s="61" t="s">
        <v>95</v>
      </c>
      <c r="B97" s="34"/>
      <c r="C97" s="34"/>
      <c r="D97" s="34"/>
      <c r="E97" s="34"/>
      <c r="F97" s="34"/>
      <c r="G97" s="34"/>
    </row>
    <row r="98" spans="1:7" x14ac:dyDescent="0.25">
      <c r="A98" s="54" t="s">
        <v>96</v>
      </c>
      <c r="B98" s="34"/>
      <c r="C98" s="34"/>
      <c r="D98" s="34"/>
      <c r="E98" s="34"/>
      <c r="F98" s="34"/>
      <c r="G98" s="34"/>
    </row>
    <row r="99" spans="1:7" x14ac:dyDescent="0.25">
      <c r="A99" s="55" t="s">
        <v>97</v>
      </c>
      <c r="B99" s="55" t="s">
        <v>98</v>
      </c>
      <c r="C99" s="64">
        <v>0.45400000000000001</v>
      </c>
      <c r="D99" s="64">
        <v>0.45400000000000001</v>
      </c>
      <c r="E99" s="64">
        <v>0.45400000000000001</v>
      </c>
      <c r="F99" s="64">
        <v>0.45400000000000001</v>
      </c>
      <c r="G99" s="64">
        <v>0.45400000000000001</v>
      </c>
    </row>
    <row r="100" spans="1:7" x14ac:dyDescent="0.25">
      <c r="A100" s="34" t="s">
        <v>99</v>
      </c>
      <c r="B100" s="34" t="s">
        <v>98</v>
      </c>
      <c r="C100" s="65">
        <v>0.21</v>
      </c>
      <c r="D100" s="65">
        <v>0.21</v>
      </c>
      <c r="E100" s="65">
        <v>0.21</v>
      </c>
      <c r="F100" s="65">
        <v>0.21</v>
      </c>
      <c r="G100" s="65">
        <v>0.21</v>
      </c>
    </row>
    <row r="101" spans="1:7" x14ac:dyDescent="0.25">
      <c r="A101" s="34" t="s">
        <v>100</v>
      </c>
      <c r="B101" s="34" t="s">
        <v>98</v>
      </c>
      <c r="C101" s="65">
        <v>0.06</v>
      </c>
      <c r="D101" s="65">
        <v>0.06</v>
      </c>
      <c r="E101" s="65">
        <v>0.06</v>
      </c>
      <c r="F101" s="65">
        <v>0.06</v>
      </c>
      <c r="G101" s="65">
        <v>0.06</v>
      </c>
    </row>
    <row r="102" spans="1:7" x14ac:dyDescent="0.25">
      <c r="A102" s="34" t="s">
        <v>101</v>
      </c>
      <c r="B102" s="34" t="s">
        <v>98</v>
      </c>
      <c r="C102" s="65">
        <v>0.05</v>
      </c>
      <c r="D102" s="65">
        <v>0.05</v>
      </c>
      <c r="E102" s="65">
        <v>0.05</v>
      </c>
      <c r="F102" s="65">
        <v>0.05</v>
      </c>
      <c r="G102" s="65">
        <v>0.05</v>
      </c>
    </row>
    <row r="103" spans="1:7" x14ac:dyDescent="0.25">
      <c r="A103" s="34" t="s">
        <v>102</v>
      </c>
      <c r="B103" s="34" t="s">
        <v>98</v>
      </c>
      <c r="C103" s="65">
        <v>0.04</v>
      </c>
      <c r="D103" s="65">
        <v>0.04</v>
      </c>
      <c r="E103" s="65">
        <v>0.04</v>
      </c>
      <c r="F103" s="65">
        <v>0.04</v>
      </c>
      <c r="G103" s="65">
        <v>0.04</v>
      </c>
    </row>
    <row r="104" spans="1:7" x14ac:dyDescent="0.25">
      <c r="A104" s="58" t="s">
        <v>103</v>
      </c>
      <c r="B104" s="59"/>
      <c r="C104" s="66"/>
      <c r="D104" s="66"/>
      <c r="E104" s="66"/>
      <c r="F104" s="66"/>
      <c r="G104" s="66"/>
    </row>
    <row r="105" spans="1:7" x14ac:dyDescent="0.25">
      <c r="A105" s="34" t="s">
        <v>104</v>
      </c>
      <c r="B105" s="34" t="s">
        <v>105</v>
      </c>
      <c r="C105" s="65">
        <v>3.7013076393668278</v>
      </c>
      <c r="D105" s="65">
        <v>3.7013076393668278</v>
      </c>
      <c r="E105" s="65">
        <v>3.7013076393668278</v>
      </c>
      <c r="F105" s="65">
        <v>3.7013076393668278</v>
      </c>
      <c r="G105" s="65">
        <v>3.7013076393668278</v>
      </c>
    </row>
    <row r="106" spans="1:7" x14ac:dyDescent="0.25">
      <c r="A106" s="34" t="s">
        <v>106</v>
      </c>
      <c r="B106" s="34" t="s">
        <v>105</v>
      </c>
      <c r="C106" s="65">
        <v>3.7</v>
      </c>
      <c r="D106" s="65">
        <v>3.7</v>
      </c>
      <c r="E106" s="65">
        <v>3.7</v>
      </c>
      <c r="F106" s="65">
        <v>3.7</v>
      </c>
      <c r="G106" s="65">
        <v>3.7</v>
      </c>
    </row>
    <row r="107" spans="1:7" x14ac:dyDescent="0.25">
      <c r="A107" s="34" t="s">
        <v>107</v>
      </c>
      <c r="B107" s="34" t="s">
        <v>105</v>
      </c>
      <c r="C107" s="65">
        <v>37</v>
      </c>
      <c r="D107" s="65">
        <v>37</v>
      </c>
      <c r="E107" s="65">
        <v>37</v>
      </c>
      <c r="F107" s="65">
        <v>37</v>
      </c>
      <c r="G107" s="65">
        <v>37</v>
      </c>
    </row>
    <row r="108" spans="1:7" x14ac:dyDescent="0.25">
      <c r="A108" s="34" t="s">
        <v>108</v>
      </c>
      <c r="B108" s="34" t="s">
        <v>105</v>
      </c>
      <c r="C108" s="65">
        <v>92.5</v>
      </c>
      <c r="D108" s="65">
        <v>92.5</v>
      </c>
      <c r="E108" s="65">
        <v>92.5</v>
      </c>
      <c r="F108" s="65">
        <v>92.5</v>
      </c>
      <c r="G108" s="65">
        <v>92.5</v>
      </c>
    </row>
    <row r="109" spans="1:7" x14ac:dyDescent="0.25">
      <c r="A109" s="34" t="s">
        <v>109</v>
      </c>
      <c r="B109" s="34" t="s">
        <v>105</v>
      </c>
      <c r="C109" s="65">
        <v>148.1</v>
      </c>
      <c r="D109" s="65">
        <v>148.1</v>
      </c>
      <c r="E109" s="65">
        <v>148.1</v>
      </c>
      <c r="F109" s="65">
        <v>148.1</v>
      </c>
      <c r="G109" s="65">
        <v>148.1</v>
      </c>
    </row>
    <row r="110" spans="1:7" x14ac:dyDescent="0.25">
      <c r="A110" s="58" t="s">
        <v>110</v>
      </c>
      <c r="B110" s="59"/>
      <c r="C110" s="59"/>
      <c r="D110" s="59"/>
      <c r="E110" s="59"/>
      <c r="F110" s="59"/>
      <c r="G110" s="59"/>
    </row>
    <row r="111" spans="1:7" x14ac:dyDescent="0.25">
      <c r="A111" s="55" t="s">
        <v>111</v>
      </c>
      <c r="B111" s="55" t="s">
        <v>112</v>
      </c>
      <c r="C111" s="56" t="s">
        <v>113</v>
      </c>
      <c r="D111" s="56" t="s">
        <v>113</v>
      </c>
      <c r="E111" s="56" t="s">
        <v>113</v>
      </c>
      <c r="F111" s="56" t="s">
        <v>113</v>
      </c>
      <c r="G111" s="56" t="s">
        <v>113</v>
      </c>
    </row>
    <row r="112" spans="1:7" x14ac:dyDescent="0.25">
      <c r="A112" s="45"/>
      <c r="B112" s="45"/>
      <c r="C112" s="45"/>
      <c r="D112" s="45"/>
      <c r="E112" s="84"/>
      <c r="F112" s="84"/>
      <c r="G112" s="84"/>
    </row>
    <row r="113" spans="1:7" x14ac:dyDescent="0.25">
      <c r="A113" s="43"/>
      <c r="B113" s="43"/>
      <c r="C113" s="46"/>
      <c r="D113" s="46"/>
      <c r="E113" s="46"/>
      <c r="F113" s="46"/>
      <c r="G113" s="46"/>
    </row>
    <row r="114" spans="1:7" x14ac:dyDescent="0.25">
      <c r="A114" s="45"/>
      <c r="B114" s="45"/>
      <c r="C114" s="45"/>
      <c r="D114" s="45"/>
      <c r="E114" s="84"/>
      <c r="F114" s="84"/>
      <c r="G114" s="84"/>
    </row>
    <row r="115" spans="1:7" s="73" customFormat="1" ht="21" x14ac:dyDescent="0.35">
      <c r="A115" s="47" t="s">
        <v>233</v>
      </c>
      <c r="E115" s="84"/>
      <c r="F115" s="84"/>
      <c r="G115" s="84"/>
    </row>
    <row r="116" spans="1:7" ht="15.75" thickBot="1" x14ac:dyDescent="0.3">
      <c r="A116" s="44" t="s">
        <v>114</v>
      </c>
      <c r="B116" s="45"/>
      <c r="C116" s="45"/>
      <c r="D116" s="45"/>
      <c r="E116" s="84"/>
      <c r="F116" s="84"/>
      <c r="G116" s="84"/>
    </row>
    <row r="117" spans="1:7" x14ac:dyDescent="0.25">
      <c r="A117" s="82" t="s">
        <v>115</v>
      </c>
      <c r="B117" s="53"/>
      <c r="C117" s="53"/>
      <c r="D117" s="53"/>
      <c r="E117" s="53"/>
      <c r="F117" s="53"/>
      <c r="G117" s="53"/>
    </row>
    <row r="118" spans="1:7" x14ac:dyDescent="0.25">
      <c r="A118" s="34" t="s">
        <v>116</v>
      </c>
      <c r="B118" s="34" t="s">
        <v>117</v>
      </c>
      <c r="C118" s="67">
        <v>0</v>
      </c>
      <c r="D118" s="67">
        <v>0</v>
      </c>
      <c r="E118" s="67">
        <v>0</v>
      </c>
      <c r="F118" s="67">
        <v>0</v>
      </c>
      <c r="G118" s="67">
        <v>0</v>
      </c>
    </row>
    <row r="119" spans="1:7" ht="15.75" thickBot="1" x14ac:dyDescent="0.3">
      <c r="A119" s="51" t="s">
        <v>118</v>
      </c>
      <c r="B119" s="51" t="s">
        <v>117</v>
      </c>
      <c r="C119" s="68">
        <v>0</v>
      </c>
      <c r="D119" s="68">
        <v>0</v>
      </c>
      <c r="E119" s="68">
        <v>0</v>
      </c>
      <c r="F119" s="68">
        <v>0</v>
      </c>
      <c r="G119" s="68">
        <v>0</v>
      </c>
    </row>
    <row r="120" spans="1:7" x14ac:dyDescent="0.25">
      <c r="A120" s="4" t="s">
        <v>119</v>
      </c>
      <c r="B120" s="45"/>
      <c r="C120" s="45"/>
      <c r="D120" s="45"/>
      <c r="E120" s="84"/>
      <c r="F120" s="84"/>
      <c r="G120" s="84"/>
    </row>
    <row r="121" spans="1:7" x14ac:dyDescent="0.25">
      <c r="A121" s="45" t="s">
        <v>120</v>
      </c>
      <c r="B121" s="45" t="s">
        <v>117</v>
      </c>
      <c r="C121" s="70">
        <v>0</v>
      </c>
      <c r="D121" s="70">
        <v>0</v>
      </c>
      <c r="E121" s="70">
        <v>0</v>
      </c>
      <c r="F121" s="70">
        <v>0</v>
      </c>
      <c r="G121" s="70">
        <v>0</v>
      </c>
    </row>
    <row r="122" spans="1:7" x14ac:dyDescent="0.25">
      <c r="A122" s="45" t="s">
        <v>121</v>
      </c>
      <c r="B122" s="45" t="s">
        <v>117</v>
      </c>
      <c r="C122" s="70">
        <v>0</v>
      </c>
      <c r="D122" s="70">
        <v>0</v>
      </c>
      <c r="E122" s="70">
        <v>0</v>
      </c>
      <c r="F122" s="70">
        <v>0</v>
      </c>
      <c r="G122" s="70">
        <v>0</v>
      </c>
    </row>
    <row r="123" spans="1:7" x14ac:dyDescent="0.25">
      <c r="A123" s="45" t="s">
        <v>122</v>
      </c>
      <c r="B123" s="45" t="s">
        <v>117</v>
      </c>
      <c r="C123" s="70">
        <v>0</v>
      </c>
      <c r="D123" s="70">
        <v>0</v>
      </c>
      <c r="E123" s="70">
        <v>0</v>
      </c>
      <c r="F123" s="70">
        <v>0</v>
      </c>
      <c r="G123" s="70">
        <v>0</v>
      </c>
    </row>
    <row r="124" spans="1:7" x14ac:dyDescent="0.25">
      <c r="A124" s="45" t="s">
        <v>123</v>
      </c>
      <c r="B124" s="45" t="s">
        <v>117</v>
      </c>
      <c r="C124" s="70">
        <v>0</v>
      </c>
      <c r="D124" s="70">
        <v>0</v>
      </c>
      <c r="E124" s="70">
        <v>0</v>
      </c>
      <c r="F124" s="70">
        <v>0</v>
      </c>
      <c r="G124" s="70">
        <v>0</v>
      </c>
    </row>
    <row r="125" spans="1:7" s="73" customFormat="1" x14ac:dyDescent="0.25">
      <c r="C125" s="70"/>
      <c r="D125" s="70"/>
      <c r="E125" s="70"/>
      <c r="F125" s="70"/>
      <c r="G125" s="70"/>
    </row>
    <row r="126" spans="1:7" s="73" customFormat="1" x14ac:dyDescent="0.25">
      <c r="A126" s="44" t="s">
        <v>234</v>
      </c>
      <c r="C126" s="70"/>
      <c r="D126" s="70"/>
      <c r="E126" s="70"/>
      <c r="F126" s="70"/>
      <c r="G126" s="70"/>
    </row>
    <row r="127" spans="1:7" s="73" customFormat="1" x14ac:dyDescent="0.25">
      <c r="A127" s="4" t="s">
        <v>236</v>
      </c>
      <c r="C127" s="70"/>
      <c r="D127" s="70"/>
      <c r="E127" s="70"/>
      <c r="F127" s="70"/>
      <c r="G127" s="70"/>
    </row>
    <row r="128" spans="1:7" s="73" customFormat="1" x14ac:dyDescent="0.25">
      <c r="A128" s="73" t="s">
        <v>235</v>
      </c>
      <c r="B128" s="73" t="s">
        <v>241</v>
      </c>
      <c r="C128" s="83">
        <v>0</v>
      </c>
      <c r="D128" s="83">
        <v>0</v>
      </c>
      <c r="E128" s="83">
        <v>0</v>
      </c>
      <c r="F128" s="83">
        <v>0</v>
      </c>
      <c r="G128" s="83">
        <v>0</v>
      </c>
    </row>
    <row r="129" spans="1:7" s="73" customFormat="1" x14ac:dyDescent="0.25">
      <c r="A129" s="73" t="s">
        <v>237</v>
      </c>
      <c r="B129" s="73" t="s">
        <v>241</v>
      </c>
      <c r="C129" s="83">
        <v>0</v>
      </c>
      <c r="D129" s="83">
        <v>0</v>
      </c>
      <c r="E129" s="83">
        <v>0</v>
      </c>
      <c r="F129" s="83">
        <v>0</v>
      </c>
      <c r="G129" s="83">
        <v>0</v>
      </c>
    </row>
    <row r="130" spans="1:7" s="73" customFormat="1" x14ac:dyDescent="0.25">
      <c r="A130" s="73" t="s">
        <v>238</v>
      </c>
      <c r="B130" s="73" t="s">
        <v>241</v>
      </c>
      <c r="C130" s="83">
        <v>0</v>
      </c>
      <c r="D130" s="83">
        <v>0</v>
      </c>
      <c r="E130" s="83">
        <v>0</v>
      </c>
      <c r="F130" s="83">
        <v>0</v>
      </c>
      <c r="G130" s="83">
        <v>0</v>
      </c>
    </row>
    <row r="131" spans="1:7" s="73" customFormat="1" x14ac:dyDescent="0.25">
      <c r="A131" s="73" t="s">
        <v>239</v>
      </c>
      <c r="B131" s="73" t="s">
        <v>241</v>
      </c>
      <c r="C131" s="83">
        <v>0</v>
      </c>
      <c r="D131" s="83">
        <v>0</v>
      </c>
      <c r="E131" s="83">
        <v>0</v>
      </c>
      <c r="F131" s="83">
        <v>0</v>
      </c>
      <c r="G131" s="83">
        <v>0</v>
      </c>
    </row>
    <row r="132" spans="1:7" s="73" customFormat="1" x14ac:dyDescent="0.25">
      <c r="A132" s="73" t="s">
        <v>240</v>
      </c>
      <c r="B132" s="73" t="s">
        <v>241</v>
      </c>
      <c r="C132" s="83">
        <v>0</v>
      </c>
      <c r="D132" s="83">
        <v>0</v>
      </c>
      <c r="E132" s="83">
        <v>0</v>
      </c>
      <c r="F132" s="83">
        <v>0</v>
      </c>
      <c r="G132" s="83">
        <v>0</v>
      </c>
    </row>
    <row r="133" spans="1:7" x14ac:dyDescent="0.25">
      <c r="A133" s="45"/>
      <c r="B133" s="45"/>
      <c r="C133" s="45"/>
      <c r="D133" s="45"/>
      <c r="E133" s="84"/>
      <c r="F133" s="84"/>
      <c r="G133" s="84"/>
    </row>
    <row r="134" spans="1:7" x14ac:dyDescent="0.25">
      <c r="A134" s="43"/>
      <c r="B134" s="43"/>
      <c r="C134" s="46"/>
      <c r="D134" s="46"/>
      <c r="E134" s="46"/>
      <c r="F134" s="46"/>
      <c r="G134" s="46"/>
    </row>
    <row r="135" spans="1:7" x14ac:dyDescent="0.25">
      <c r="A135" s="45"/>
      <c r="B135" s="45"/>
      <c r="C135" s="45"/>
      <c r="D135" s="45"/>
      <c r="E135" s="84"/>
      <c r="F135" s="84"/>
      <c r="G135" s="84"/>
    </row>
    <row r="136" spans="1:7" s="73" customFormat="1" ht="21" x14ac:dyDescent="0.35">
      <c r="A136" s="47" t="s">
        <v>242</v>
      </c>
      <c r="E136" s="84"/>
      <c r="F136" s="84"/>
      <c r="G136" s="84"/>
    </row>
    <row r="137" spans="1:7" s="73" customFormat="1" x14ac:dyDescent="0.25">
      <c r="A137" s="4" t="s">
        <v>243</v>
      </c>
      <c r="E137" s="84"/>
      <c r="F137" s="84"/>
      <c r="G137" s="84"/>
    </row>
    <row r="138" spans="1:7" s="73" customFormat="1" x14ac:dyDescent="0.25">
      <c r="A138" s="77" t="s">
        <v>244</v>
      </c>
      <c r="B138" s="73" t="s">
        <v>248</v>
      </c>
      <c r="C138" s="1" t="s">
        <v>249</v>
      </c>
      <c r="D138" s="1" t="s">
        <v>249</v>
      </c>
      <c r="E138" s="1" t="s">
        <v>249</v>
      </c>
      <c r="F138" s="1" t="s">
        <v>249</v>
      </c>
      <c r="G138" s="1" t="s">
        <v>249</v>
      </c>
    </row>
    <row r="139" spans="1:7" s="73" customFormat="1" x14ac:dyDescent="0.25">
      <c r="A139" s="77" t="s">
        <v>245</v>
      </c>
      <c r="B139" s="73" t="s">
        <v>248</v>
      </c>
      <c r="C139" s="1" t="s">
        <v>250</v>
      </c>
      <c r="D139" s="1" t="s">
        <v>250</v>
      </c>
      <c r="E139" s="1" t="s">
        <v>250</v>
      </c>
      <c r="F139" s="1" t="s">
        <v>250</v>
      </c>
      <c r="G139" s="1" t="s">
        <v>250</v>
      </c>
    </row>
    <row r="140" spans="1:7" s="73" customFormat="1" x14ac:dyDescent="0.25">
      <c r="A140" s="77" t="s">
        <v>246</v>
      </c>
      <c r="B140" s="84" t="s">
        <v>248</v>
      </c>
      <c r="C140" s="1" t="s">
        <v>251</v>
      </c>
      <c r="D140" s="1" t="s">
        <v>251</v>
      </c>
      <c r="E140" s="1" t="s">
        <v>251</v>
      </c>
      <c r="F140" s="1" t="s">
        <v>251</v>
      </c>
      <c r="G140" s="1" t="s">
        <v>7</v>
      </c>
    </row>
    <row r="141" spans="1:7" s="73" customFormat="1" x14ac:dyDescent="0.25">
      <c r="A141" s="77" t="s">
        <v>247</v>
      </c>
      <c r="B141" s="73" t="s">
        <v>248</v>
      </c>
      <c r="C141" s="1" t="s">
        <v>252</v>
      </c>
      <c r="D141" s="1" t="s">
        <v>252</v>
      </c>
      <c r="E141" s="1" t="s">
        <v>252</v>
      </c>
      <c r="F141" s="1" t="s">
        <v>252</v>
      </c>
      <c r="G141" s="1" t="s">
        <v>251</v>
      </c>
    </row>
    <row r="142" spans="1:7" s="84" customFormat="1" x14ac:dyDescent="0.25">
      <c r="A142" s="77"/>
      <c r="B142" s="73"/>
      <c r="G142" s="1" t="s">
        <v>252</v>
      </c>
    </row>
    <row r="143" spans="1:7" x14ac:dyDescent="0.25">
      <c r="A143" s="4" t="s">
        <v>156</v>
      </c>
      <c r="B143" s="45"/>
      <c r="C143" s="45"/>
      <c r="D143" s="45"/>
      <c r="E143" s="84"/>
      <c r="F143" s="84"/>
      <c r="G143" s="84"/>
    </row>
    <row r="144" spans="1:7" x14ac:dyDescent="0.25">
      <c r="A144" s="45" t="s">
        <v>124</v>
      </c>
      <c r="B144" s="45" t="s">
        <v>112</v>
      </c>
      <c r="C144" s="57" t="s">
        <v>113</v>
      </c>
      <c r="D144" s="57" t="s">
        <v>113</v>
      </c>
      <c r="E144" s="57" t="s">
        <v>113</v>
      </c>
      <c r="F144" s="57" t="s">
        <v>113</v>
      </c>
      <c r="G144" s="57" t="s">
        <v>113</v>
      </c>
    </row>
    <row r="145" spans="1:7" x14ac:dyDescent="0.25">
      <c r="A145" s="45" t="s">
        <v>125</v>
      </c>
      <c r="B145" s="45" t="s">
        <v>126</v>
      </c>
      <c r="C145" s="1" t="s">
        <v>127</v>
      </c>
      <c r="D145" s="1" t="s">
        <v>127</v>
      </c>
      <c r="E145" s="1" t="s">
        <v>127</v>
      </c>
      <c r="F145" s="1" t="s">
        <v>127</v>
      </c>
      <c r="G145" s="1" t="s">
        <v>127</v>
      </c>
    </row>
    <row r="146" spans="1:7" x14ac:dyDescent="0.25">
      <c r="A146" s="45"/>
      <c r="B146" s="45"/>
      <c r="C146" s="45"/>
      <c r="D146" s="45"/>
      <c r="E146" s="84"/>
      <c r="F146" s="84"/>
      <c r="G146" s="84"/>
    </row>
    <row r="147" spans="1:7" s="72" customFormat="1" x14ac:dyDescent="0.25">
      <c r="A147" s="72" t="s">
        <v>157</v>
      </c>
      <c r="B147" s="72" t="s">
        <v>158</v>
      </c>
      <c r="C147" s="1">
        <v>1</v>
      </c>
      <c r="D147" s="1">
        <v>1</v>
      </c>
      <c r="E147" s="1">
        <v>1</v>
      </c>
      <c r="F147" s="1">
        <v>1</v>
      </c>
      <c r="G147" s="1">
        <v>1</v>
      </c>
    </row>
    <row r="148" spans="1:7" s="72" customFormat="1" x14ac:dyDescent="0.25">
      <c r="E148" s="84"/>
      <c r="F148" s="84"/>
      <c r="G148" s="84"/>
    </row>
    <row r="149" spans="1:7" x14ac:dyDescent="0.25">
      <c r="A149" s="43"/>
      <c r="B149" s="43"/>
      <c r="C149" s="46"/>
      <c r="D149" s="46"/>
      <c r="E149" s="46"/>
      <c r="F149" s="46"/>
      <c r="G149" s="46"/>
    </row>
    <row r="150" spans="1:7" x14ac:dyDescent="0.25">
      <c r="A150" s="45"/>
      <c r="B150" s="45"/>
      <c r="C150" s="45"/>
      <c r="D150" s="45"/>
      <c r="E150" s="84"/>
      <c r="F150" s="84"/>
      <c r="G150" s="84"/>
    </row>
    <row r="151" spans="1:7" ht="21" x14ac:dyDescent="0.35">
      <c r="A151" s="47" t="s">
        <v>128</v>
      </c>
      <c r="B151" s="45"/>
      <c r="C151" s="45"/>
      <c r="D151" s="45"/>
      <c r="E151" s="84"/>
      <c r="F151" s="84"/>
      <c r="G151" s="84"/>
    </row>
    <row r="152" spans="1:7" s="73" customFormat="1" x14ac:dyDescent="0.25">
      <c r="A152" s="73" t="s">
        <v>385</v>
      </c>
      <c r="E152" s="84"/>
      <c r="F152" s="84"/>
      <c r="G152" s="84"/>
    </row>
    <row r="153" spans="1:7" s="73" customFormat="1" x14ac:dyDescent="0.25">
      <c r="A153" s="78" t="s">
        <v>209</v>
      </c>
      <c r="B153" s="73" t="s">
        <v>117</v>
      </c>
      <c r="C153" s="70">
        <v>0.04</v>
      </c>
      <c r="D153" s="70">
        <v>0.04</v>
      </c>
      <c r="E153" s="70">
        <v>0.04</v>
      </c>
      <c r="F153" s="70">
        <v>0.04</v>
      </c>
      <c r="G153" s="70">
        <v>0.04</v>
      </c>
    </row>
    <row r="154" spans="1:7" s="73" customFormat="1" x14ac:dyDescent="0.25">
      <c r="A154" s="78" t="s">
        <v>266</v>
      </c>
      <c r="C154" s="70"/>
      <c r="D154" s="70"/>
      <c r="E154" s="70"/>
      <c r="F154" s="70"/>
      <c r="G154" s="70"/>
    </row>
    <row r="155" spans="1:7" s="73" customFormat="1" x14ac:dyDescent="0.25">
      <c r="A155" s="78" t="s">
        <v>39</v>
      </c>
      <c r="C155" s="70"/>
      <c r="D155" s="70"/>
      <c r="E155" s="70"/>
      <c r="F155" s="70"/>
      <c r="G155" s="70"/>
    </row>
    <row r="156" spans="1:7" s="73" customFormat="1" x14ac:dyDescent="0.25">
      <c r="A156" s="79" t="s">
        <v>210</v>
      </c>
      <c r="B156" s="45" t="s">
        <v>117</v>
      </c>
      <c r="C156" s="70">
        <v>0.06</v>
      </c>
      <c r="D156" s="70">
        <v>0.06</v>
      </c>
      <c r="E156" s="70">
        <v>0.06</v>
      </c>
      <c r="F156" s="70">
        <v>0.06</v>
      </c>
      <c r="G156" s="70">
        <v>0.06</v>
      </c>
    </row>
    <row r="157" spans="1:7" s="73" customFormat="1" x14ac:dyDescent="0.25">
      <c r="A157" s="80" t="s">
        <v>211</v>
      </c>
      <c r="B157" s="45" t="s">
        <v>117</v>
      </c>
      <c r="C157" s="70">
        <v>0.06</v>
      </c>
      <c r="D157" s="70">
        <v>0.06</v>
      </c>
      <c r="E157" s="70">
        <v>0.06</v>
      </c>
      <c r="F157" s="70">
        <v>0.06</v>
      </c>
      <c r="G157" s="70">
        <v>0.06</v>
      </c>
    </row>
    <row r="158" spans="1:7" s="73" customFormat="1" x14ac:dyDescent="0.25">
      <c r="A158" s="80" t="s">
        <v>212</v>
      </c>
      <c r="B158" s="45" t="s">
        <v>117</v>
      </c>
      <c r="C158" s="70">
        <v>0.06</v>
      </c>
      <c r="D158" s="70">
        <v>0.06</v>
      </c>
      <c r="E158" s="70">
        <v>0.06</v>
      </c>
      <c r="F158" s="70">
        <v>0.06</v>
      </c>
      <c r="G158" s="70">
        <v>0.06</v>
      </c>
    </row>
    <row r="159" spans="1:7" s="73" customFormat="1" x14ac:dyDescent="0.25">
      <c r="A159" s="80" t="s">
        <v>213</v>
      </c>
      <c r="B159" s="73" t="s">
        <v>117</v>
      </c>
      <c r="C159" s="70">
        <v>0.06</v>
      </c>
      <c r="D159" s="70">
        <v>0.06</v>
      </c>
      <c r="E159" s="70">
        <v>0.06</v>
      </c>
      <c r="F159" s="70">
        <v>0.06</v>
      </c>
      <c r="G159" s="70">
        <v>0.06</v>
      </c>
    </row>
    <row r="160" spans="1:7" x14ac:dyDescent="0.25">
      <c r="A160" s="80" t="s">
        <v>214</v>
      </c>
      <c r="B160" s="73" t="s">
        <v>117</v>
      </c>
      <c r="C160" s="70">
        <v>5.5E-2</v>
      </c>
      <c r="D160" s="70">
        <v>5.5E-2</v>
      </c>
      <c r="E160" s="70">
        <v>5.5E-2</v>
      </c>
      <c r="F160" s="70">
        <v>5.5E-2</v>
      </c>
      <c r="G160" s="70">
        <v>5.5E-2</v>
      </c>
    </row>
    <row r="161" spans="1:7" x14ac:dyDescent="0.25">
      <c r="A161" s="78" t="s">
        <v>215</v>
      </c>
      <c r="C161" s="70"/>
      <c r="D161" s="70"/>
      <c r="E161" s="70"/>
      <c r="F161" s="70"/>
      <c r="G161" s="70"/>
    </row>
    <row r="162" spans="1:7" x14ac:dyDescent="0.25">
      <c r="A162" s="79" t="s">
        <v>216</v>
      </c>
      <c r="B162" s="73" t="s">
        <v>117</v>
      </c>
      <c r="C162" s="70">
        <v>5.5E-2</v>
      </c>
      <c r="D162" s="70">
        <v>5.5E-2</v>
      </c>
      <c r="E162" s="70">
        <v>5.5E-2</v>
      </c>
      <c r="F162" s="70">
        <v>5.5E-2</v>
      </c>
      <c r="G162" s="70">
        <v>5.5E-2</v>
      </c>
    </row>
    <row r="163" spans="1:7" s="73" customFormat="1" x14ac:dyDescent="0.25">
      <c r="A163" s="79" t="s">
        <v>217</v>
      </c>
      <c r="B163" s="73" t="s">
        <v>117</v>
      </c>
      <c r="C163" s="70">
        <v>0.08</v>
      </c>
      <c r="D163" s="70">
        <v>0.08</v>
      </c>
      <c r="E163" s="70">
        <v>0.08</v>
      </c>
      <c r="F163" s="70">
        <v>0.08</v>
      </c>
      <c r="G163" s="70">
        <v>0.08</v>
      </c>
    </row>
    <row r="164" spans="1:7" s="73" customFormat="1" x14ac:dyDescent="0.25">
      <c r="A164" s="79" t="s">
        <v>218</v>
      </c>
      <c r="B164" s="73" t="s">
        <v>117</v>
      </c>
      <c r="C164" s="70">
        <v>0.08</v>
      </c>
      <c r="D164" s="70">
        <v>0.08</v>
      </c>
      <c r="E164" s="70">
        <v>0.08</v>
      </c>
      <c r="F164" s="70">
        <v>0.08</v>
      </c>
      <c r="G164" s="70">
        <v>0.08</v>
      </c>
    </row>
    <row r="165" spans="1:7" s="73" customFormat="1" x14ac:dyDescent="0.25">
      <c r="A165" s="78" t="s">
        <v>219</v>
      </c>
      <c r="C165" s="70"/>
      <c r="D165" s="70"/>
      <c r="E165" s="70"/>
      <c r="F165" s="70"/>
      <c r="G165" s="70"/>
    </row>
    <row r="166" spans="1:7" s="73" customFormat="1" x14ac:dyDescent="0.25">
      <c r="A166" s="79" t="s">
        <v>216</v>
      </c>
      <c r="B166" s="73" t="s">
        <v>117</v>
      </c>
      <c r="C166" s="70">
        <v>5.5E-2</v>
      </c>
      <c r="D166" s="70">
        <v>5.5E-2</v>
      </c>
      <c r="E166" s="70">
        <v>5.5E-2</v>
      </c>
      <c r="F166" s="70">
        <v>5.5E-2</v>
      </c>
      <c r="G166" s="70">
        <v>5.5E-2</v>
      </c>
    </row>
    <row r="167" spans="1:7" s="73" customFormat="1" x14ac:dyDescent="0.25">
      <c r="A167" s="79" t="s">
        <v>217</v>
      </c>
      <c r="B167" s="73" t="s">
        <v>117</v>
      </c>
      <c r="C167" s="70">
        <v>0.08</v>
      </c>
      <c r="D167" s="70">
        <v>0.08</v>
      </c>
      <c r="E167" s="70">
        <v>0.08</v>
      </c>
      <c r="F167" s="70">
        <v>0.08</v>
      </c>
      <c r="G167" s="70">
        <v>0.08</v>
      </c>
    </row>
    <row r="168" spans="1:7" s="73" customFormat="1" x14ac:dyDescent="0.25">
      <c r="A168" s="79" t="s">
        <v>218</v>
      </c>
      <c r="B168" s="73" t="s">
        <v>117</v>
      </c>
      <c r="C168" s="70">
        <v>0.08</v>
      </c>
      <c r="D168" s="70">
        <v>0.08</v>
      </c>
      <c r="E168" s="70">
        <v>0.08</v>
      </c>
      <c r="F168" s="70">
        <v>0.08</v>
      </c>
      <c r="G168" s="70">
        <v>0.08</v>
      </c>
    </row>
    <row r="169" spans="1:7" x14ac:dyDescent="0.25">
      <c r="A169" s="81"/>
      <c r="B169" s="45"/>
      <c r="C169" s="45"/>
      <c r="D169" s="45"/>
      <c r="E169" s="84"/>
      <c r="F169" s="84"/>
      <c r="G169" s="84"/>
    </row>
    <row r="170" spans="1:7" x14ac:dyDescent="0.25">
      <c r="A170" s="43"/>
      <c r="B170" s="43"/>
      <c r="C170" s="46"/>
      <c r="D170" s="46"/>
      <c r="E170" s="46"/>
      <c r="F170" s="46"/>
      <c r="G170" s="46"/>
    </row>
    <row r="171" spans="1:7" x14ac:dyDescent="0.25">
      <c r="A171" s="45"/>
      <c r="B171" s="45"/>
      <c r="C171" s="45"/>
      <c r="D171" s="45"/>
      <c r="E171" s="84"/>
      <c r="F171" s="84"/>
      <c r="G171" s="84"/>
    </row>
    <row r="172" spans="1:7" ht="21" x14ac:dyDescent="0.35">
      <c r="A172" s="47" t="s">
        <v>129</v>
      </c>
      <c r="B172" s="45"/>
      <c r="C172" s="45"/>
      <c r="D172" s="45"/>
      <c r="E172" s="84"/>
      <c r="F172" s="84"/>
      <c r="G172" s="84"/>
    </row>
    <row r="173" spans="1:7" ht="21" x14ac:dyDescent="0.35">
      <c r="A173" s="69" t="s">
        <v>130</v>
      </c>
      <c r="B173" s="45"/>
      <c r="C173" s="45"/>
      <c r="D173" s="45"/>
      <c r="E173" s="84"/>
      <c r="F173" s="84"/>
      <c r="G173" s="84"/>
    </row>
    <row r="174" spans="1:7" x14ac:dyDescent="0.25">
      <c r="A174" s="45" t="s">
        <v>133</v>
      </c>
      <c r="B174" s="45" t="s">
        <v>131</v>
      </c>
      <c r="C174" s="1" t="s">
        <v>503</v>
      </c>
      <c r="D174" s="1" t="s">
        <v>503</v>
      </c>
      <c r="E174" s="1" t="s">
        <v>503</v>
      </c>
      <c r="F174" s="1" t="s">
        <v>503</v>
      </c>
      <c r="G174" s="1" t="s">
        <v>132</v>
      </c>
    </row>
    <row r="175" spans="1:7" x14ac:dyDescent="0.25">
      <c r="A175" s="45" t="s">
        <v>134</v>
      </c>
      <c r="B175" s="45" t="s">
        <v>131</v>
      </c>
      <c r="C175" s="1" t="s">
        <v>132</v>
      </c>
      <c r="D175" s="1" t="s">
        <v>132</v>
      </c>
      <c r="E175" s="1" t="s">
        <v>132</v>
      </c>
      <c r="F175" s="1" t="s">
        <v>132</v>
      </c>
      <c r="G175" s="1" t="s">
        <v>132</v>
      </c>
    </row>
    <row r="176" spans="1:7" x14ac:dyDescent="0.25">
      <c r="A176" s="45" t="s">
        <v>135</v>
      </c>
      <c r="B176" s="45" t="s">
        <v>131</v>
      </c>
      <c r="C176" s="1" t="s">
        <v>132</v>
      </c>
      <c r="D176" s="1" t="s">
        <v>132</v>
      </c>
      <c r="E176" s="1" t="s">
        <v>132</v>
      </c>
      <c r="F176" s="1" t="s">
        <v>132</v>
      </c>
      <c r="G176" s="1" t="s">
        <v>132</v>
      </c>
    </row>
    <row r="177" spans="1:7" x14ac:dyDescent="0.25">
      <c r="A177" s="45" t="s">
        <v>136</v>
      </c>
      <c r="B177" s="45" t="s">
        <v>131</v>
      </c>
      <c r="C177" s="1" t="s">
        <v>132</v>
      </c>
      <c r="D177" s="1" t="s">
        <v>132</v>
      </c>
      <c r="E177" s="1" t="s">
        <v>132</v>
      </c>
      <c r="F177" s="1" t="s">
        <v>132</v>
      </c>
      <c r="G177" s="1" t="s">
        <v>132</v>
      </c>
    </row>
    <row r="178" spans="1:7" x14ac:dyDescent="0.25">
      <c r="A178" s="41" t="s">
        <v>137</v>
      </c>
      <c r="B178" s="45"/>
      <c r="C178" s="45"/>
      <c r="D178" s="45"/>
      <c r="E178" s="84"/>
      <c r="F178" s="84"/>
      <c r="G178" s="84"/>
    </row>
    <row r="179" spans="1:7" x14ac:dyDescent="0.25">
      <c r="A179" s="45" t="s">
        <v>138</v>
      </c>
      <c r="B179" s="45" t="s">
        <v>139</v>
      </c>
      <c r="C179" s="1" t="s">
        <v>127</v>
      </c>
      <c r="D179" s="1" t="s">
        <v>127</v>
      </c>
      <c r="E179" s="1" t="s">
        <v>127</v>
      </c>
      <c r="F179" s="1" t="s">
        <v>127</v>
      </c>
      <c r="G179" s="1" t="s">
        <v>127</v>
      </c>
    </row>
    <row r="180" spans="1:7" x14ac:dyDescent="0.25">
      <c r="A180" s="45" t="s">
        <v>140</v>
      </c>
      <c r="B180" s="45" t="s">
        <v>139</v>
      </c>
      <c r="C180" s="1" t="s">
        <v>490</v>
      </c>
      <c r="D180" s="1" t="s">
        <v>504</v>
      </c>
      <c r="E180" s="1" t="s">
        <v>505</v>
      </c>
      <c r="F180" s="1" t="s">
        <v>490</v>
      </c>
      <c r="G180" s="1" t="s">
        <v>127</v>
      </c>
    </row>
    <row r="181" spans="1:7" x14ac:dyDescent="0.25">
      <c r="A181" s="45" t="s">
        <v>141</v>
      </c>
      <c r="B181" s="45" t="s">
        <v>139</v>
      </c>
      <c r="C181" s="1" t="s">
        <v>127</v>
      </c>
      <c r="D181" s="1" t="s">
        <v>127</v>
      </c>
      <c r="E181" s="1" t="s">
        <v>127</v>
      </c>
      <c r="F181" s="1" t="s">
        <v>127</v>
      </c>
      <c r="G181" s="1" t="s">
        <v>127</v>
      </c>
    </row>
    <row r="182" spans="1:7" x14ac:dyDescent="0.25">
      <c r="A182" s="45" t="s">
        <v>142</v>
      </c>
      <c r="B182" s="45" t="s">
        <v>139</v>
      </c>
      <c r="C182" s="1" t="s">
        <v>127</v>
      </c>
      <c r="D182" s="1" t="s">
        <v>127</v>
      </c>
      <c r="E182" s="1" t="s">
        <v>127</v>
      </c>
      <c r="F182" s="1" t="s">
        <v>127</v>
      </c>
      <c r="G182" s="1" t="s">
        <v>127</v>
      </c>
    </row>
    <row r="183" spans="1:7" x14ac:dyDescent="0.25">
      <c r="A183" s="45" t="s">
        <v>143</v>
      </c>
      <c r="B183" s="45" t="s">
        <v>139</v>
      </c>
      <c r="C183" s="1" t="s">
        <v>127</v>
      </c>
      <c r="D183" s="1" t="s">
        <v>127</v>
      </c>
      <c r="E183" s="1" t="s">
        <v>127</v>
      </c>
      <c r="F183" s="1" t="s">
        <v>127</v>
      </c>
      <c r="G183" s="1" t="s">
        <v>127</v>
      </c>
    </row>
    <row r="184" spans="1:7" x14ac:dyDescent="0.25">
      <c r="A184" s="41" t="s">
        <v>220</v>
      </c>
      <c r="E184" s="84"/>
      <c r="F184" s="84"/>
      <c r="G184" s="84"/>
    </row>
    <row r="185" spans="1:7" x14ac:dyDescent="0.25">
      <c r="A185" t="s">
        <v>221</v>
      </c>
      <c r="B185" s="37" t="s">
        <v>139</v>
      </c>
      <c r="C185" s="1" t="s">
        <v>127</v>
      </c>
      <c r="D185" s="1" t="s">
        <v>127</v>
      </c>
      <c r="E185" s="1" t="s">
        <v>127</v>
      </c>
      <c r="F185" s="1" t="s">
        <v>127</v>
      </c>
      <c r="G185" s="1" t="s">
        <v>127</v>
      </c>
    </row>
    <row r="186" spans="1:7" x14ac:dyDescent="0.25">
      <c r="A186" s="73" t="s">
        <v>222</v>
      </c>
      <c r="B186" s="73" t="s">
        <v>139</v>
      </c>
      <c r="C186" s="1" t="s">
        <v>127</v>
      </c>
      <c r="D186" s="1" t="s">
        <v>127</v>
      </c>
      <c r="E186" s="1" t="s">
        <v>127</v>
      </c>
      <c r="F186" s="1" t="s">
        <v>127</v>
      </c>
      <c r="G186" s="1" t="s">
        <v>127</v>
      </c>
    </row>
    <row r="187" spans="1:7" x14ac:dyDescent="0.25">
      <c r="A187" s="73" t="s">
        <v>223</v>
      </c>
      <c r="B187" s="73" t="s">
        <v>139</v>
      </c>
      <c r="C187" s="1" t="s">
        <v>127</v>
      </c>
      <c r="D187" s="1" t="s">
        <v>127</v>
      </c>
      <c r="E187" s="1" t="s">
        <v>127</v>
      </c>
      <c r="F187" s="1" t="s">
        <v>127</v>
      </c>
      <c r="G187" s="1" t="s">
        <v>127</v>
      </c>
    </row>
    <row r="188" spans="1:7" x14ac:dyDescent="0.25">
      <c r="A188" s="73" t="s">
        <v>224</v>
      </c>
      <c r="B188" s="73" t="s">
        <v>139</v>
      </c>
      <c r="C188" s="1" t="s">
        <v>127</v>
      </c>
      <c r="D188" s="1" t="s">
        <v>127</v>
      </c>
      <c r="E188" s="1" t="s">
        <v>127</v>
      </c>
      <c r="F188" s="1" t="s">
        <v>127</v>
      </c>
      <c r="G188" s="1" t="s">
        <v>127</v>
      </c>
    </row>
    <row r="189" spans="1:7" x14ac:dyDescent="0.25">
      <c r="A189" s="73" t="s">
        <v>225</v>
      </c>
      <c r="B189" s="73" t="s">
        <v>139</v>
      </c>
      <c r="C189" s="1" t="s">
        <v>127</v>
      </c>
      <c r="D189" s="1" t="s">
        <v>127</v>
      </c>
      <c r="E189" s="1" t="s">
        <v>127</v>
      </c>
      <c r="F189" s="1" t="s">
        <v>127</v>
      </c>
      <c r="G189" s="1" t="s">
        <v>127</v>
      </c>
    </row>
    <row r="190" spans="1:7" x14ac:dyDescent="0.25">
      <c r="A190" s="41" t="s">
        <v>226</v>
      </c>
      <c r="E190" s="84"/>
      <c r="F190" s="84"/>
      <c r="G190" s="84"/>
    </row>
    <row r="191" spans="1:7" x14ac:dyDescent="0.25">
      <c r="A191" t="s">
        <v>227</v>
      </c>
      <c r="B191" s="37" t="s">
        <v>228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</row>
    <row r="192" spans="1:7" x14ac:dyDescent="0.25">
      <c r="A192" s="73" t="s">
        <v>229</v>
      </c>
      <c r="B192" s="73" t="s">
        <v>228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</row>
    <row r="193" spans="1:7" x14ac:dyDescent="0.25">
      <c r="A193" s="73" t="s">
        <v>230</v>
      </c>
      <c r="B193" s="73" t="s">
        <v>228</v>
      </c>
      <c r="C193" s="1">
        <v>0</v>
      </c>
      <c r="D193" s="1">
        <v>0</v>
      </c>
      <c r="E193" s="1">
        <v>0</v>
      </c>
      <c r="F193" s="1">
        <v>0</v>
      </c>
      <c r="G193" s="1">
        <v>0</v>
      </c>
    </row>
    <row r="194" spans="1:7" x14ac:dyDescent="0.25">
      <c r="A194" s="73" t="s">
        <v>231</v>
      </c>
      <c r="B194" s="73" t="s">
        <v>228</v>
      </c>
      <c r="C194" s="1">
        <v>0</v>
      </c>
      <c r="D194" s="1">
        <v>0</v>
      </c>
      <c r="E194" s="1">
        <v>0</v>
      </c>
      <c r="F194" s="1">
        <v>0</v>
      </c>
      <c r="G194" s="1">
        <v>0</v>
      </c>
    </row>
    <row r="195" spans="1:7" x14ac:dyDescent="0.25">
      <c r="A195" s="73" t="s">
        <v>232</v>
      </c>
      <c r="B195" s="73" t="s">
        <v>228</v>
      </c>
      <c r="C195" s="1">
        <v>0</v>
      </c>
      <c r="D195" s="1">
        <v>0</v>
      </c>
      <c r="E195" s="1">
        <v>0</v>
      </c>
      <c r="F195" s="1">
        <v>0</v>
      </c>
      <c r="G195" s="1">
        <v>0</v>
      </c>
    </row>
    <row r="196" spans="1:7" x14ac:dyDescent="0.25">
      <c r="E196" s="84"/>
      <c r="F196" s="84"/>
      <c r="G196" s="84"/>
    </row>
    <row r="197" spans="1:7" x14ac:dyDescent="0.25">
      <c r="A197" s="43"/>
      <c r="B197" s="43"/>
      <c r="C197" s="46"/>
      <c r="D197" s="46"/>
      <c r="E197" s="46"/>
      <c r="F197" s="46"/>
      <c r="G197" s="46"/>
    </row>
    <row r="198" spans="1:7" x14ac:dyDescent="0.25">
      <c r="A198" s="73"/>
      <c r="B198" s="73"/>
      <c r="C198" s="73"/>
      <c r="D198" s="73"/>
      <c r="E198" s="84"/>
      <c r="F198" s="84"/>
      <c r="G198" s="84"/>
    </row>
    <row r="199" spans="1:7" ht="21" x14ac:dyDescent="0.35">
      <c r="A199" s="47" t="s">
        <v>253</v>
      </c>
      <c r="B199" s="73"/>
      <c r="C199" s="73"/>
      <c r="D199" s="73"/>
      <c r="E199" s="84"/>
      <c r="F199" s="84"/>
      <c r="G199" s="84"/>
    </row>
    <row r="200" spans="1:7" s="77" customFormat="1" ht="15" customHeight="1" x14ac:dyDescent="0.25">
      <c r="A200" s="4" t="s">
        <v>260</v>
      </c>
      <c r="B200" s="73"/>
      <c r="C200" s="73"/>
      <c r="D200" s="73"/>
      <c r="E200" s="84"/>
      <c r="F200" s="84"/>
      <c r="G200" s="84"/>
    </row>
    <row r="201" spans="1:7" s="77" customFormat="1" ht="15" customHeight="1" x14ac:dyDescent="0.25">
      <c r="A201" s="73" t="s">
        <v>261</v>
      </c>
      <c r="B201" s="73" t="s">
        <v>158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</row>
    <row r="202" spans="1:7" s="77" customFormat="1" ht="15" customHeight="1" x14ac:dyDescent="0.25">
      <c r="A202" s="73" t="s">
        <v>262</v>
      </c>
      <c r="B202" s="73" t="s">
        <v>158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</row>
    <row r="203" spans="1:7" s="77" customFormat="1" ht="15" customHeight="1" x14ac:dyDescent="0.25">
      <c r="A203" s="73" t="s">
        <v>263</v>
      </c>
      <c r="B203" s="73" t="s">
        <v>158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</row>
    <row r="204" spans="1:7" s="77" customFormat="1" ht="15" customHeight="1" x14ac:dyDescent="0.25">
      <c r="A204" s="73" t="s">
        <v>264</v>
      </c>
      <c r="B204" s="73" t="s">
        <v>158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</row>
    <row r="205" spans="1:7" s="77" customFormat="1" ht="15" customHeight="1" x14ac:dyDescent="0.25">
      <c r="A205" s="73" t="s">
        <v>265</v>
      </c>
      <c r="B205" s="73" t="s">
        <v>158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</row>
    <row r="206" spans="1:7" x14ac:dyDescent="0.25">
      <c r="A206" s="4" t="s">
        <v>254</v>
      </c>
      <c r="E206" s="84"/>
      <c r="F206" s="84"/>
      <c r="G206" s="84"/>
    </row>
    <row r="207" spans="1:7" x14ac:dyDescent="0.25">
      <c r="A207" t="s">
        <v>255</v>
      </c>
      <c r="B207" s="73" t="s">
        <v>158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</row>
    <row r="208" spans="1:7" x14ac:dyDescent="0.25">
      <c r="A208" s="73" t="s">
        <v>256</v>
      </c>
      <c r="B208" s="73" t="s">
        <v>158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</row>
    <row r="209" spans="1:7" x14ac:dyDescent="0.25">
      <c r="A209" s="73" t="s">
        <v>257</v>
      </c>
      <c r="B209" s="73" t="s">
        <v>158</v>
      </c>
      <c r="C209" s="1">
        <v>0</v>
      </c>
      <c r="D209" s="1">
        <v>0</v>
      </c>
      <c r="E209" s="1">
        <v>0</v>
      </c>
      <c r="F209" s="1">
        <v>0</v>
      </c>
      <c r="G209" s="1">
        <v>0</v>
      </c>
    </row>
    <row r="210" spans="1:7" x14ac:dyDescent="0.25">
      <c r="A210" s="73" t="s">
        <v>258</v>
      </c>
      <c r="B210" s="73" t="s">
        <v>158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</row>
    <row r="211" spans="1:7" x14ac:dyDescent="0.25">
      <c r="A211" s="73" t="s">
        <v>259</v>
      </c>
      <c r="B211" s="73" t="s">
        <v>158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</row>
  </sheetData>
  <customSheetViews>
    <customSheetView guid="{FE9E7DEF-61E7-497F-AA37-E5D7A2E31674}" scale="70">
      <selection activeCell="D22" sqref="D22"/>
    </customSheetView>
  </customSheetView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6"/>
  <sheetViews>
    <sheetView topLeftCell="A1021" zoomScale="60" zoomScaleNormal="60" workbookViewId="0">
      <selection activeCell="S1040" sqref="S1040"/>
    </sheetView>
  </sheetViews>
  <sheetFormatPr defaultColWidth="17.28515625" defaultRowHeight="15" x14ac:dyDescent="0.25"/>
  <cols>
    <col min="1" max="1" width="45.85546875" style="104" customWidth="1"/>
    <col min="2" max="2" width="14" style="104" customWidth="1"/>
    <col min="3" max="3" width="9.7109375" style="104" customWidth="1"/>
    <col min="4" max="5" width="14" style="104" customWidth="1"/>
    <col min="6" max="6" width="9.28515625" style="104" customWidth="1"/>
    <col min="7" max="7" width="12.85546875" style="104" customWidth="1"/>
    <col min="8" max="8" width="9.28515625" style="104" customWidth="1"/>
    <col min="9" max="9" width="9.7109375" style="104" customWidth="1"/>
    <col min="10" max="15" width="9.28515625" style="104" customWidth="1"/>
    <col min="16" max="16" width="9.7109375" style="104" customWidth="1"/>
    <col min="17" max="18" width="8.7109375" style="104" customWidth="1"/>
    <col min="19" max="21" width="9.7109375" style="104" customWidth="1"/>
    <col min="22" max="33" width="8.7109375" style="104" customWidth="1"/>
    <col min="34" max="16384" width="17.28515625" style="104"/>
  </cols>
  <sheetData>
    <row r="1" spans="1:33" x14ac:dyDescent="0.25">
      <c r="A1" s="84" t="s">
        <v>285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</row>
    <row r="2" spans="1:33" x14ac:dyDescent="0.25">
      <c r="A2" s="84" t="s">
        <v>360</v>
      </c>
      <c r="B2" s="84" t="s">
        <v>18</v>
      </c>
      <c r="C2" s="84" t="s">
        <v>19</v>
      </c>
      <c r="D2" s="84" t="s">
        <v>20</v>
      </c>
      <c r="E2" s="84" t="s">
        <v>21</v>
      </c>
      <c r="F2" s="84" t="s">
        <v>22</v>
      </c>
      <c r="G2" s="84" t="s">
        <v>23</v>
      </c>
      <c r="H2" s="84" t="s">
        <v>361</v>
      </c>
      <c r="I2" s="84" t="s">
        <v>25</v>
      </c>
      <c r="J2" s="84" t="s">
        <v>362</v>
      </c>
      <c r="K2" s="84" t="s">
        <v>5</v>
      </c>
      <c r="L2" s="84" t="s">
        <v>6</v>
      </c>
      <c r="M2" s="84" t="s">
        <v>7</v>
      </c>
      <c r="N2" s="84" t="s">
        <v>8</v>
      </c>
      <c r="O2" s="84" t="s">
        <v>9</v>
      </c>
      <c r="P2" s="84" t="s">
        <v>363</v>
      </c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</row>
    <row r="3" spans="1:33" x14ac:dyDescent="0.25">
      <c r="A3" s="84" t="s">
        <v>364</v>
      </c>
      <c r="B3" s="84" t="s">
        <v>365</v>
      </c>
      <c r="C3" s="84" t="s">
        <v>365</v>
      </c>
      <c r="D3" s="84" t="s">
        <v>365</v>
      </c>
      <c r="E3" s="84" t="s">
        <v>365</v>
      </c>
      <c r="F3" s="84" t="s">
        <v>365</v>
      </c>
      <c r="G3" s="84" t="s">
        <v>365</v>
      </c>
      <c r="H3" s="84" t="s">
        <v>365</v>
      </c>
      <c r="I3" s="84" t="s">
        <v>365</v>
      </c>
      <c r="J3" s="84" t="s">
        <v>365</v>
      </c>
      <c r="K3" s="84" t="s">
        <v>365</v>
      </c>
      <c r="L3" s="84" t="s">
        <v>365</v>
      </c>
      <c r="M3" s="84" t="s">
        <v>365</v>
      </c>
      <c r="N3" s="84" t="s">
        <v>365</v>
      </c>
      <c r="O3" s="84" t="s">
        <v>365</v>
      </c>
      <c r="P3" s="84" t="s">
        <v>365</v>
      </c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</row>
    <row r="4" spans="1:33" x14ac:dyDescent="0.25">
      <c r="A4" s="84" t="s">
        <v>1</v>
      </c>
      <c r="B4" s="84">
        <v>0</v>
      </c>
      <c r="C4" s="84">
        <v>0</v>
      </c>
      <c r="D4" s="84">
        <v>0</v>
      </c>
      <c r="E4" s="84">
        <v>0</v>
      </c>
      <c r="F4" s="84">
        <v>0</v>
      </c>
      <c r="G4" s="84">
        <v>0</v>
      </c>
      <c r="H4" s="84">
        <v>0</v>
      </c>
      <c r="I4" s="84">
        <v>0</v>
      </c>
      <c r="J4" s="84">
        <v>0</v>
      </c>
      <c r="K4" s="84">
        <v>0</v>
      </c>
      <c r="L4" s="84">
        <v>0</v>
      </c>
      <c r="M4" s="84">
        <v>0</v>
      </c>
      <c r="N4" s="84">
        <v>0</v>
      </c>
      <c r="O4" s="84">
        <v>0</v>
      </c>
      <c r="P4" s="84">
        <v>0</v>
      </c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</row>
    <row r="5" spans="1:33" x14ac:dyDescent="0.25">
      <c r="A5" s="84" t="s">
        <v>2</v>
      </c>
      <c r="B5" s="84">
        <v>0</v>
      </c>
      <c r="C5" s="84">
        <v>0</v>
      </c>
      <c r="D5" s="84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0</v>
      </c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</row>
    <row r="6" spans="1:33" x14ac:dyDescent="0.25">
      <c r="A6" s="84" t="s">
        <v>3</v>
      </c>
      <c r="B6" s="84">
        <v>267.44645600000001</v>
      </c>
      <c r="C6" s="84">
        <v>0</v>
      </c>
      <c r="D6" s="84">
        <v>267.44645600000001</v>
      </c>
      <c r="E6" s="84">
        <v>177.84015099999999</v>
      </c>
      <c r="F6" s="84">
        <v>0</v>
      </c>
      <c r="G6" s="84">
        <v>60.848016800000003</v>
      </c>
      <c r="H6" s="84">
        <v>0</v>
      </c>
      <c r="I6" s="84">
        <v>0</v>
      </c>
      <c r="J6" s="84">
        <v>0</v>
      </c>
      <c r="K6" s="84">
        <v>28.758288</v>
      </c>
      <c r="L6" s="84">
        <v>0</v>
      </c>
      <c r="M6" s="84">
        <v>0</v>
      </c>
      <c r="N6" s="84">
        <v>0</v>
      </c>
      <c r="O6" s="84">
        <v>0</v>
      </c>
      <c r="P6" s="84">
        <v>0</v>
      </c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</row>
    <row r="7" spans="1:33" x14ac:dyDescent="0.25">
      <c r="A7" s="84" t="s">
        <v>4</v>
      </c>
      <c r="B7" s="84">
        <v>351.92242800000002</v>
      </c>
      <c r="C7" s="84">
        <v>0</v>
      </c>
      <c r="D7" s="84">
        <v>351.92242800000002</v>
      </c>
      <c r="E7" s="84">
        <v>182.13744600000001</v>
      </c>
      <c r="F7" s="84">
        <v>0</v>
      </c>
      <c r="G7" s="84">
        <v>169.78498200000001</v>
      </c>
      <c r="H7" s="84">
        <v>0</v>
      </c>
      <c r="I7" s="84">
        <v>0</v>
      </c>
      <c r="J7" s="84">
        <v>0</v>
      </c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</v>
      </c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</row>
    <row r="8" spans="1:33" x14ac:dyDescent="0.25">
      <c r="A8" s="84" t="s">
        <v>5</v>
      </c>
      <c r="B8" s="84">
        <v>28.758288</v>
      </c>
      <c r="C8" s="84">
        <v>28.758288</v>
      </c>
      <c r="D8" s="84">
        <v>0</v>
      </c>
      <c r="E8" s="84">
        <v>17.755256500000002</v>
      </c>
      <c r="F8" s="84">
        <v>0</v>
      </c>
      <c r="G8" s="84">
        <v>11.0030316</v>
      </c>
      <c r="H8" s="84">
        <v>0</v>
      </c>
      <c r="I8" s="84">
        <v>0</v>
      </c>
      <c r="J8" s="84">
        <v>0</v>
      </c>
      <c r="K8" s="84">
        <v>0</v>
      </c>
      <c r="L8" s="84">
        <v>0</v>
      </c>
      <c r="M8" s="84">
        <v>0</v>
      </c>
      <c r="N8" s="84">
        <v>0</v>
      </c>
      <c r="O8" s="84">
        <v>0</v>
      </c>
      <c r="P8" s="84">
        <v>0</v>
      </c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</row>
    <row r="9" spans="1:33" x14ac:dyDescent="0.25">
      <c r="A9" s="84" t="s">
        <v>6</v>
      </c>
      <c r="B9" s="84">
        <v>0</v>
      </c>
      <c r="C9" s="84">
        <v>0</v>
      </c>
      <c r="D9" s="84">
        <v>0</v>
      </c>
      <c r="E9" s="84">
        <v>0</v>
      </c>
      <c r="F9" s="84">
        <v>0</v>
      </c>
      <c r="G9" s="84">
        <v>0</v>
      </c>
      <c r="H9" s="84">
        <v>0</v>
      </c>
      <c r="I9" s="84">
        <v>0</v>
      </c>
      <c r="J9" s="84">
        <v>0</v>
      </c>
      <c r="K9" s="84">
        <v>0</v>
      </c>
      <c r="L9" s="84">
        <v>0</v>
      </c>
      <c r="M9" s="84">
        <v>0</v>
      </c>
      <c r="N9" s="84">
        <v>0</v>
      </c>
      <c r="O9" s="84">
        <v>0</v>
      </c>
      <c r="P9" s="84">
        <v>0</v>
      </c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</row>
    <row r="10" spans="1:33" x14ac:dyDescent="0.25">
      <c r="A10" s="84" t="s">
        <v>7</v>
      </c>
      <c r="B10" s="84">
        <v>0</v>
      </c>
      <c r="C10" s="84">
        <v>0</v>
      </c>
      <c r="D10" s="84">
        <v>0</v>
      </c>
      <c r="E10" s="84">
        <v>0</v>
      </c>
      <c r="F10" s="84">
        <v>0</v>
      </c>
      <c r="G10" s="84">
        <v>0</v>
      </c>
      <c r="H10" s="84">
        <v>0</v>
      </c>
      <c r="I10" s="84">
        <v>0</v>
      </c>
      <c r="J10" s="84">
        <v>0</v>
      </c>
      <c r="K10" s="84">
        <v>0</v>
      </c>
      <c r="L10" s="84">
        <v>0</v>
      </c>
      <c r="M10" s="84">
        <v>0</v>
      </c>
      <c r="N10" s="84">
        <v>0</v>
      </c>
      <c r="O10" s="84">
        <v>0</v>
      </c>
      <c r="P10" s="84">
        <v>0</v>
      </c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</row>
    <row r="11" spans="1:33" x14ac:dyDescent="0.25">
      <c r="A11" s="84" t="s">
        <v>8</v>
      </c>
      <c r="B11" s="84">
        <v>0</v>
      </c>
      <c r="C11" s="84">
        <v>0</v>
      </c>
      <c r="D11" s="84">
        <v>0</v>
      </c>
      <c r="E11" s="84">
        <v>0</v>
      </c>
      <c r="F11" s="84">
        <v>0</v>
      </c>
      <c r="G11" s="84">
        <v>0</v>
      </c>
      <c r="H11" s="84">
        <v>0</v>
      </c>
      <c r="I11" s="84">
        <v>0</v>
      </c>
      <c r="J11" s="84">
        <v>0</v>
      </c>
      <c r="K11" s="84">
        <v>0</v>
      </c>
      <c r="L11" s="84">
        <v>0</v>
      </c>
      <c r="M11" s="84">
        <v>0</v>
      </c>
      <c r="N11" s="84">
        <v>0</v>
      </c>
      <c r="O11" s="84">
        <v>0</v>
      </c>
      <c r="P11" s="84">
        <v>0</v>
      </c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</row>
    <row r="12" spans="1:33" x14ac:dyDescent="0.25">
      <c r="A12" s="84" t="s">
        <v>9</v>
      </c>
      <c r="B12" s="84">
        <v>0</v>
      </c>
      <c r="C12" s="84">
        <v>0</v>
      </c>
      <c r="D12" s="84">
        <v>0</v>
      </c>
      <c r="E12" s="84">
        <v>0</v>
      </c>
      <c r="F12" s="84">
        <v>0</v>
      </c>
      <c r="G12" s="84">
        <v>0</v>
      </c>
      <c r="H12" s="84">
        <v>0</v>
      </c>
      <c r="I12" s="84">
        <v>0</v>
      </c>
      <c r="J12" s="84">
        <v>0</v>
      </c>
      <c r="K12" s="84">
        <v>0</v>
      </c>
      <c r="L12" s="84">
        <v>0</v>
      </c>
      <c r="M12" s="84">
        <v>0</v>
      </c>
      <c r="N12" s="84">
        <v>0</v>
      </c>
      <c r="O12" s="84">
        <v>0</v>
      </c>
      <c r="P12" s="84">
        <v>0</v>
      </c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</row>
    <row r="13" spans="1:33" x14ac:dyDescent="0.25">
      <c r="A13" s="84" t="s">
        <v>10</v>
      </c>
      <c r="B13" s="84">
        <v>0</v>
      </c>
      <c r="C13" s="84">
        <v>0</v>
      </c>
      <c r="D13" s="84">
        <v>0</v>
      </c>
      <c r="E13" s="84">
        <v>0</v>
      </c>
      <c r="F13" s="84">
        <v>0</v>
      </c>
      <c r="G13" s="84">
        <v>0</v>
      </c>
      <c r="H13" s="84">
        <v>0</v>
      </c>
      <c r="I13" s="84">
        <v>0</v>
      </c>
      <c r="J13" s="84">
        <v>0</v>
      </c>
      <c r="K13" s="84">
        <v>0</v>
      </c>
      <c r="L13" s="84">
        <v>0</v>
      </c>
      <c r="M13" s="84">
        <v>0</v>
      </c>
      <c r="N13" s="84">
        <v>0</v>
      </c>
      <c r="O13" s="84">
        <v>0</v>
      </c>
      <c r="P13" s="84">
        <v>0</v>
      </c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</row>
    <row r="14" spans="1:33" x14ac:dyDescent="0.25">
      <c r="A14" s="84" t="s">
        <v>11</v>
      </c>
      <c r="B14" s="84">
        <v>0</v>
      </c>
      <c r="C14" s="84">
        <v>0</v>
      </c>
      <c r="D14" s="84">
        <v>0</v>
      </c>
      <c r="E14" s="84">
        <v>0</v>
      </c>
      <c r="F14" s="84">
        <v>0</v>
      </c>
      <c r="G14" s="84">
        <v>0</v>
      </c>
      <c r="H14" s="84">
        <v>0</v>
      </c>
      <c r="I14" s="84">
        <v>0</v>
      </c>
      <c r="J14" s="84">
        <v>0</v>
      </c>
      <c r="K14" s="84">
        <v>0</v>
      </c>
      <c r="L14" s="84">
        <v>0</v>
      </c>
      <c r="M14" s="84">
        <v>0</v>
      </c>
      <c r="N14" s="84">
        <v>0</v>
      </c>
      <c r="O14" s="84">
        <v>0</v>
      </c>
      <c r="P14" s="84">
        <v>0</v>
      </c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</row>
    <row r="15" spans="1:33" x14ac:dyDescent="0.25">
      <c r="A15" s="84" t="s">
        <v>12</v>
      </c>
      <c r="B15" s="84">
        <v>0</v>
      </c>
      <c r="C15" s="84">
        <v>0</v>
      </c>
      <c r="D15" s="84">
        <v>0</v>
      </c>
      <c r="E15" s="84">
        <v>0</v>
      </c>
      <c r="F15" s="84">
        <v>0</v>
      </c>
      <c r="G15" s="84">
        <v>0</v>
      </c>
      <c r="H15" s="84">
        <v>0</v>
      </c>
      <c r="I15" s="84">
        <v>0</v>
      </c>
      <c r="J15" s="84">
        <v>0</v>
      </c>
      <c r="K15" s="84">
        <v>0</v>
      </c>
      <c r="L15" s="84">
        <v>0</v>
      </c>
      <c r="M15" s="84">
        <v>0</v>
      </c>
      <c r="N15" s="84">
        <v>0</v>
      </c>
      <c r="O15" s="84">
        <v>0</v>
      </c>
      <c r="P15" s="84">
        <v>0</v>
      </c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</row>
    <row r="16" spans="1:33" x14ac:dyDescent="0.25">
      <c r="A16" s="84" t="s">
        <v>13</v>
      </c>
      <c r="B16" s="84">
        <v>0</v>
      </c>
      <c r="C16" s="84">
        <v>0</v>
      </c>
      <c r="D16" s="84">
        <v>0</v>
      </c>
      <c r="E16" s="84">
        <v>0</v>
      </c>
      <c r="F16" s="84">
        <v>0</v>
      </c>
      <c r="G16" s="84">
        <v>0</v>
      </c>
      <c r="H16" s="84">
        <v>0</v>
      </c>
      <c r="I16" s="84">
        <v>0</v>
      </c>
      <c r="J16" s="84">
        <v>0</v>
      </c>
      <c r="K16" s="84">
        <v>0</v>
      </c>
      <c r="L16" s="84">
        <v>0</v>
      </c>
      <c r="M16" s="84">
        <v>0</v>
      </c>
      <c r="N16" s="84">
        <v>0</v>
      </c>
      <c r="O16" s="84">
        <v>0</v>
      </c>
      <c r="P16" s="84">
        <v>0</v>
      </c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</row>
    <row r="17" spans="1:33" x14ac:dyDescent="0.25">
      <c r="A17" s="84" t="s">
        <v>14</v>
      </c>
      <c r="B17" s="84">
        <v>0</v>
      </c>
      <c r="C17" s="84">
        <v>0</v>
      </c>
      <c r="D17" s="84">
        <v>0</v>
      </c>
      <c r="E17" s="84">
        <v>0</v>
      </c>
      <c r="F17" s="84">
        <v>0</v>
      </c>
      <c r="G17" s="84">
        <v>0</v>
      </c>
      <c r="H17" s="84">
        <v>0</v>
      </c>
      <c r="I17" s="84">
        <v>0</v>
      </c>
      <c r="J17" s="84">
        <v>0</v>
      </c>
      <c r="K17" s="84">
        <v>0</v>
      </c>
      <c r="L17" s="84">
        <v>0</v>
      </c>
      <c r="M17" s="84">
        <v>0</v>
      </c>
      <c r="N17" s="84">
        <v>0</v>
      </c>
      <c r="O17" s="84">
        <v>0</v>
      </c>
      <c r="P17" s="84">
        <v>0</v>
      </c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</row>
    <row r="18" spans="1:33" x14ac:dyDescent="0.25">
      <c r="A18" s="84" t="s">
        <v>286</v>
      </c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</row>
    <row r="19" spans="1:33" x14ac:dyDescent="0.25">
      <c r="A19" s="84" t="s">
        <v>360</v>
      </c>
      <c r="B19" s="84" t="s">
        <v>366</v>
      </c>
      <c r="C19" s="84" t="s">
        <v>367</v>
      </c>
      <c r="D19" s="84" t="s">
        <v>368</v>
      </c>
      <c r="E19" s="84" t="s">
        <v>21</v>
      </c>
      <c r="F19" s="84" t="s">
        <v>22</v>
      </c>
      <c r="G19" s="84" t="s">
        <v>23</v>
      </c>
      <c r="H19" s="84" t="s">
        <v>361</v>
      </c>
      <c r="I19" s="84" t="s">
        <v>25</v>
      </c>
      <c r="J19" s="84" t="s">
        <v>362</v>
      </c>
      <c r="K19" s="84" t="s">
        <v>5</v>
      </c>
      <c r="L19" s="84" t="s">
        <v>6</v>
      </c>
      <c r="M19" s="84" t="s">
        <v>7</v>
      </c>
      <c r="N19" s="84" t="s">
        <v>8</v>
      </c>
      <c r="O19" s="84" t="s">
        <v>9</v>
      </c>
      <c r="P19" s="84" t="s">
        <v>363</v>
      </c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</row>
    <row r="20" spans="1:33" x14ac:dyDescent="0.25">
      <c r="A20" s="84" t="s">
        <v>364</v>
      </c>
      <c r="B20" s="84" t="s">
        <v>369</v>
      </c>
      <c r="C20" s="84" t="s">
        <v>369</v>
      </c>
      <c r="D20" s="84" t="s">
        <v>369</v>
      </c>
      <c r="E20" s="84" t="s">
        <v>369</v>
      </c>
      <c r="F20" s="84" t="s">
        <v>369</v>
      </c>
      <c r="G20" s="84" t="s">
        <v>369</v>
      </c>
      <c r="H20" s="84" t="s">
        <v>369</v>
      </c>
      <c r="I20" s="84" t="s">
        <v>369</v>
      </c>
      <c r="J20" s="84" t="s">
        <v>369</v>
      </c>
      <c r="K20" s="84" t="s">
        <v>369</v>
      </c>
      <c r="L20" s="84" t="s">
        <v>369</v>
      </c>
      <c r="M20" s="84" t="s">
        <v>369</v>
      </c>
      <c r="N20" s="84" t="s">
        <v>369</v>
      </c>
      <c r="O20" s="84" t="s">
        <v>369</v>
      </c>
      <c r="P20" s="84" t="s">
        <v>369</v>
      </c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</row>
    <row r="21" spans="1:33" x14ac:dyDescent="0.25">
      <c r="A21" s="84" t="s">
        <v>1</v>
      </c>
      <c r="B21" s="84">
        <v>0</v>
      </c>
      <c r="C21" s="84">
        <v>0</v>
      </c>
      <c r="D21" s="84">
        <v>0</v>
      </c>
      <c r="E21" s="84">
        <v>0</v>
      </c>
      <c r="F21" s="84">
        <v>0</v>
      </c>
      <c r="G21" s="84">
        <v>0</v>
      </c>
      <c r="H21" s="84">
        <v>0</v>
      </c>
      <c r="I21" s="84">
        <v>0</v>
      </c>
      <c r="J21" s="84">
        <v>0</v>
      </c>
      <c r="K21" s="84">
        <v>0</v>
      </c>
      <c r="L21" s="84">
        <v>0</v>
      </c>
      <c r="M21" s="84">
        <v>0</v>
      </c>
      <c r="N21" s="84">
        <v>0</v>
      </c>
      <c r="O21" s="84">
        <v>0</v>
      </c>
      <c r="P21" s="84">
        <v>0</v>
      </c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</row>
    <row r="22" spans="1:33" x14ac:dyDescent="0.25">
      <c r="A22" s="84" t="s">
        <v>2</v>
      </c>
      <c r="B22" s="84">
        <v>13.3593265</v>
      </c>
      <c r="C22" s="84">
        <v>0</v>
      </c>
      <c r="D22" s="84">
        <v>13.3593265</v>
      </c>
      <c r="E22" s="84">
        <v>0</v>
      </c>
      <c r="F22" s="84">
        <v>0</v>
      </c>
      <c r="G22" s="84">
        <v>0</v>
      </c>
      <c r="H22" s="84">
        <v>0</v>
      </c>
      <c r="I22" s="84">
        <v>0</v>
      </c>
      <c r="J22" s="84">
        <v>0</v>
      </c>
      <c r="K22" s="84">
        <v>13.3593265</v>
      </c>
      <c r="L22" s="84">
        <v>0</v>
      </c>
      <c r="M22" s="84">
        <v>0</v>
      </c>
      <c r="N22" s="84">
        <v>0</v>
      </c>
      <c r="O22" s="84">
        <v>0</v>
      </c>
      <c r="P22" s="84">
        <v>0</v>
      </c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</row>
    <row r="23" spans="1:33" x14ac:dyDescent="0.25">
      <c r="A23" s="84" t="s">
        <v>3</v>
      </c>
      <c r="B23" s="84">
        <v>87.018183100000002</v>
      </c>
      <c r="C23" s="84">
        <v>0</v>
      </c>
      <c r="D23" s="84">
        <v>87.018183100000002</v>
      </c>
      <c r="E23" s="84">
        <v>59.656589599999997</v>
      </c>
      <c r="F23" s="84">
        <v>0</v>
      </c>
      <c r="G23" s="84">
        <v>20.611833000000001</v>
      </c>
      <c r="H23" s="84">
        <v>0</v>
      </c>
      <c r="I23" s="84">
        <v>0</v>
      </c>
      <c r="J23" s="84">
        <v>0</v>
      </c>
      <c r="K23" s="84">
        <v>6.74976048</v>
      </c>
      <c r="L23" s="84">
        <v>0</v>
      </c>
      <c r="M23" s="84">
        <v>0</v>
      </c>
      <c r="N23" s="84">
        <v>0</v>
      </c>
      <c r="O23" s="84">
        <v>0</v>
      </c>
      <c r="P23" s="74">
        <v>8.2945916800000002E-15</v>
      </c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105"/>
    </row>
    <row r="24" spans="1:33" x14ac:dyDescent="0.25">
      <c r="A24" s="84" t="s">
        <v>4</v>
      </c>
      <c r="B24" s="84">
        <v>96.063698299999999</v>
      </c>
      <c r="C24" s="84">
        <v>0</v>
      </c>
      <c r="D24" s="84">
        <v>96.063698299999999</v>
      </c>
      <c r="E24" s="84">
        <v>54.747542500000002</v>
      </c>
      <c r="F24" s="84">
        <v>0</v>
      </c>
      <c r="G24" s="84">
        <v>41.316155799999997</v>
      </c>
      <c r="H24" s="84">
        <v>0</v>
      </c>
      <c r="I24" s="84">
        <v>0</v>
      </c>
      <c r="J24" s="84">
        <v>0</v>
      </c>
      <c r="K24" s="84">
        <v>0</v>
      </c>
      <c r="L24" s="84">
        <v>0</v>
      </c>
      <c r="M24" s="84">
        <v>0</v>
      </c>
      <c r="N24" s="84">
        <v>0</v>
      </c>
      <c r="O24" s="84">
        <v>0</v>
      </c>
      <c r="P24" s="74">
        <v>-1.90241735E-13</v>
      </c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105"/>
    </row>
    <row r="25" spans="1:33" x14ac:dyDescent="0.25">
      <c r="A25" s="84" t="s">
        <v>5</v>
      </c>
      <c r="B25" s="84">
        <v>60.398002099999999</v>
      </c>
      <c r="C25" s="84">
        <v>62.260054599999997</v>
      </c>
      <c r="D25" s="84">
        <v>-1.86205252</v>
      </c>
      <c r="E25" s="84">
        <v>35.618138299999998</v>
      </c>
      <c r="F25" s="84">
        <v>0</v>
      </c>
      <c r="G25" s="84">
        <v>24.779863800000001</v>
      </c>
      <c r="H25" s="84">
        <v>0</v>
      </c>
      <c r="I25" s="84">
        <v>0</v>
      </c>
      <c r="J25" s="84">
        <v>0</v>
      </c>
      <c r="K25" s="84">
        <v>0</v>
      </c>
      <c r="L25" s="84">
        <v>0</v>
      </c>
      <c r="M25" s="84">
        <v>0</v>
      </c>
      <c r="N25" s="84">
        <v>0</v>
      </c>
      <c r="O25" s="84">
        <v>0</v>
      </c>
      <c r="P25" s="84">
        <v>0</v>
      </c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</row>
    <row r="26" spans="1:33" x14ac:dyDescent="0.25">
      <c r="A26" s="84" t="s">
        <v>6</v>
      </c>
      <c r="B26" s="84">
        <v>0</v>
      </c>
      <c r="C26" s="84">
        <v>0</v>
      </c>
      <c r="D26" s="84">
        <v>0</v>
      </c>
      <c r="E26" s="84">
        <v>0</v>
      </c>
      <c r="F26" s="84">
        <v>0</v>
      </c>
      <c r="G26" s="84">
        <v>0</v>
      </c>
      <c r="H26" s="84">
        <v>0</v>
      </c>
      <c r="I26" s="84">
        <v>0</v>
      </c>
      <c r="J26" s="84">
        <v>0</v>
      </c>
      <c r="K26" s="84">
        <v>0</v>
      </c>
      <c r="L26" s="84">
        <v>0</v>
      </c>
      <c r="M26" s="84">
        <v>0</v>
      </c>
      <c r="N26" s="84">
        <v>0</v>
      </c>
      <c r="O26" s="84">
        <v>0</v>
      </c>
      <c r="P26" s="84">
        <v>0</v>
      </c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</row>
    <row r="27" spans="1:33" x14ac:dyDescent="0.25">
      <c r="A27" s="84" t="s">
        <v>7</v>
      </c>
      <c r="B27" s="84">
        <v>0</v>
      </c>
      <c r="C27" s="84">
        <v>0</v>
      </c>
      <c r="D27" s="84">
        <v>0</v>
      </c>
      <c r="E27" s="84">
        <v>0</v>
      </c>
      <c r="F27" s="84">
        <v>0</v>
      </c>
      <c r="G27" s="84">
        <v>0</v>
      </c>
      <c r="H27" s="84">
        <v>0</v>
      </c>
      <c r="I27" s="84">
        <v>0</v>
      </c>
      <c r="J27" s="84">
        <v>0</v>
      </c>
      <c r="K27" s="84">
        <v>0</v>
      </c>
      <c r="L27" s="84">
        <v>0</v>
      </c>
      <c r="M27" s="84">
        <v>0</v>
      </c>
      <c r="N27" s="84">
        <v>0</v>
      </c>
      <c r="O27" s="84">
        <v>0</v>
      </c>
      <c r="P27" s="84">
        <v>0</v>
      </c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</row>
    <row r="28" spans="1:33" x14ac:dyDescent="0.25">
      <c r="A28" s="84" t="s">
        <v>8</v>
      </c>
      <c r="B28" s="84">
        <v>0</v>
      </c>
      <c r="C28" s="84">
        <v>0</v>
      </c>
      <c r="D28" s="84">
        <v>0</v>
      </c>
      <c r="E28" s="84">
        <v>0</v>
      </c>
      <c r="F28" s="84">
        <v>0</v>
      </c>
      <c r="G28" s="84">
        <v>0</v>
      </c>
      <c r="H28" s="84">
        <v>0</v>
      </c>
      <c r="I28" s="84">
        <v>0</v>
      </c>
      <c r="J28" s="84">
        <v>0</v>
      </c>
      <c r="K28" s="84">
        <v>0</v>
      </c>
      <c r="L28" s="84">
        <v>0</v>
      </c>
      <c r="M28" s="84">
        <v>0</v>
      </c>
      <c r="N28" s="84">
        <v>0</v>
      </c>
      <c r="O28" s="84">
        <v>0</v>
      </c>
      <c r="P28" s="84">
        <v>0</v>
      </c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</row>
    <row r="29" spans="1:33" x14ac:dyDescent="0.25">
      <c r="A29" s="84" t="s">
        <v>9</v>
      </c>
      <c r="B29" s="84">
        <v>0</v>
      </c>
      <c r="C29" s="84">
        <v>0</v>
      </c>
      <c r="D29" s="84">
        <v>0</v>
      </c>
      <c r="E29" s="84">
        <v>0</v>
      </c>
      <c r="F29" s="84">
        <v>0</v>
      </c>
      <c r="G29" s="84">
        <v>0</v>
      </c>
      <c r="H29" s="84">
        <v>0</v>
      </c>
      <c r="I29" s="84">
        <v>0</v>
      </c>
      <c r="J29" s="84">
        <v>0</v>
      </c>
      <c r="K29" s="84">
        <v>0</v>
      </c>
      <c r="L29" s="84">
        <v>0</v>
      </c>
      <c r="M29" s="84">
        <v>0</v>
      </c>
      <c r="N29" s="84">
        <v>0</v>
      </c>
      <c r="O29" s="84">
        <v>0</v>
      </c>
      <c r="P29" s="84">
        <v>0</v>
      </c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</row>
    <row r="30" spans="1:33" x14ac:dyDescent="0.25">
      <c r="A30" s="84" t="s">
        <v>10</v>
      </c>
      <c r="B30" s="84">
        <v>27.476899100000001</v>
      </c>
      <c r="C30" s="84">
        <v>0</v>
      </c>
      <c r="D30" s="84">
        <v>27.476899100000001</v>
      </c>
      <c r="E30" s="84">
        <v>0</v>
      </c>
      <c r="F30" s="84">
        <v>0</v>
      </c>
      <c r="G30" s="84">
        <v>0</v>
      </c>
      <c r="H30" s="84">
        <v>0</v>
      </c>
      <c r="I30" s="84">
        <v>0</v>
      </c>
      <c r="J30" s="84">
        <v>0</v>
      </c>
      <c r="K30" s="84">
        <v>27.476899100000001</v>
      </c>
      <c r="L30" s="84">
        <v>0</v>
      </c>
      <c r="M30" s="84">
        <v>0</v>
      </c>
      <c r="N30" s="84">
        <v>0</v>
      </c>
      <c r="O30" s="84">
        <v>0</v>
      </c>
      <c r="P30" s="84">
        <v>0</v>
      </c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</row>
    <row r="31" spans="1:33" x14ac:dyDescent="0.25">
      <c r="A31" s="84" t="s">
        <v>11</v>
      </c>
      <c r="B31" s="84">
        <v>1.55031907</v>
      </c>
      <c r="C31" s="84">
        <v>0</v>
      </c>
      <c r="D31" s="84">
        <v>1.55031907</v>
      </c>
      <c r="E31" s="84">
        <v>0.80236760600000001</v>
      </c>
      <c r="F31" s="84">
        <v>0</v>
      </c>
      <c r="G31" s="84">
        <v>0.74795146099999998</v>
      </c>
      <c r="H31" s="84">
        <v>0</v>
      </c>
      <c r="I31" s="84">
        <v>0</v>
      </c>
      <c r="J31" s="84">
        <v>0</v>
      </c>
      <c r="K31" s="84">
        <v>0</v>
      </c>
      <c r="L31" s="84">
        <v>0</v>
      </c>
      <c r="M31" s="84">
        <v>0</v>
      </c>
      <c r="N31" s="84">
        <v>0</v>
      </c>
      <c r="O31" s="84">
        <v>0</v>
      </c>
      <c r="P31" s="84">
        <v>0</v>
      </c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</row>
    <row r="32" spans="1:33" x14ac:dyDescent="0.25">
      <c r="A32" s="84" t="s">
        <v>12</v>
      </c>
      <c r="B32" s="84">
        <v>77.380985600000002</v>
      </c>
      <c r="C32" s="74">
        <v>-1.8194714400000001E-13</v>
      </c>
      <c r="D32" s="84">
        <v>77.380985600000002</v>
      </c>
      <c r="E32" s="84">
        <v>62.626249000000001</v>
      </c>
      <c r="F32" s="84">
        <v>0</v>
      </c>
      <c r="G32" s="84">
        <v>12.2235765</v>
      </c>
      <c r="H32" s="84">
        <v>0</v>
      </c>
      <c r="I32" s="84">
        <v>0</v>
      </c>
      <c r="J32" s="84">
        <v>0</v>
      </c>
      <c r="K32" s="84">
        <v>2.5311601800000001</v>
      </c>
      <c r="L32" s="84">
        <v>0</v>
      </c>
      <c r="M32" s="84">
        <v>0</v>
      </c>
      <c r="N32" s="84">
        <v>0</v>
      </c>
      <c r="O32" s="84">
        <v>0</v>
      </c>
      <c r="P32" s="84">
        <v>0</v>
      </c>
      <c r="R32" s="77"/>
      <c r="S32" s="77"/>
      <c r="T32" s="105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</row>
    <row r="33" spans="1:33" x14ac:dyDescent="0.25">
      <c r="A33" s="84" t="s">
        <v>13</v>
      </c>
      <c r="B33" s="84">
        <v>52.698576899999999</v>
      </c>
      <c r="C33" s="84">
        <v>0</v>
      </c>
      <c r="D33" s="84">
        <v>52.698576899999999</v>
      </c>
      <c r="E33" s="84">
        <v>40.555668500000003</v>
      </c>
      <c r="F33" s="84">
        <v>0</v>
      </c>
      <c r="G33" s="84">
        <v>0</v>
      </c>
      <c r="H33" s="84">
        <v>0</v>
      </c>
      <c r="I33" s="84">
        <v>0</v>
      </c>
      <c r="J33" s="84">
        <v>0</v>
      </c>
      <c r="K33" s="84">
        <v>12.1429083</v>
      </c>
      <c r="L33" s="84">
        <v>0</v>
      </c>
      <c r="M33" s="84">
        <v>0</v>
      </c>
      <c r="N33" s="84">
        <v>0</v>
      </c>
      <c r="O33" s="84">
        <v>0</v>
      </c>
      <c r="P33" s="84">
        <v>0</v>
      </c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</row>
    <row r="34" spans="1:33" x14ac:dyDescent="0.25">
      <c r="A34" s="84" t="s">
        <v>14</v>
      </c>
      <c r="B34" s="74">
        <v>-1.11013651E-13</v>
      </c>
      <c r="C34" s="84">
        <v>0</v>
      </c>
      <c r="D34" s="74">
        <v>-1.11013651E-13</v>
      </c>
      <c r="E34" s="74">
        <v>-8.8661909099999998E-14</v>
      </c>
      <c r="F34" s="84">
        <v>0</v>
      </c>
      <c r="G34" s="74">
        <v>-2.2351741799999999E-14</v>
      </c>
      <c r="H34" s="84">
        <v>0</v>
      </c>
      <c r="I34" s="84">
        <v>0</v>
      </c>
      <c r="J34" s="84">
        <v>0</v>
      </c>
      <c r="K34" s="84">
        <v>0</v>
      </c>
      <c r="L34" s="84">
        <v>0</v>
      </c>
      <c r="M34" s="84">
        <v>0</v>
      </c>
      <c r="N34" s="84">
        <v>0</v>
      </c>
      <c r="O34" s="84">
        <v>0</v>
      </c>
      <c r="P34" s="84">
        <v>0</v>
      </c>
      <c r="R34" s="77"/>
      <c r="S34" s="105"/>
      <c r="T34" s="77"/>
      <c r="U34" s="105"/>
      <c r="V34" s="105"/>
      <c r="W34" s="77"/>
      <c r="X34" s="105"/>
      <c r="Y34" s="77"/>
      <c r="Z34" s="105"/>
      <c r="AA34" s="77"/>
      <c r="AB34" s="77"/>
      <c r="AC34" s="77"/>
      <c r="AD34" s="77"/>
      <c r="AE34" s="77"/>
      <c r="AF34" s="77"/>
      <c r="AG34" s="77"/>
    </row>
    <row r="35" spans="1:33" x14ac:dyDescent="0.25">
      <c r="A35" s="84" t="s">
        <v>287</v>
      </c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</row>
    <row r="36" spans="1:33" x14ac:dyDescent="0.25">
      <c r="A36" s="84" t="s">
        <v>360</v>
      </c>
      <c r="B36" s="84" t="s">
        <v>18</v>
      </c>
      <c r="C36" s="84" t="s">
        <v>19</v>
      </c>
      <c r="D36" s="84" t="s">
        <v>20</v>
      </c>
      <c r="E36" s="84" t="s">
        <v>21</v>
      </c>
      <c r="F36" s="84" t="s">
        <v>22</v>
      </c>
      <c r="G36" s="84" t="s">
        <v>23</v>
      </c>
      <c r="H36" s="84" t="s">
        <v>361</v>
      </c>
      <c r="I36" s="84" t="s">
        <v>25</v>
      </c>
      <c r="J36" s="84" t="s">
        <v>362</v>
      </c>
      <c r="K36" s="84" t="s">
        <v>5</v>
      </c>
      <c r="L36" s="84" t="s">
        <v>6</v>
      </c>
      <c r="M36" s="84" t="s">
        <v>7</v>
      </c>
      <c r="N36" s="84" t="s">
        <v>8</v>
      </c>
      <c r="O36" s="84" t="s">
        <v>9</v>
      </c>
      <c r="P36" s="84" t="s">
        <v>363</v>
      </c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</row>
    <row r="37" spans="1:33" x14ac:dyDescent="0.25">
      <c r="A37" s="84" t="s">
        <v>364</v>
      </c>
      <c r="B37" s="84" t="s">
        <v>370</v>
      </c>
      <c r="C37" s="84" t="s">
        <v>370</v>
      </c>
      <c r="D37" s="84" t="s">
        <v>370</v>
      </c>
      <c r="E37" s="84" t="s">
        <v>370</v>
      </c>
      <c r="F37" s="84" t="s">
        <v>370</v>
      </c>
      <c r="G37" s="84" t="s">
        <v>370</v>
      </c>
      <c r="H37" s="84" t="s">
        <v>370</v>
      </c>
      <c r="I37" s="84" t="s">
        <v>370</v>
      </c>
      <c r="J37" s="84" t="s">
        <v>370</v>
      </c>
      <c r="K37" s="84" t="s">
        <v>370</v>
      </c>
      <c r="L37" s="84" t="s">
        <v>370</v>
      </c>
      <c r="M37" s="84" t="s">
        <v>370</v>
      </c>
      <c r="N37" s="84" t="s">
        <v>370</v>
      </c>
      <c r="O37" s="84" t="s">
        <v>370</v>
      </c>
      <c r="P37" s="84" t="s">
        <v>370</v>
      </c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</row>
    <row r="38" spans="1:33" x14ac:dyDescent="0.25">
      <c r="A38" s="84" t="s">
        <v>1</v>
      </c>
      <c r="B38" s="84">
        <v>0</v>
      </c>
      <c r="C38" s="84">
        <v>0</v>
      </c>
      <c r="D38" s="84">
        <v>0</v>
      </c>
      <c r="E38" s="84">
        <v>0</v>
      </c>
      <c r="F38" s="84">
        <v>0</v>
      </c>
      <c r="G38" s="84">
        <v>0</v>
      </c>
      <c r="H38" s="84">
        <v>0</v>
      </c>
      <c r="I38" s="84">
        <v>0</v>
      </c>
      <c r="J38" s="84">
        <v>0</v>
      </c>
      <c r="K38" s="84">
        <v>0</v>
      </c>
      <c r="L38" s="84">
        <v>0</v>
      </c>
      <c r="M38" s="84">
        <v>0</v>
      </c>
      <c r="N38" s="84">
        <v>0</v>
      </c>
      <c r="O38" s="84">
        <v>0</v>
      </c>
      <c r="P38" s="84">
        <v>0</v>
      </c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</row>
    <row r="39" spans="1:33" x14ac:dyDescent="0.25">
      <c r="A39" s="84" t="s">
        <v>2</v>
      </c>
      <c r="B39" s="84">
        <v>2.1022093100000001</v>
      </c>
      <c r="C39" s="84">
        <v>0</v>
      </c>
      <c r="D39" s="84">
        <v>2.1022093100000001</v>
      </c>
      <c r="E39" s="84">
        <v>0</v>
      </c>
      <c r="F39" s="84">
        <v>0</v>
      </c>
      <c r="G39" s="84">
        <v>0</v>
      </c>
      <c r="H39" s="84">
        <v>0</v>
      </c>
      <c r="I39" s="84">
        <v>0</v>
      </c>
      <c r="J39" s="84">
        <v>0</v>
      </c>
      <c r="K39" s="84">
        <v>2.1022093100000001</v>
      </c>
      <c r="L39" s="84">
        <v>0</v>
      </c>
      <c r="M39" s="84">
        <v>0</v>
      </c>
      <c r="N39" s="84">
        <v>0</v>
      </c>
      <c r="O39" s="84">
        <v>0</v>
      </c>
      <c r="P39" s="84">
        <v>0</v>
      </c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</row>
    <row r="40" spans="1:33" x14ac:dyDescent="0.25">
      <c r="A40" s="84" t="s">
        <v>3</v>
      </c>
      <c r="B40" s="84">
        <v>5.2838204400000004</v>
      </c>
      <c r="C40" s="84">
        <v>0</v>
      </c>
      <c r="D40" s="84">
        <v>5.2838204400000004</v>
      </c>
      <c r="E40" s="84">
        <v>3.5135086100000001</v>
      </c>
      <c r="F40" s="84">
        <v>0</v>
      </c>
      <c r="G40" s="84">
        <v>1.2021471500000001</v>
      </c>
      <c r="H40" s="84">
        <v>0</v>
      </c>
      <c r="I40" s="84">
        <v>0</v>
      </c>
      <c r="J40" s="84">
        <v>0</v>
      </c>
      <c r="K40" s="84">
        <v>0.56816467900000001</v>
      </c>
      <c r="L40" s="84">
        <v>0</v>
      </c>
      <c r="M40" s="84">
        <v>0</v>
      </c>
      <c r="N40" s="84">
        <v>0</v>
      </c>
      <c r="O40" s="84">
        <v>0</v>
      </c>
      <c r="P40" s="84">
        <v>0</v>
      </c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</row>
    <row r="41" spans="1:33" x14ac:dyDescent="0.25">
      <c r="A41" s="84" t="s">
        <v>4</v>
      </c>
      <c r="B41" s="84">
        <v>2.7905743200000002</v>
      </c>
      <c r="C41" s="84">
        <v>0</v>
      </c>
      <c r="D41" s="84">
        <v>2.7905743200000002</v>
      </c>
      <c r="E41" s="84">
        <v>1.44426169</v>
      </c>
      <c r="F41" s="84">
        <v>0</v>
      </c>
      <c r="G41" s="84">
        <v>1.3463126299999999</v>
      </c>
      <c r="H41" s="84">
        <v>0</v>
      </c>
      <c r="I41" s="84">
        <v>0</v>
      </c>
      <c r="J41" s="84">
        <v>0</v>
      </c>
      <c r="K41" s="84">
        <v>0</v>
      </c>
      <c r="L41" s="84">
        <v>0</v>
      </c>
      <c r="M41" s="84">
        <v>0</v>
      </c>
      <c r="N41" s="84">
        <v>0</v>
      </c>
      <c r="O41" s="84">
        <v>0</v>
      </c>
      <c r="P41" s="84">
        <v>0</v>
      </c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</row>
    <row r="42" spans="1:33" x14ac:dyDescent="0.25">
      <c r="A42" s="84" t="s">
        <v>5</v>
      </c>
      <c r="B42" s="84">
        <v>2.1022093100000001</v>
      </c>
      <c r="C42" s="84">
        <v>2.6703739899999999</v>
      </c>
      <c r="D42" s="84">
        <v>-0.56816467900000001</v>
      </c>
      <c r="E42" s="84">
        <v>1.29789595</v>
      </c>
      <c r="F42" s="84">
        <v>0</v>
      </c>
      <c r="G42" s="84">
        <v>0.80431336499999995</v>
      </c>
      <c r="H42" s="84">
        <v>0</v>
      </c>
      <c r="I42" s="84">
        <v>0</v>
      </c>
      <c r="J42" s="84">
        <v>0</v>
      </c>
      <c r="K42" s="84">
        <v>0</v>
      </c>
      <c r="L42" s="84">
        <v>0</v>
      </c>
      <c r="M42" s="84">
        <v>0</v>
      </c>
      <c r="N42" s="84">
        <v>0</v>
      </c>
      <c r="O42" s="84">
        <v>0</v>
      </c>
      <c r="P42" s="84">
        <v>0</v>
      </c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</row>
    <row r="43" spans="1:33" x14ac:dyDescent="0.25">
      <c r="A43" s="84" t="s">
        <v>6</v>
      </c>
      <c r="B43" s="84">
        <v>0</v>
      </c>
      <c r="C43" s="84">
        <v>0</v>
      </c>
      <c r="D43" s="84">
        <v>0</v>
      </c>
      <c r="E43" s="84">
        <v>0</v>
      </c>
      <c r="F43" s="84">
        <v>0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0</v>
      </c>
      <c r="M43" s="84">
        <v>0</v>
      </c>
      <c r="N43" s="84">
        <v>0</v>
      </c>
      <c r="O43" s="84">
        <v>0</v>
      </c>
      <c r="P43" s="84">
        <v>0</v>
      </c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</row>
    <row r="44" spans="1:33" x14ac:dyDescent="0.25">
      <c r="A44" s="84" t="s">
        <v>7</v>
      </c>
      <c r="B44" s="84">
        <v>0</v>
      </c>
      <c r="C44" s="84">
        <v>0</v>
      </c>
      <c r="D44" s="84">
        <v>0</v>
      </c>
      <c r="E44" s="84">
        <v>0</v>
      </c>
      <c r="F44" s="84">
        <v>0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0</v>
      </c>
      <c r="M44" s="84">
        <v>0</v>
      </c>
      <c r="N44" s="84">
        <v>0</v>
      </c>
      <c r="O44" s="84">
        <v>0</v>
      </c>
      <c r="P44" s="84">
        <v>0</v>
      </c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</row>
    <row r="45" spans="1:33" x14ac:dyDescent="0.25">
      <c r="A45" s="84" t="s">
        <v>8</v>
      </c>
      <c r="B45" s="84">
        <v>0</v>
      </c>
      <c r="C45" s="84">
        <v>0</v>
      </c>
      <c r="D45" s="84">
        <v>0</v>
      </c>
      <c r="E45" s="84">
        <v>0</v>
      </c>
      <c r="F45" s="84">
        <v>0</v>
      </c>
      <c r="G45" s="84">
        <v>0</v>
      </c>
      <c r="H45" s="84">
        <v>0</v>
      </c>
      <c r="I45" s="84">
        <v>0</v>
      </c>
      <c r="J45" s="84">
        <v>0</v>
      </c>
      <c r="K45" s="84">
        <v>0</v>
      </c>
      <c r="L45" s="84">
        <v>0</v>
      </c>
      <c r="M45" s="84">
        <v>0</v>
      </c>
      <c r="N45" s="84">
        <v>0</v>
      </c>
      <c r="O45" s="84">
        <v>0</v>
      </c>
      <c r="P45" s="84">
        <v>0</v>
      </c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</row>
    <row r="46" spans="1:33" x14ac:dyDescent="0.25">
      <c r="A46" s="84" t="s">
        <v>9</v>
      </c>
      <c r="B46" s="84">
        <v>0</v>
      </c>
      <c r="C46" s="84">
        <v>0</v>
      </c>
      <c r="D46" s="84">
        <v>0</v>
      </c>
      <c r="E46" s="84">
        <v>0</v>
      </c>
      <c r="F46" s="84">
        <v>0</v>
      </c>
      <c r="G46" s="84">
        <v>0</v>
      </c>
      <c r="H46" s="84">
        <v>0</v>
      </c>
      <c r="I46" s="84">
        <v>0</v>
      </c>
      <c r="J46" s="84">
        <v>0</v>
      </c>
      <c r="K46" s="84">
        <v>0</v>
      </c>
      <c r="L46" s="84">
        <v>0</v>
      </c>
      <c r="M46" s="84">
        <v>0</v>
      </c>
      <c r="N46" s="84">
        <v>0</v>
      </c>
      <c r="O46" s="84">
        <v>0</v>
      </c>
      <c r="P46" s="84">
        <v>0</v>
      </c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</row>
    <row r="47" spans="1:33" x14ac:dyDescent="0.25">
      <c r="A47" s="84" t="s">
        <v>10</v>
      </c>
      <c r="B47" s="84">
        <v>0</v>
      </c>
      <c r="C47" s="84">
        <v>0</v>
      </c>
      <c r="D47" s="84">
        <v>0</v>
      </c>
      <c r="E47" s="84">
        <v>0</v>
      </c>
      <c r="F47" s="84">
        <v>0</v>
      </c>
      <c r="G47" s="84">
        <v>0</v>
      </c>
      <c r="H47" s="84">
        <v>0</v>
      </c>
      <c r="I47" s="84">
        <v>0</v>
      </c>
      <c r="J47" s="84">
        <v>0</v>
      </c>
      <c r="K47" s="84">
        <v>0</v>
      </c>
      <c r="L47" s="84">
        <v>0</v>
      </c>
      <c r="M47" s="84">
        <v>0</v>
      </c>
      <c r="N47" s="84">
        <v>0</v>
      </c>
      <c r="O47" s="84">
        <v>0</v>
      </c>
      <c r="P47" s="84">
        <v>0</v>
      </c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</row>
    <row r="48" spans="1:33" x14ac:dyDescent="0.25">
      <c r="A48" s="84" t="s">
        <v>11</v>
      </c>
      <c r="B48" s="84">
        <v>0</v>
      </c>
      <c r="C48" s="84">
        <v>0</v>
      </c>
      <c r="D48" s="84">
        <v>0</v>
      </c>
      <c r="E48" s="84">
        <v>0</v>
      </c>
      <c r="F48" s="84">
        <v>0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0</v>
      </c>
      <c r="M48" s="84">
        <v>0</v>
      </c>
      <c r="N48" s="84">
        <v>0</v>
      </c>
      <c r="O48" s="84">
        <v>0</v>
      </c>
      <c r="P48" s="84">
        <v>0</v>
      </c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</row>
    <row r="49" spans="1:33" x14ac:dyDescent="0.25">
      <c r="A49" s="84" t="s">
        <v>12</v>
      </c>
      <c r="B49" s="84">
        <v>0</v>
      </c>
      <c r="C49" s="84">
        <v>0</v>
      </c>
      <c r="D49" s="84">
        <v>0</v>
      </c>
      <c r="E49" s="84">
        <v>0</v>
      </c>
      <c r="F49" s="84">
        <v>0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0</v>
      </c>
      <c r="M49" s="84">
        <v>0</v>
      </c>
      <c r="N49" s="84">
        <v>0</v>
      </c>
      <c r="O49" s="84">
        <v>0</v>
      </c>
      <c r="P49" s="84">
        <v>0</v>
      </c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</row>
    <row r="50" spans="1:33" x14ac:dyDescent="0.25">
      <c r="A50" s="84" t="s">
        <v>13</v>
      </c>
      <c r="B50" s="84">
        <v>0</v>
      </c>
      <c r="C50" s="84">
        <v>0</v>
      </c>
      <c r="D50" s="84">
        <v>0</v>
      </c>
      <c r="E50" s="84">
        <v>0</v>
      </c>
      <c r="F50" s="84">
        <v>0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0</v>
      </c>
      <c r="M50" s="84">
        <v>0</v>
      </c>
      <c r="N50" s="84">
        <v>0</v>
      </c>
      <c r="O50" s="84">
        <v>0</v>
      </c>
      <c r="P50" s="84">
        <v>0</v>
      </c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</row>
    <row r="51" spans="1:33" x14ac:dyDescent="0.25">
      <c r="A51" s="84" t="s">
        <v>14</v>
      </c>
      <c r="B51" s="84">
        <v>0</v>
      </c>
      <c r="C51" s="84">
        <v>0</v>
      </c>
      <c r="D51" s="84">
        <v>0</v>
      </c>
      <c r="E51" s="84">
        <v>0</v>
      </c>
      <c r="F51" s="84">
        <v>0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0</v>
      </c>
      <c r="M51" s="84">
        <v>0</v>
      </c>
      <c r="N51" s="84">
        <v>0</v>
      </c>
      <c r="O51" s="84">
        <v>0</v>
      </c>
      <c r="P51" s="84">
        <v>0</v>
      </c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</row>
    <row r="52" spans="1:33" x14ac:dyDescent="0.25">
      <c r="A52" s="84" t="s">
        <v>288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</row>
    <row r="53" spans="1:33" x14ac:dyDescent="0.25">
      <c r="A53" s="84" t="s">
        <v>360</v>
      </c>
      <c r="B53" s="84" t="s">
        <v>18</v>
      </c>
      <c r="C53" s="84" t="s">
        <v>19</v>
      </c>
      <c r="D53" s="84" t="s">
        <v>20</v>
      </c>
      <c r="E53" s="84" t="s">
        <v>21</v>
      </c>
      <c r="F53" s="84" t="s">
        <v>22</v>
      </c>
      <c r="G53" s="84" t="s">
        <v>23</v>
      </c>
      <c r="H53" s="84" t="s">
        <v>361</v>
      </c>
      <c r="I53" s="84" t="s">
        <v>25</v>
      </c>
      <c r="J53" s="84" t="s">
        <v>362</v>
      </c>
      <c r="K53" s="84" t="s">
        <v>5</v>
      </c>
      <c r="L53" s="84" t="s">
        <v>6</v>
      </c>
      <c r="M53" s="84" t="s">
        <v>7</v>
      </c>
      <c r="N53" s="84" t="s">
        <v>8</v>
      </c>
      <c r="O53" s="84" t="s">
        <v>9</v>
      </c>
      <c r="P53" s="84" t="s">
        <v>363</v>
      </c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</row>
    <row r="54" spans="1:33" x14ac:dyDescent="0.25">
      <c r="A54" s="84" t="s">
        <v>364</v>
      </c>
      <c r="B54" s="84" t="s">
        <v>365</v>
      </c>
      <c r="C54" s="84" t="s">
        <v>365</v>
      </c>
      <c r="D54" s="84" t="s">
        <v>365</v>
      </c>
      <c r="E54" s="84" t="s">
        <v>365</v>
      </c>
      <c r="F54" s="84" t="s">
        <v>365</v>
      </c>
      <c r="G54" s="84" t="s">
        <v>365</v>
      </c>
      <c r="H54" s="84" t="s">
        <v>365</v>
      </c>
      <c r="I54" s="84" t="s">
        <v>365</v>
      </c>
      <c r="J54" s="84" t="s">
        <v>365</v>
      </c>
      <c r="K54" s="84" t="s">
        <v>365</v>
      </c>
      <c r="L54" s="84" t="s">
        <v>365</v>
      </c>
      <c r="M54" s="84" t="s">
        <v>365</v>
      </c>
      <c r="N54" s="84" t="s">
        <v>365</v>
      </c>
      <c r="O54" s="84" t="s">
        <v>365</v>
      </c>
      <c r="P54" s="84" t="s">
        <v>365</v>
      </c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</row>
    <row r="55" spans="1:33" x14ac:dyDescent="0.25">
      <c r="A55" s="84" t="s">
        <v>1</v>
      </c>
      <c r="B55" s="84">
        <v>0</v>
      </c>
      <c r="C55" s="84">
        <v>0</v>
      </c>
      <c r="D55" s="84">
        <v>0</v>
      </c>
      <c r="E55" s="84">
        <v>0</v>
      </c>
      <c r="F55" s="84">
        <v>0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0</v>
      </c>
      <c r="O55" s="84">
        <v>0</v>
      </c>
      <c r="P55" s="84">
        <v>0</v>
      </c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</row>
    <row r="56" spans="1:33" x14ac:dyDescent="0.25">
      <c r="A56" s="84" t="s">
        <v>2</v>
      </c>
      <c r="B56" s="84">
        <v>0</v>
      </c>
      <c r="C56" s="84">
        <v>0</v>
      </c>
      <c r="D56" s="84">
        <v>0</v>
      </c>
      <c r="E56" s="84">
        <v>0</v>
      </c>
      <c r="F56" s="84">
        <v>0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  <c r="O56" s="84">
        <v>0</v>
      </c>
      <c r="P56" s="84">
        <v>0</v>
      </c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</row>
    <row r="57" spans="1:33" x14ac:dyDescent="0.25">
      <c r="A57" s="84" t="s">
        <v>3</v>
      </c>
      <c r="B57" s="84">
        <v>241.84088499999999</v>
      </c>
      <c r="C57" s="84">
        <v>0</v>
      </c>
      <c r="D57" s="84">
        <v>241.84088499999999</v>
      </c>
      <c r="E57" s="84">
        <v>157.606728</v>
      </c>
      <c r="F57" s="84">
        <v>0.45132926699999998</v>
      </c>
      <c r="G57" s="84">
        <v>52.739356899999997</v>
      </c>
      <c r="H57" s="84">
        <v>9.2276064599999999E-2</v>
      </c>
      <c r="I57" s="84">
        <v>0</v>
      </c>
      <c r="J57" s="84">
        <v>0</v>
      </c>
      <c r="K57" s="84">
        <v>30.951194399999999</v>
      </c>
      <c r="L57" s="84">
        <v>0</v>
      </c>
      <c r="M57" s="84">
        <v>0</v>
      </c>
      <c r="N57" s="84">
        <v>0</v>
      </c>
      <c r="O57" s="84">
        <v>0</v>
      </c>
      <c r="P57" s="84">
        <v>0</v>
      </c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</row>
    <row r="58" spans="1:33" x14ac:dyDescent="0.25">
      <c r="A58" s="84" t="s">
        <v>4</v>
      </c>
      <c r="B58" s="84">
        <v>179.33139600000001</v>
      </c>
      <c r="C58" s="84">
        <v>0</v>
      </c>
      <c r="D58" s="84">
        <v>179.33139600000001</v>
      </c>
      <c r="E58" s="84">
        <v>81.918568800000003</v>
      </c>
      <c r="F58" s="84">
        <v>12.2382241</v>
      </c>
      <c r="G58" s="84">
        <v>76.506796899999998</v>
      </c>
      <c r="H58" s="84">
        <v>3.8053738400000001</v>
      </c>
      <c r="I58" s="84">
        <v>0</v>
      </c>
      <c r="J58" s="84">
        <v>0</v>
      </c>
      <c r="K58" s="84">
        <v>0</v>
      </c>
      <c r="L58" s="84">
        <v>0</v>
      </c>
      <c r="M58" s="84">
        <v>4.8624320799999996</v>
      </c>
      <c r="N58" s="84">
        <v>0</v>
      </c>
      <c r="O58" s="84">
        <v>0</v>
      </c>
      <c r="P58" s="84">
        <v>0</v>
      </c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</row>
    <row r="59" spans="1:33" x14ac:dyDescent="0.25">
      <c r="A59" s="84" t="s">
        <v>5</v>
      </c>
      <c r="B59" s="84">
        <v>30.951194399999999</v>
      </c>
      <c r="C59" s="84">
        <v>30.951194399999999</v>
      </c>
      <c r="D59" s="74">
        <v>-3.5527136800000002E-15</v>
      </c>
      <c r="E59" s="84">
        <v>17.196139599999999</v>
      </c>
      <c r="F59" s="84">
        <v>2.7277068</v>
      </c>
      <c r="G59" s="84">
        <v>10.832287900000001</v>
      </c>
      <c r="H59" s="84">
        <v>0.19506011400000001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  <c r="N59" s="84">
        <v>0</v>
      </c>
      <c r="O59" s="84">
        <v>0</v>
      </c>
      <c r="P59" s="84">
        <v>0</v>
      </c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</row>
    <row r="60" spans="1:33" x14ac:dyDescent="0.25">
      <c r="A60" s="84" t="s">
        <v>6</v>
      </c>
      <c r="B60" s="84">
        <v>0</v>
      </c>
      <c r="C60" s="84">
        <v>0</v>
      </c>
      <c r="D60" s="84">
        <v>0</v>
      </c>
      <c r="E60" s="84">
        <v>0</v>
      </c>
      <c r="F60" s="84">
        <v>0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  <c r="O60" s="84">
        <v>0</v>
      </c>
      <c r="P60" s="84">
        <v>0</v>
      </c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</row>
    <row r="61" spans="1:33" x14ac:dyDescent="0.25">
      <c r="A61" s="84" t="s">
        <v>7</v>
      </c>
      <c r="B61" s="84">
        <v>4.8624320799999996</v>
      </c>
      <c r="C61" s="84">
        <v>4.8624320799999996</v>
      </c>
      <c r="D61" s="84">
        <v>-8.8817842000000006E-16</v>
      </c>
      <c r="E61" s="84">
        <v>0</v>
      </c>
      <c r="F61" s="84">
        <v>3.7329420199999999</v>
      </c>
      <c r="G61" s="84">
        <v>0.79107899000000004</v>
      </c>
      <c r="H61" s="84">
        <v>0.33841107199999998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  <c r="O61" s="84">
        <v>0</v>
      </c>
      <c r="P61" s="84">
        <v>0</v>
      </c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</row>
    <row r="62" spans="1:33" x14ac:dyDescent="0.25">
      <c r="A62" s="84" t="s">
        <v>8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0</v>
      </c>
      <c r="M62" s="84">
        <v>0</v>
      </c>
      <c r="N62" s="84">
        <v>0</v>
      </c>
      <c r="O62" s="84">
        <v>0</v>
      </c>
      <c r="P62" s="84">
        <v>0</v>
      </c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</row>
    <row r="63" spans="1:33" x14ac:dyDescent="0.25">
      <c r="A63" s="84" t="s">
        <v>9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0</v>
      </c>
      <c r="M63" s="84">
        <v>0</v>
      </c>
      <c r="N63" s="84">
        <v>0</v>
      </c>
      <c r="O63" s="84">
        <v>0</v>
      </c>
      <c r="P63" s="84">
        <v>0</v>
      </c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</row>
    <row r="64" spans="1:33" x14ac:dyDescent="0.25">
      <c r="A64" s="84" t="s">
        <v>10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0</v>
      </c>
      <c r="M64" s="84">
        <v>0</v>
      </c>
      <c r="N64" s="84">
        <v>0</v>
      </c>
      <c r="O64" s="84">
        <v>0</v>
      </c>
      <c r="P64" s="84">
        <v>0</v>
      </c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</row>
    <row r="65" spans="1:33" x14ac:dyDescent="0.25">
      <c r="A65" s="84" t="s">
        <v>11</v>
      </c>
      <c r="B65" s="84">
        <v>0</v>
      </c>
      <c r="C65" s="84">
        <v>0</v>
      </c>
      <c r="D65" s="84">
        <v>0</v>
      </c>
      <c r="E65" s="84">
        <v>0</v>
      </c>
      <c r="F65" s="84">
        <v>0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0</v>
      </c>
      <c r="M65" s="84">
        <v>0</v>
      </c>
      <c r="N65" s="84">
        <v>0</v>
      </c>
      <c r="O65" s="84">
        <v>0</v>
      </c>
      <c r="P65" s="84">
        <v>0</v>
      </c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</row>
    <row r="66" spans="1:33" x14ac:dyDescent="0.25">
      <c r="A66" s="84" t="s">
        <v>12</v>
      </c>
      <c r="B66" s="84">
        <v>0</v>
      </c>
      <c r="C66" s="84">
        <v>0</v>
      </c>
      <c r="D66" s="84">
        <v>0</v>
      </c>
      <c r="E66" s="84">
        <v>0</v>
      </c>
      <c r="F66" s="84">
        <v>0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0</v>
      </c>
      <c r="M66" s="84">
        <v>0</v>
      </c>
      <c r="N66" s="84">
        <v>0</v>
      </c>
      <c r="O66" s="84">
        <v>0</v>
      </c>
      <c r="P66" s="84">
        <v>0</v>
      </c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</row>
    <row r="67" spans="1:33" x14ac:dyDescent="0.25">
      <c r="A67" s="84" t="s">
        <v>13</v>
      </c>
      <c r="B67" s="84">
        <v>0</v>
      </c>
      <c r="C67" s="84">
        <v>0</v>
      </c>
      <c r="D67" s="84">
        <v>0</v>
      </c>
      <c r="E67" s="84">
        <v>0</v>
      </c>
      <c r="F67" s="84">
        <v>0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0</v>
      </c>
      <c r="M67" s="84">
        <v>0</v>
      </c>
      <c r="N67" s="84">
        <v>0</v>
      </c>
      <c r="O67" s="84">
        <v>0</v>
      </c>
      <c r="P67" s="84">
        <v>0</v>
      </c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</row>
    <row r="68" spans="1:33" x14ac:dyDescent="0.25">
      <c r="A68" s="84" t="s">
        <v>14</v>
      </c>
      <c r="B68" s="84">
        <v>0</v>
      </c>
      <c r="C68" s="84">
        <v>0</v>
      </c>
      <c r="D68" s="84">
        <v>0</v>
      </c>
      <c r="E68" s="84">
        <v>0</v>
      </c>
      <c r="F68" s="84">
        <v>0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0</v>
      </c>
      <c r="M68" s="84">
        <v>0</v>
      </c>
      <c r="N68" s="84">
        <v>0</v>
      </c>
      <c r="O68" s="84">
        <v>0</v>
      </c>
      <c r="P68" s="84">
        <v>0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</row>
    <row r="69" spans="1:33" x14ac:dyDescent="0.25">
      <c r="A69" s="84" t="s">
        <v>289</v>
      </c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</row>
    <row r="70" spans="1:33" x14ac:dyDescent="0.25">
      <c r="A70" s="84" t="s">
        <v>360</v>
      </c>
      <c r="B70" s="84" t="s">
        <v>366</v>
      </c>
      <c r="C70" s="84" t="s">
        <v>367</v>
      </c>
      <c r="D70" s="84" t="s">
        <v>368</v>
      </c>
      <c r="E70" s="84" t="s">
        <v>21</v>
      </c>
      <c r="F70" s="84" t="s">
        <v>22</v>
      </c>
      <c r="G70" s="84" t="s">
        <v>23</v>
      </c>
      <c r="H70" s="84" t="s">
        <v>361</v>
      </c>
      <c r="I70" s="84" t="s">
        <v>25</v>
      </c>
      <c r="J70" s="84" t="s">
        <v>362</v>
      </c>
      <c r="K70" s="84" t="s">
        <v>5</v>
      </c>
      <c r="L70" s="84" t="s">
        <v>6</v>
      </c>
      <c r="M70" s="84" t="s">
        <v>7</v>
      </c>
      <c r="N70" s="84" t="s">
        <v>8</v>
      </c>
      <c r="O70" s="84" t="s">
        <v>9</v>
      </c>
      <c r="P70" s="84" t="s">
        <v>363</v>
      </c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</row>
    <row r="71" spans="1:33" x14ac:dyDescent="0.25">
      <c r="A71" s="84" t="s">
        <v>364</v>
      </c>
      <c r="B71" s="84" t="s">
        <v>369</v>
      </c>
      <c r="C71" s="84" t="s">
        <v>369</v>
      </c>
      <c r="D71" s="84" t="s">
        <v>369</v>
      </c>
      <c r="E71" s="84" t="s">
        <v>369</v>
      </c>
      <c r="F71" s="84" t="s">
        <v>369</v>
      </c>
      <c r="G71" s="84" t="s">
        <v>369</v>
      </c>
      <c r="H71" s="84" t="s">
        <v>369</v>
      </c>
      <c r="I71" s="84" t="s">
        <v>369</v>
      </c>
      <c r="J71" s="84" t="s">
        <v>369</v>
      </c>
      <c r="K71" s="84" t="s">
        <v>369</v>
      </c>
      <c r="L71" s="84" t="s">
        <v>369</v>
      </c>
      <c r="M71" s="84" t="s">
        <v>369</v>
      </c>
      <c r="N71" s="84" t="s">
        <v>369</v>
      </c>
      <c r="O71" s="84" t="s">
        <v>369</v>
      </c>
      <c r="P71" s="84" t="s">
        <v>369</v>
      </c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</row>
    <row r="72" spans="1:33" x14ac:dyDescent="0.25">
      <c r="A72" s="84" t="s">
        <v>1</v>
      </c>
      <c r="B72" s="84">
        <v>4.4510907</v>
      </c>
      <c r="C72" s="84">
        <v>0</v>
      </c>
      <c r="D72" s="84">
        <v>4.4510907</v>
      </c>
      <c r="E72" s="84">
        <v>1.17176467</v>
      </c>
      <c r="F72" s="84">
        <v>0</v>
      </c>
      <c r="G72" s="84">
        <v>4.0399195399999999E-3</v>
      </c>
      <c r="H72" s="84">
        <v>0</v>
      </c>
      <c r="I72" s="84">
        <v>0</v>
      </c>
      <c r="J72" s="84">
        <v>0</v>
      </c>
      <c r="K72" s="84">
        <v>0</v>
      </c>
      <c r="L72" s="84">
        <v>0</v>
      </c>
      <c r="M72" s="84">
        <v>3.2752861100000001</v>
      </c>
      <c r="N72" s="84">
        <v>0</v>
      </c>
      <c r="O72" s="84">
        <v>0</v>
      </c>
      <c r="P72" s="84">
        <v>0</v>
      </c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</row>
    <row r="73" spans="1:33" x14ac:dyDescent="0.25">
      <c r="A73" s="84" t="s">
        <v>2</v>
      </c>
      <c r="B73" s="84">
        <v>13.074101300000001</v>
      </c>
      <c r="C73" s="84">
        <v>0</v>
      </c>
      <c r="D73" s="84">
        <v>13.074101300000001</v>
      </c>
      <c r="E73" s="84">
        <v>0</v>
      </c>
      <c r="F73" s="84">
        <v>0</v>
      </c>
      <c r="G73" s="84">
        <v>1.7513637200000001E-3</v>
      </c>
      <c r="H73" s="84">
        <v>0</v>
      </c>
      <c r="I73" s="84">
        <v>0</v>
      </c>
      <c r="J73" s="84">
        <v>0</v>
      </c>
      <c r="K73" s="84">
        <v>13.072349900000001</v>
      </c>
      <c r="L73" s="84">
        <v>0</v>
      </c>
      <c r="M73" s="84">
        <v>0</v>
      </c>
      <c r="N73" s="84">
        <v>0</v>
      </c>
      <c r="O73" s="84">
        <v>0</v>
      </c>
      <c r="P73" s="84">
        <v>0</v>
      </c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</row>
    <row r="74" spans="1:33" x14ac:dyDescent="0.25">
      <c r="A74" s="84" t="s">
        <v>3</v>
      </c>
      <c r="B74" s="84">
        <v>78.862482900000003</v>
      </c>
      <c r="C74" s="84">
        <v>0</v>
      </c>
      <c r="D74" s="84">
        <v>78.862482900000003</v>
      </c>
      <c r="E74" s="84">
        <v>50.983680800000002</v>
      </c>
      <c r="F74" s="84">
        <v>0.182653972</v>
      </c>
      <c r="G74" s="84">
        <v>17.094205800000001</v>
      </c>
      <c r="H74" s="84">
        <v>4.3661204299999999E-2</v>
      </c>
      <c r="I74" s="84">
        <v>0</v>
      </c>
      <c r="J74" s="84">
        <v>0</v>
      </c>
      <c r="K74" s="84">
        <v>6.4336752300000004</v>
      </c>
      <c r="L74" s="84">
        <v>0</v>
      </c>
      <c r="M74" s="84">
        <v>0</v>
      </c>
      <c r="N74" s="84">
        <v>0</v>
      </c>
      <c r="O74" s="84">
        <v>0</v>
      </c>
      <c r="P74" s="84">
        <v>4.1246058200000002</v>
      </c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</row>
    <row r="75" spans="1:33" x14ac:dyDescent="0.25">
      <c r="A75" s="84" t="s">
        <v>4</v>
      </c>
      <c r="B75" s="84">
        <v>114.71806100000001</v>
      </c>
      <c r="C75" s="84">
        <v>0</v>
      </c>
      <c r="D75" s="84">
        <v>114.71806100000001</v>
      </c>
      <c r="E75" s="84">
        <v>60.2235662</v>
      </c>
      <c r="F75" s="84">
        <v>9.8747818499999997</v>
      </c>
      <c r="G75" s="84">
        <v>46.679473399999999</v>
      </c>
      <c r="H75" s="84">
        <v>2.0765736700000001</v>
      </c>
      <c r="I75" s="84">
        <v>0</v>
      </c>
      <c r="J75" s="84">
        <v>0</v>
      </c>
      <c r="K75" s="84">
        <v>0</v>
      </c>
      <c r="L75" s="84">
        <v>0</v>
      </c>
      <c r="M75" s="84">
        <v>1.9846660899999999</v>
      </c>
      <c r="N75" s="84">
        <v>0</v>
      </c>
      <c r="O75" s="84">
        <v>0</v>
      </c>
      <c r="P75" s="84">
        <v>-6.1210006000000003</v>
      </c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</row>
    <row r="76" spans="1:33" x14ac:dyDescent="0.25">
      <c r="A76" s="84" t="s">
        <v>5</v>
      </c>
      <c r="B76" s="84">
        <v>62.652574000000001</v>
      </c>
      <c r="C76" s="84">
        <v>63.011886400000002</v>
      </c>
      <c r="D76" s="84">
        <v>-0.35931244800000001</v>
      </c>
      <c r="E76" s="84">
        <v>33.001526499999997</v>
      </c>
      <c r="F76" s="84">
        <v>5.6912740399999997</v>
      </c>
      <c r="G76" s="84">
        <v>23.5184365</v>
      </c>
      <c r="H76" s="84">
        <v>0.44133687599999999</v>
      </c>
      <c r="I76" s="84">
        <v>0</v>
      </c>
      <c r="J76" s="84">
        <v>0</v>
      </c>
      <c r="K76" s="84">
        <v>0</v>
      </c>
      <c r="L76" s="84">
        <v>0</v>
      </c>
      <c r="M76" s="84">
        <v>0</v>
      </c>
      <c r="N76" s="84">
        <v>0</v>
      </c>
      <c r="O76" s="84">
        <v>0</v>
      </c>
      <c r="P76" s="84">
        <v>0</v>
      </c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</row>
    <row r="77" spans="1:33" x14ac:dyDescent="0.25">
      <c r="A77" s="84" t="s">
        <v>6</v>
      </c>
      <c r="B77" s="84">
        <v>0</v>
      </c>
      <c r="C77" s="84">
        <v>0</v>
      </c>
      <c r="D77" s="84">
        <v>0</v>
      </c>
      <c r="E77" s="84">
        <v>0</v>
      </c>
      <c r="F77" s="84">
        <v>0</v>
      </c>
      <c r="G77" s="84">
        <v>0</v>
      </c>
      <c r="H77" s="84">
        <v>0</v>
      </c>
      <c r="I77" s="84">
        <v>0</v>
      </c>
      <c r="J77" s="84">
        <v>0</v>
      </c>
      <c r="K77" s="84">
        <v>0</v>
      </c>
      <c r="L77" s="84">
        <v>0</v>
      </c>
      <c r="M77" s="84">
        <v>0</v>
      </c>
      <c r="N77" s="84">
        <v>0</v>
      </c>
      <c r="O77" s="84">
        <v>0</v>
      </c>
      <c r="P77" s="84">
        <v>0</v>
      </c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</row>
    <row r="78" spans="1:33" x14ac:dyDescent="0.25">
      <c r="A78" s="84" t="s">
        <v>7</v>
      </c>
      <c r="B78" s="84">
        <v>10.8808404</v>
      </c>
      <c r="C78" s="84">
        <v>6.6106634900000003</v>
      </c>
      <c r="D78" s="84">
        <v>4.2701769299999999</v>
      </c>
      <c r="E78" s="84">
        <v>0</v>
      </c>
      <c r="F78" s="84">
        <v>8.6847943300000008</v>
      </c>
      <c r="G78" s="84">
        <v>1.4829078</v>
      </c>
      <c r="H78" s="84">
        <v>0.71313829299999998</v>
      </c>
      <c r="I78" s="84">
        <v>0</v>
      </c>
      <c r="J78" s="84">
        <v>0</v>
      </c>
      <c r="K78" s="84">
        <v>0</v>
      </c>
      <c r="L78" s="84">
        <v>0</v>
      </c>
      <c r="M78" s="84">
        <v>0</v>
      </c>
      <c r="N78" s="84">
        <v>0</v>
      </c>
      <c r="O78" s="84">
        <v>0</v>
      </c>
      <c r="P78" s="84">
        <v>0</v>
      </c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</row>
    <row r="79" spans="1:33" x14ac:dyDescent="0.25">
      <c r="A79" s="84" t="s">
        <v>8</v>
      </c>
      <c r="B79" s="84">
        <v>0</v>
      </c>
      <c r="C79" s="84">
        <v>0</v>
      </c>
      <c r="D79" s="84">
        <v>0</v>
      </c>
      <c r="E79" s="84">
        <v>0</v>
      </c>
      <c r="F79" s="84">
        <v>0</v>
      </c>
      <c r="G79" s="84">
        <v>0</v>
      </c>
      <c r="H79" s="84">
        <v>0</v>
      </c>
      <c r="I79" s="84">
        <v>0</v>
      </c>
      <c r="J79" s="84">
        <v>0</v>
      </c>
      <c r="K79" s="84">
        <v>0</v>
      </c>
      <c r="L79" s="84">
        <v>0</v>
      </c>
      <c r="M79" s="84">
        <v>0</v>
      </c>
      <c r="N79" s="84">
        <v>0</v>
      </c>
      <c r="O79" s="84">
        <v>0</v>
      </c>
      <c r="P79" s="84">
        <v>0</v>
      </c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</row>
    <row r="80" spans="1:33" x14ac:dyDescent="0.25">
      <c r="A80" s="84" t="s">
        <v>9</v>
      </c>
      <c r="B80" s="84">
        <v>0</v>
      </c>
      <c r="C80" s="84">
        <v>0</v>
      </c>
      <c r="D80" s="84">
        <v>0</v>
      </c>
      <c r="E80" s="84">
        <v>0</v>
      </c>
      <c r="F80" s="84">
        <v>0</v>
      </c>
      <c r="G80" s="84">
        <v>0</v>
      </c>
      <c r="H80" s="84">
        <v>0</v>
      </c>
      <c r="I80" s="84">
        <v>0</v>
      </c>
      <c r="J80" s="84">
        <v>0</v>
      </c>
      <c r="K80" s="84">
        <v>0</v>
      </c>
      <c r="L80" s="84">
        <v>0</v>
      </c>
      <c r="M80" s="84">
        <v>0</v>
      </c>
      <c r="N80" s="84">
        <v>0</v>
      </c>
      <c r="O80" s="84">
        <v>0</v>
      </c>
      <c r="P80" s="84">
        <v>0</v>
      </c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</row>
    <row r="81" spans="1:33" x14ac:dyDescent="0.25">
      <c r="A81" s="84" t="s">
        <v>10</v>
      </c>
      <c r="B81" s="84">
        <v>25.45316</v>
      </c>
      <c r="C81" s="84">
        <v>0</v>
      </c>
      <c r="D81" s="84">
        <v>25.45316</v>
      </c>
      <c r="E81" s="84">
        <v>0</v>
      </c>
      <c r="F81" s="84">
        <v>-1.9417500000000001</v>
      </c>
      <c r="G81" s="84">
        <v>9.7361701700000001E-4</v>
      </c>
      <c r="H81" s="84">
        <v>0</v>
      </c>
      <c r="I81" s="84">
        <v>0</v>
      </c>
      <c r="J81" s="84">
        <v>0</v>
      </c>
      <c r="K81" s="84">
        <v>27.3478016</v>
      </c>
      <c r="L81" s="84">
        <v>0</v>
      </c>
      <c r="M81" s="84">
        <v>4.6134774000000003E-2</v>
      </c>
      <c r="N81" s="84">
        <v>0</v>
      </c>
      <c r="O81" s="84">
        <v>0</v>
      </c>
      <c r="P81" s="84">
        <v>0</v>
      </c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</row>
    <row r="82" spans="1:33" x14ac:dyDescent="0.25">
      <c r="A82" s="84" t="s">
        <v>11</v>
      </c>
      <c r="B82" s="84">
        <v>0.87054075600000003</v>
      </c>
      <c r="C82" s="84">
        <v>0</v>
      </c>
      <c r="D82" s="84">
        <v>0.87054075600000003</v>
      </c>
      <c r="E82" s="84">
        <v>0.39766295600000001</v>
      </c>
      <c r="F82" s="84">
        <v>5.9408854800000001E-2</v>
      </c>
      <c r="G82" s="84">
        <v>0.371392218</v>
      </c>
      <c r="H82" s="84">
        <v>1.8472688599999999E-2</v>
      </c>
      <c r="I82" s="84">
        <v>0</v>
      </c>
      <c r="J82" s="84">
        <v>0</v>
      </c>
      <c r="K82" s="84">
        <v>0</v>
      </c>
      <c r="L82" s="84">
        <v>0</v>
      </c>
      <c r="M82" s="84">
        <v>2.3604039199999999E-2</v>
      </c>
      <c r="N82" s="84">
        <v>0</v>
      </c>
      <c r="O82" s="84">
        <v>0</v>
      </c>
      <c r="P82" s="84">
        <v>0</v>
      </c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</row>
    <row r="83" spans="1:33" x14ac:dyDescent="0.25">
      <c r="A83" s="84" t="s">
        <v>12</v>
      </c>
      <c r="B83" s="84">
        <v>78.836709200000001</v>
      </c>
      <c r="C83" s="84">
        <v>-1.9963947900000001</v>
      </c>
      <c r="D83" s="84">
        <v>80.833104000000006</v>
      </c>
      <c r="E83" s="84">
        <v>59.1142933</v>
      </c>
      <c r="F83" s="84">
        <v>0.80950426200000003</v>
      </c>
      <c r="G83" s="84">
        <v>13.901345900000001</v>
      </c>
      <c r="H83" s="84">
        <v>0.23486278599999999</v>
      </c>
      <c r="I83" s="84">
        <v>0</v>
      </c>
      <c r="J83" s="84">
        <v>0</v>
      </c>
      <c r="K83" s="84">
        <v>4.4243592400000002</v>
      </c>
      <c r="L83" s="84">
        <v>0</v>
      </c>
      <c r="M83" s="84">
        <v>0.352343766</v>
      </c>
      <c r="N83" s="84">
        <v>0</v>
      </c>
      <c r="O83" s="84">
        <v>0</v>
      </c>
      <c r="P83" s="84">
        <v>0</v>
      </c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</row>
    <row r="84" spans="1:33" x14ac:dyDescent="0.25">
      <c r="A84" s="84" t="s">
        <v>13</v>
      </c>
      <c r="B84" s="84">
        <v>60.4995245</v>
      </c>
      <c r="C84" s="84">
        <v>0</v>
      </c>
      <c r="D84" s="84">
        <v>60.4995245</v>
      </c>
      <c r="E84" s="84">
        <v>42.939541499999997</v>
      </c>
      <c r="F84" s="84">
        <v>5.3135076400000001</v>
      </c>
      <c r="G84" s="84">
        <v>0</v>
      </c>
      <c r="H84" s="84">
        <v>0</v>
      </c>
      <c r="I84" s="84">
        <v>0</v>
      </c>
      <c r="J84" s="84">
        <v>0</v>
      </c>
      <c r="K84" s="84">
        <v>11.7337004</v>
      </c>
      <c r="L84" s="84">
        <v>0</v>
      </c>
      <c r="M84" s="84">
        <v>0.51277499999999998</v>
      </c>
      <c r="N84" s="84">
        <v>0</v>
      </c>
      <c r="O84" s="84">
        <v>0</v>
      </c>
      <c r="P84" s="84">
        <v>0</v>
      </c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</row>
    <row r="85" spans="1:33" x14ac:dyDescent="0.25">
      <c r="A85" s="84" t="s">
        <v>14</v>
      </c>
      <c r="B85" s="84">
        <v>1.3935028199999999</v>
      </c>
      <c r="C85" s="84">
        <v>0</v>
      </c>
      <c r="D85" s="84">
        <v>1.3935028199999999</v>
      </c>
      <c r="E85" s="84">
        <v>0.25240522999999998</v>
      </c>
      <c r="F85" s="84">
        <v>0.61363960799999995</v>
      </c>
      <c r="G85" s="84">
        <v>4.7337437199999999E-2</v>
      </c>
      <c r="H85" s="84">
        <v>6.4266829799999994E-2</v>
      </c>
      <c r="I85" s="84">
        <v>0</v>
      </c>
      <c r="J85" s="84">
        <v>0</v>
      </c>
      <c r="K85" s="84">
        <v>0</v>
      </c>
      <c r="L85" s="84">
        <v>0</v>
      </c>
      <c r="M85" s="84">
        <v>0.41585371300000001</v>
      </c>
      <c r="N85" s="84">
        <v>0</v>
      </c>
      <c r="O85" s="84">
        <v>0</v>
      </c>
      <c r="P85" s="84">
        <v>0</v>
      </c>
      <c r="R85" s="77"/>
      <c r="S85" s="77"/>
      <c r="T85" s="77"/>
      <c r="U85" s="77"/>
      <c r="V85" s="77"/>
      <c r="W85" s="77"/>
      <c r="X85" s="77"/>
      <c r="Y85" s="77"/>
      <c r="Z85" s="105"/>
      <c r="AA85" s="77"/>
      <c r="AB85" s="77"/>
      <c r="AC85" s="77"/>
      <c r="AD85" s="77"/>
      <c r="AE85" s="77"/>
      <c r="AF85" s="77"/>
      <c r="AG85" s="77"/>
    </row>
    <row r="86" spans="1:33" x14ac:dyDescent="0.25">
      <c r="A86" s="84" t="s">
        <v>290</v>
      </c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</row>
    <row r="87" spans="1:33" x14ac:dyDescent="0.25">
      <c r="A87" s="84" t="s">
        <v>360</v>
      </c>
      <c r="B87" s="84" t="s">
        <v>18</v>
      </c>
      <c r="C87" s="84" t="s">
        <v>19</v>
      </c>
      <c r="D87" s="84" t="s">
        <v>20</v>
      </c>
      <c r="E87" s="84" t="s">
        <v>21</v>
      </c>
      <c r="F87" s="84" t="s">
        <v>22</v>
      </c>
      <c r="G87" s="84" t="s">
        <v>23</v>
      </c>
      <c r="H87" s="84" t="s">
        <v>361</v>
      </c>
      <c r="I87" s="84" t="s">
        <v>25</v>
      </c>
      <c r="J87" s="84" t="s">
        <v>362</v>
      </c>
      <c r="K87" s="84" t="s">
        <v>5</v>
      </c>
      <c r="L87" s="84" t="s">
        <v>6</v>
      </c>
      <c r="M87" s="84" t="s">
        <v>7</v>
      </c>
      <c r="N87" s="84" t="s">
        <v>8</v>
      </c>
      <c r="O87" s="84" t="s">
        <v>9</v>
      </c>
      <c r="P87" s="84" t="s">
        <v>363</v>
      </c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</row>
    <row r="88" spans="1:33" x14ac:dyDescent="0.25">
      <c r="A88" s="84" t="s">
        <v>364</v>
      </c>
      <c r="B88" s="84" t="s">
        <v>370</v>
      </c>
      <c r="C88" s="84" t="s">
        <v>370</v>
      </c>
      <c r="D88" s="84" t="s">
        <v>370</v>
      </c>
      <c r="E88" s="84" t="s">
        <v>370</v>
      </c>
      <c r="F88" s="84" t="s">
        <v>370</v>
      </c>
      <c r="G88" s="84" t="s">
        <v>370</v>
      </c>
      <c r="H88" s="84" t="s">
        <v>370</v>
      </c>
      <c r="I88" s="84" t="s">
        <v>370</v>
      </c>
      <c r="J88" s="84" t="s">
        <v>370</v>
      </c>
      <c r="K88" s="84" t="s">
        <v>370</v>
      </c>
      <c r="L88" s="84" t="s">
        <v>370</v>
      </c>
      <c r="M88" s="84" t="s">
        <v>370</v>
      </c>
      <c r="N88" s="84" t="s">
        <v>370</v>
      </c>
      <c r="O88" s="84" t="s">
        <v>370</v>
      </c>
      <c r="P88" s="84" t="s">
        <v>370</v>
      </c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</row>
    <row r="89" spans="1:33" x14ac:dyDescent="0.25">
      <c r="A89" s="84" t="s">
        <v>1</v>
      </c>
      <c r="B89" s="84">
        <v>0</v>
      </c>
      <c r="C89" s="84">
        <v>0</v>
      </c>
      <c r="D89" s="84">
        <v>0</v>
      </c>
      <c r="E89" s="84">
        <v>0</v>
      </c>
      <c r="F89" s="84">
        <v>0</v>
      </c>
      <c r="G89" s="84">
        <v>0</v>
      </c>
      <c r="H89" s="84">
        <v>0</v>
      </c>
      <c r="I89" s="84">
        <v>0</v>
      </c>
      <c r="J89" s="84">
        <v>0</v>
      </c>
      <c r="K89" s="84">
        <v>0</v>
      </c>
      <c r="L89" s="84">
        <v>0</v>
      </c>
      <c r="M89" s="84">
        <v>0</v>
      </c>
      <c r="N89" s="84">
        <v>0</v>
      </c>
      <c r="O89" s="84">
        <v>0</v>
      </c>
      <c r="P89" s="84">
        <v>0</v>
      </c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</row>
    <row r="90" spans="1:33" x14ac:dyDescent="0.25">
      <c r="A90" s="84" t="s">
        <v>2</v>
      </c>
      <c r="B90" s="84">
        <v>2.2625091199999998</v>
      </c>
      <c r="C90" s="84">
        <v>0</v>
      </c>
      <c r="D90" s="84">
        <v>2.2625091199999998</v>
      </c>
      <c r="E90" s="84">
        <v>0</v>
      </c>
      <c r="F90" s="84">
        <v>0</v>
      </c>
      <c r="G90" s="84">
        <v>0</v>
      </c>
      <c r="H90" s="84">
        <v>0</v>
      </c>
      <c r="I90" s="84">
        <v>0</v>
      </c>
      <c r="J90" s="84">
        <v>0</v>
      </c>
      <c r="K90" s="84">
        <v>2.2625091199999998</v>
      </c>
      <c r="L90" s="84">
        <v>0</v>
      </c>
      <c r="M90" s="84">
        <v>0</v>
      </c>
      <c r="N90" s="84">
        <v>0</v>
      </c>
      <c r="O90" s="84">
        <v>0</v>
      </c>
      <c r="P90" s="84">
        <v>0</v>
      </c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</row>
    <row r="91" spans="1:33" x14ac:dyDescent="0.25">
      <c r="A91" s="84" t="s">
        <v>3</v>
      </c>
      <c r="B91" s="84">
        <v>4.7779425800000004</v>
      </c>
      <c r="C91" s="84">
        <v>0</v>
      </c>
      <c r="D91" s="84">
        <v>4.7779425800000004</v>
      </c>
      <c r="E91" s="84">
        <v>3.1137658899999998</v>
      </c>
      <c r="F91" s="84">
        <v>8.9167111699999992E-3</v>
      </c>
      <c r="G91" s="84">
        <v>1.0419479700000001</v>
      </c>
      <c r="H91" s="84">
        <v>1.82305708E-3</v>
      </c>
      <c r="I91" s="84">
        <v>0</v>
      </c>
      <c r="J91" s="84">
        <v>0</v>
      </c>
      <c r="K91" s="84">
        <v>0.61148895199999997</v>
      </c>
      <c r="L91" s="84">
        <v>0</v>
      </c>
      <c r="M91" s="84">
        <v>0</v>
      </c>
      <c r="N91" s="84">
        <v>0</v>
      </c>
      <c r="O91" s="84">
        <v>0</v>
      </c>
      <c r="P91" s="84">
        <v>0</v>
      </c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</row>
    <row r="92" spans="1:33" x14ac:dyDescent="0.25">
      <c r="A92" s="84" t="s">
        <v>4</v>
      </c>
      <c r="B92" s="84">
        <v>3.13394672</v>
      </c>
      <c r="C92" s="84">
        <v>0</v>
      </c>
      <c r="D92" s="84">
        <v>3.13394672</v>
      </c>
      <c r="E92" s="84">
        <v>1.4315866399999999</v>
      </c>
      <c r="F92" s="84">
        <v>0.21387187699999999</v>
      </c>
      <c r="G92" s="84">
        <v>1.33701198</v>
      </c>
      <c r="H92" s="84">
        <v>6.6501678800000005E-2</v>
      </c>
      <c r="I92" s="84">
        <v>0</v>
      </c>
      <c r="J92" s="84">
        <v>0</v>
      </c>
      <c r="K92" s="84">
        <v>0</v>
      </c>
      <c r="L92" s="84">
        <v>0</v>
      </c>
      <c r="M92" s="84">
        <v>8.4974541200000003E-2</v>
      </c>
      <c r="N92" s="84">
        <v>0</v>
      </c>
      <c r="O92" s="84">
        <v>0</v>
      </c>
      <c r="P92" s="84">
        <v>0</v>
      </c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</row>
    <row r="93" spans="1:33" x14ac:dyDescent="0.25">
      <c r="A93" s="84" t="s">
        <v>5</v>
      </c>
      <c r="B93" s="84">
        <v>2.2625091199999998</v>
      </c>
      <c r="C93" s="84">
        <v>2.8739980799999998</v>
      </c>
      <c r="D93" s="84">
        <v>-0.61148895199999997</v>
      </c>
      <c r="E93" s="84">
        <v>1.2570249200000001</v>
      </c>
      <c r="F93" s="84">
        <v>0.19939332400000001</v>
      </c>
      <c r="G93" s="84">
        <v>0.79183212999999997</v>
      </c>
      <c r="H93" s="84">
        <v>1.4258748200000001E-2</v>
      </c>
      <c r="I93" s="84">
        <v>0</v>
      </c>
      <c r="J93" s="84">
        <v>0</v>
      </c>
      <c r="K93" s="84">
        <v>0</v>
      </c>
      <c r="L93" s="84">
        <v>0</v>
      </c>
      <c r="M93" s="84">
        <v>0</v>
      </c>
      <c r="N93" s="84">
        <v>0</v>
      </c>
      <c r="O93" s="84">
        <v>0</v>
      </c>
      <c r="P93" s="84">
        <v>0</v>
      </c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</row>
    <row r="94" spans="1:33" x14ac:dyDescent="0.25">
      <c r="A94" s="84" t="s">
        <v>6</v>
      </c>
      <c r="B94" s="84">
        <v>0</v>
      </c>
      <c r="C94" s="84">
        <v>0</v>
      </c>
      <c r="D94" s="84">
        <v>0</v>
      </c>
      <c r="E94" s="84">
        <v>0</v>
      </c>
      <c r="F94" s="84">
        <v>0</v>
      </c>
      <c r="G94" s="84">
        <v>0</v>
      </c>
      <c r="H94" s="84">
        <v>0</v>
      </c>
      <c r="I94" s="84">
        <v>0</v>
      </c>
      <c r="J94" s="84">
        <v>0</v>
      </c>
      <c r="K94" s="84">
        <v>0</v>
      </c>
      <c r="L94" s="84">
        <v>0</v>
      </c>
      <c r="M94" s="84">
        <v>0</v>
      </c>
      <c r="N94" s="84">
        <v>0</v>
      </c>
      <c r="O94" s="84">
        <v>0</v>
      </c>
      <c r="P94" s="84">
        <v>0</v>
      </c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</row>
    <row r="95" spans="1:33" x14ac:dyDescent="0.25">
      <c r="A95" s="84" t="s">
        <v>7</v>
      </c>
      <c r="B95" s="84">
        <v>0.21875103400000001</v>
      </c>
      <c r="C95" s="84">
        <v>8.4974541200000003E-2</v>
      </c>
      <c r="D95" s="84">
        <v>0.133776492</v>
      </c>
      <c r="E95" s="84">
        <v>0</v>
      </c>
      <c r="F95" s="84">
        <v>0.16793754899999999</v>
      </c>
      <c r="G95" s="84">
        <v>3.5589051699999999E-2</v>
      </c>
      <c r="H95" s="84">
        <v>1.52244331E-2</v>
      </c>
      <c r="I95" s="84">
        <v>0</v>
      </c>
      <c r="J95" s="84">
        <v>0</v>
      </c>
      <c r="K95" s="84">
        <v>0</v>
      </c>
      <c r="L95" s="84">
        <v>0</v>
      </c>
      <c r="M95" s="84">
        <v>0</v>
      </c>
      <c r="N95" s="84">
        <v>0</v>
      </c>
      <c r="O95" s="84">
        <v>0</v>
      </c>
      <c r="P95" s="84">
        <v>0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</row>
    <row r="96" spans="1:33" x14ac:dyDescent="0.25">
      <c r="A96" s="84" t="s">
        <v>8</v>
      </c>
      <c r="B96" s="84">
        <v>0</v>
      </c>
      <c r="C96" s="84">
        <v>0</v>
      </c>
      <c r="D96" s="84">
        <v>0</v>
      </c>
      <c r="E96" s="84">
        <v>0</v>
      </c>
      <c r="F96" s="84">
        <v>0</v>
      </c>
      <c r="G96" s="84">
        <v>0</v>
      </c>
      <c r="H96" s="84">
        <v>0</v>
      </c>
      <c r="I96" s="84">
        <v>0</v>
      </c>
      <c r="J96" s="84">
        <v>0</v>
      </c>
      <c r="K96" s="84">
        <v>0</v>
      </c>
      <c r="L96" s="84">
        <v>0</v>
      </c>
      <c r="M96" s="84">
        <v>0</v>
      </c>
      <c r="N96" s="84">
        <v>0</v>
      </c>
      <c r="O96" s="84">
        <v>0</v>
      </c>
      <c r="P96" s="84">
        <v>0</v>
      </c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</row>
    <row r="97" spans="1:33" x14ac:dyDescent="0.25">
      <c r="A97" s="84" t="s">
        <v>9</v>
      </c>
      <c r="B97" s="84">
        <v>0</v>
      </c>
      <c r="C97" s="84">
        <v>0</v>
      </c>
      <c r="D97" s="84">
        <v>0</v>
      </c>
      <c r="E97" s="84">
        <v>0</v>
      </c>
      <c r="F97" s="84">
        <v>0</v>
      </c>
      <c r="G97" s="84">
        <v>0</v>
      </c>
      <c r="H97" s="84">
        <v>0</v>
      </c>
      <c r="I97" s="84">
        <v>0</v>
      </c>
      <c r="J97" s="84">
        <v>0</v>
      </c>
      <c r="K97" s="84">
        <v>0</v>
      </c>
      <c r="L97" s="84">
        <v>0</v>
      </c>
      <c r="M97" s="84">
        <v>0</v>
      </c>
      <c r="N97" s="84">
        <v>0</v>
      </c>
      <c r="O97" s="84">
        <v>0</v>
      </c>
      <c r="P97" s="84">
        <v>0</v>
      </c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</row>
    <row r="98" spans="1:33" x14ac:dyDescent="0.25">
      <c r="A98" s="84" t="s">
        <v>10</v>
      </c>
      <c r="B98" s="84">
        <v>0</v>
      </c>
      <c r="C98" s="84">
        <v>0</v>
      </c>
      <c r="D98" s="84">
        <v>0</v>
      </c>
      <c r="E98" s="84">
        <v>0</v>
      </c>
      <c r="F98" s="84">
        <v>0</v>
      </c>
      <c r="G98" s="84">
        <v>0</v>
      </c>
      <c r="H98" s="84">
        <v>0</v>
      </c>
      <c r="I98" s="84">
        <v>0</v>
      </c>
      <c r="J98" s="84">
        <v>0</v>
      </c>
      <c r="K98" s="84">
        <v>0</v>
      </c>
      <c r="L98" s="84">
        <v>0</v>
      </c>
      <c r="M98" s="84">
        <v>0</v>
      </c>
      <c r="N98" s="84">
        <v>0</v>
      </c>
      <c r="O98" s="84">
        <v>0</v>
      </c>
      <c r="P98" s="84">
        <v>0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</row>
    <row r="99" spans="1:33" x14ac:dyDescent="0.25">
      <c r="A99" s="84" t="s">
        <v>11</v>
      </c>
      <c r="B99" s="84">
        <v>0</v>
      </c>
      <c r="C99" s="84">
        <v>0</v>
      </c>
      <c r="D99" s="84">
        <v>0</v>
      </c>
      <c r="E99" s="84">
        <v>0</v>
      </c>
      <c r="F99" s="84">
        <v>0</v>
      </c>
      <c r="G99" s="84">
        <v>0</v>
      </c>
      <c r="H99" s="84">
        <v>0</v>
      </c>
      <c r="I99" s="84">
        <v>0</v>
      </c>
      <c r="J99" s="84">
        <v>0</v>
      </c>
      <c r="K99" s="84">
        <v>0</v>
      </c>
      <c r="L99" s="84">
        <v>0</v>
      </c>
      <c r="M99" s="84">
        <v>0</v>
      </c>
      <c r="N99" s="84">
        <v>0</v>
      </c>
      <c r="O99" s="84">
        <v>0</v>
      </c>
      <c r="P99" s="84">
        <v>0</v>
      </c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</row>
    <row r="100" spans="1:33" x14ac:dyDescent="0.25">
      <c r="A100" s="84" t="s">
        <v>12</v>
      </c>
      <c r="B100" s="84">
        <v>0</v>
      </c>
      <c r="C100" s="84">
        <v>0</v>
      </c>
      <c r="D100" s="84">
        <v>0</v>
      </c>
      <c r="E100" s="84">
        <v>0</v>
      </c>
      <c r="F100" s="84">
        <v>0</v>
      </c>
      <c r="G100" s="84">
        <v>0</v>
      </c>
      <c r="H100" s="84">
        <v>0</v>
      </c>
      <c r="I100" s="84">
        <v>0</v>
      </c>
      <c r="J100" s="84">
        <v>0</v>
      </c>
      <c r="K100" s="84">
        <v>0</v>
      </c>
      <c r="L100" s="84">
        <v>0</v>
      </c>
      <c r="M100" s="84">
        <v>0</v>
      </c>
      <c r="N100" s="84">
        <v>0</v>
      </c>
      <c r="O100" s="84">
        <v>0</v>
      </c>
      <c r="P100" s="84">
        <v>0</v>
      </c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</row>
    <row r="101" spans="1:33" x14ac:dyDescent="0.25">
      <c r="A101" s="84" t="s">
        <v>13</v>
      </c>
      <c r="B101" s="84">
        <v>0</v>
      </c>
      <c r="C101" s="84">
        <v>0</v>
      </c>
      <c r="D101" s="84">
        <v>0</v>
      </c>
      <c r="E101" s="84">
        <v>0</v>
      </c>
      <c r="F101" s="84">
        <v>0</v>
      </c>
      <c r="G101" s="84">
        <v>0</v>
      </c>
      <c r="H101" s="84">
        <v>0</v>
      </c>
      <c r="I101" s="84">
        <v>0</v>
      </c>
      <c r="J101" s="84">
        <v>0</v>
      </c>
      <c r="K101" s="84">
        <v>0</v>
      </c>
      <c r="L101" s="84">
        <v>0</v>
      </c>
      <c r="M101" s="84">
        <v>0</v>
      </c>
      <c r="N101" s="84">
        <v>0</v>
      </c>
      <c r="O101" s="84">
        <v>0</v>
      </c>
      <c r="P101" s="84">
        <v>0</v>
      </c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</row>
    <row r="102" spans="1:33" x14ac:dyDescent="0.25">
      <c r="A102" s="84" t="s">
        <v>14</v>
      </c>
      <c r="B102" s="84">
        <v>0</v>
      </c>
      <c r="C102" s="84">
        <v>0</v>
      </c>
      <c r="D102" s="84">
        <v>0</v>
      </c>
      <c r="E102" s="84">
        <v>0</v>
      </c>
      <c r="F102" s="84">
        <v>0</v>
      </c>
      <c r="G102" s="84">
        <v>0</v>
      </c>
      <c r="H102" s="84">
        <v>0</v>
      </c>
      <c r="I102" s="84">
        <v>0</v>
      </c>
      <c r="J102" s="84">
        <v>0</v>
      </c>
      <c r="K102" s="84">
        <v>0</v>
      </c>
      <c r="L102" s="84">
        <v>0</v>
      </c>
      <c r="M102" s="84">
        <v>0</v>
      </c>
      <c r="N102" s="84">
        <v>0</v>
      </c>
      <c r="O102" s="84">
        <v>0</v>
      </c>
      <c r="P102" s="84">
        <v>0</v>
      </c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</row>
    <row r="103" spans="1:33" x14ac:dyDescent="0.25">
      <c r="A103" s="84" t="s">
        <v>291</v>
      </c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</row>
    <row r="104" spans="1:33" x14ac:dyDescent="0.25">
      <c r="A104" s="84" t="s">
        <v>360</v>
      </c>
      <c r="B104" s="84" t="s">
        <v>18</v>
      </c>
      <c r="C104" s="84" t="s">
        <v>19</v>
      </c>
      <c r="D104" s="84" t="s">
        <v>20</v>
      </c>
      <c r="E104" s="84" t="s">
        <v>21</v>
      </c>
      <c r="F104" s="84" t="s">
        <v>22</v>
      </c>
      <c r="G104" s="84" t="s">
        <v>23</v>
      </c>
      <c r="H104" s="84" t="s">
        <v>361</v>
      </c>
      <c r="I104" s="84" t="s">
        <v>25</v>
      </c>
      <c r="J104" s="84" t="s">
        <v>362</v>
      </c>
      <c r="K104" s="84" t="s">
        <v>5</v>
      </c>
      <c r="L104" s="84" t="s">
        <v>6</v>
      </c>
      <c r="M104" s="84" t="s">
        <v>7</v>
      </c>
      <c r="N104" s="84" t="s">
        <v>8</v>
      </c>
      <c r="O104" s="84" t="s">
        <v>9</v>
      </c>
      <c r="P104" s="84" t="s">
        <v>363</v>
      </c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</row>
    <row r="105" spans="1:33" x14ac:dyDescent="0.25">
      <c r="A105" s="84" t="s">
        <v>364</v>
      </c>
      <c r="B105" s="84" t="s">
        <v>365</v>
      </c>
      <c r="C105" s="84" t="s">
        <v>365</v>
      </c>
      <c r="D105" s="84" t="s">
        <v>365</v>
      </c>
      <c r="E105" s="84" t="s">
        <v>365</v>
      </c>
      <c r="F105" s="84" t="s">
        <v>365</v>
      </c>
      <c r="G105" s="84" t="s">
        <v>365</v>
      </c>
      <c r="H105" s="84" t="s">
        <v>365</v>
      </c>
      <c r="I105" s="84" t="s">
        <v>365</v>
      </c>
      <c r="J105" s="84" t="s">
        <v>365</v>
      </c>
      <c r="K105" s="84" t="s">
        <v>365</v>
      </c>
      <c r="L105" s="84" t="s">
        <v>365</v>
      </c>
      <c r="M105" s="84" t="s">
        <v>365</v>
      </c>
      <c r="N105" s="84" t="s">
        <v>365</v>
      </c>
      <c r="O105" s="84" t="s">
        <v>365</v>
      </c>
      <c r="P105" s="84" t="s">
        <v>365</v>
      </c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</row>
    <row r="106" spans="1:33" x14ac:dyDescent="0.25">
      <c r="A106" s="84" t="s">
        <v>1</v>
      </c>
      <c r="B106" s="84">
        <v>0</v>
      </c>
      <c r="C106" s="84">
        <v>0</v>
      </c>
      <c r="D106" s="84">
        <v>0</v>
      </c>
      <c r="E106" s="84">
        <v>0</v>
      </c>
      <c r="F106" s="84">
        <v>0</v>
      </c>
      <c r="G106" s="84">
        <v>0</v>
      </c>
      <c r="H106" s="84">
        <v>0</v>
      </c>
      <c r="I106" s="84">
        <v>0</v>
      </c>
      <c r="J106" s="84">
        <v>0</v>
      </c>
      <c r="K106" s="84">
        <v>0</v>
      </c>
      <c r="L106" s="84">
        <v>0</v>
      </c>
      <c r="M106" s="84">
        <v>0</v>
      </c>
      <c r="N106" s="84">
        <v>0</v>
      </c>
      <c r="O106" s="84">
        <v>0</v>
      </c>
      <c r="P106" s="84">
        <v>0</v>
      </c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</row>
    <row r="107" spans="1:33" x14ac:dyDescent="0.25">
      <c r="A107" s="84" t="s">
        <v>2</v>
      </c>
      <c r="B107" s="84">
        <v>0</v>
      </c>
      <c r="C107" s="84">
        <v>0</v>
      </c>
      <c r="D107" s="84">
        <v>0</v>
      </c>
      <c r="E107" s="84">
        <v>0</v>
      </c>
      <c r="F107" s="84">
        <v>0</v>
      </c>
      <c r="G107" s="84">
        <v>0</v>
      </c>
      <c r="H107" s="84">
        <v>0</v>
      </c>
      <c r="I107" s="84">
        <v>0</v>
      </c>
      <c r="J107" s="84">
        <v>0</v>
      </c>
      <c r="K107" s="84">
        <v>0</v>
      </c>
      <c r="L107" s="84">
        <v>0</v>
      </c>
      <c r="M107" s="84">
        <v>0</v>
      </c>
      <c r="N107" s="84">
        <v>0</v>
      </c>
      <c r="O107" s="84">
        <v>0</v>
      </c>
      <c r="P107" s="84">
        <v>0</v>
      </c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</row>
    <row r="108" spans="1:33" x14ac:dyDescent="0.25">
      <c r="A108" s="84" t="s">
        <v>3</v>
      </c>
      <c r="B108" s="84">
        <v>236.25250600000001</v>
      </c>
      <c r="C108" s="84">
        <v>0</v>
      </c>
      <c r="D108" s="84">
        <v>236.25250600000001</v>
      </c>
      <c r="E108" s="84">
        <v>154.269025</v>
      </c>
      <c r="F108" s="84">
        <v>0.44259515599999999</v>
      </c>
      <c r="G108" s="84">
        <v>51.254886999999997</v>
      </c>
      <c r="H108" s="84">
        <v>8.9976255699999994E-2</v>
      </c>
      <c r="I108" s="84">
        <v>0</v>
      </c>
      <c r="J108" s="84">
        <v>0</v>
      </c>
      <c r="K108" s="84">
        <v>30.1960233</v>
      </c>
      <c r="L108" s="84">
        <v>0</v>
      </c>
      <c r="M108" s="84">
        <v>0</v>
      </c>
      <c r="N108" s="84">
        <v>0</v>
      </c>
      <c r="O108" s="84">
        <v>0</v>
      </c>
      <c r="P108" s="84">
        <v>0</v>
      </c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</row>
    <row r="109" spans="1:33" x14ac:dyDescent="0.25">
      <c r="A109" s="84" t="s">
        <v>4</v>
      </c>
      <c r="B109" s="84">
        <v>53.079549900000004</v>
      </c>
      <c r="C109" s="84">
        <v>0</v>
      </c>
      <c r="D109" s="84">
        <v>53.079549900000004</v>
      </c>
      <c r="E109" s="84">
        <v>24.257440299999999</v>
      </c>
      <c r="F109" s="84">
        <v>3.6239401400000002</v>
      </c>
      <c r="G109" s="84">
        <v>22.655757000000001</v>
      </c>
      <c r="H109" s="84">
        <v>1.1268339999999999</v>
      </c>
      <c r="I109" s="84">
        <v>0</v>
      </c>
      <c r="J109" s="84">
        <v>0</v>
      </c>
      <c r="K109" s="84">
        <v>0</v>
      </c>
      <c r="L109" s="84">
        <v>0</v>
      </c>
      <c r="M109" s="84">
        <v>1.41557851</v>
      </c>
      <c r="N109" s="84">
        <v>0</v>
      </c>
      <c r="O109" s="84">
        <v>0</v>
      </c>
      <c r="P109" s="84">
        <v>0</v>
      </c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</row>
    <row r="110" spans="1:33" x14ac:dyDescent="0.25">
      <c r="A110" s="84" t="s">
        <v>5</v>
      </c>
      <c r="B110" s="84">
        <v>30.1960233</v>
      </c>
      <c r="C110" s="84">
        <v>30.1960233</v>
      </c>
      <c r="D110" s="74">
        <v>0</v>
      </c>
      <c r="E110" s="84">
        <v>16.804122499999998</v>
      </c>
      <c r="F110" s="84">
        <v>2.66810495</v>
      </c>
      <c r="G110" s="84">
        <v>10.533925399999999</v>
      </c>
      <c r="H110" s="84">
        <v>0.18987043000000001</v>
      </c>
      <c r="I110" s="84">
        <v>0</v>
      </c>
      <c r="J110" s="84">
        <v>0</v>
      </c>
      <c r="K110" s="84">
        <v>0</v>
      </c>
      <c r="L110" s="84">
        <v>0</v>
      </c>
      <c r="M110" s="84">
        <v>0</v>
      </c>
      <c r="N110" s="84">
        <v>0</v>
      </c>
      <c r="O110" s="84">
        <v>0</v>
      </c>
      <c r="P110" s="84">
        <v>0</v>
      </c>
      <c r="R110" s="77"/>
      <c r="S110" s="77"/>
      <c r="T110" s="77"/>
      <c r="U110" s="105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</row>
    <row r="111" spans="1:33" x14ac:dyDescent="0.25">
      <c r="A111" s="84" t="s">
        <v>6</v>
      </c>
      <c r="B111" s="84">
        <v>0</v>
      </c>
      <c r="C111" s="84">
        <v>0</v>
      </c>
      <c r="D111" s="84">
        <v>0</v>
      </c>
      <c r="E111" s="84">
        <v>0</v>
      </c>
      <c r="F111" s="84">
        <v>0</v>
      </c>
      <c r="G111" s="84">
        <v>0</v>
      </c>
      <c r="H111" s="84">
        <v>0</v>
      </c>
      <c r="I111" s="84">
        <v>0</v>
      </c>
      <c r="J111" s="84">
        <v>0</v>
      </c>
      <c r="K111" s="84">
        <v>0</v>
      </c>
      <c r="L111" s="84">
        <v>0</v>
      </c>
      <c r="M111" s="84">
        <v>0</v>
      </c>
      <c r="N111" s="84">
        <v>0</v>
      </c>
      <c r="O111" s="84">
        <v>0</v>
      </c>
      <c r="P111" s="84">
        <v>0</v>
      </c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</row>
    <row r="112" spans="1:33" x14ac:dyDescent="0.25">
      <c r="A112" s="84" t="s">
        <v>7</v>
      </c>
      <c r="B112" s="84">
        <v>1.41557851</v>
      </c>
      <c r="C112" s="84">
        <v>1.41557851</v>
      </c>
      <c r="D112" s="84">
        <v>0</v>
      </c>
      <c r="E112" s="84">
        <v>0</v>
      </c>
      <c r="F112" s="84">
        <v>1.0877755499999999</v>
      </c>
      <c r="G112" s="84">
        <v>0.22936807300000001</v>
      </c>
      <c r="H112" s="84">
        <v>9.8434885E-2</v>
      </c>
      <c r="I112" s="84">
        <v>0</v>
      </c>
      <c r="J112" s="84">
        <v>0</v>
      </c>
      <c r="K112" s="84">
        <v>0</v>
      </c>
      <c r="L112" s="84">
        <v>0</v>
      </c>
      <c r="M112" s="84">
        <v>0</v>
      </c>
      <c r="N112" s="84">
        <v>0</v>
      </c>
      <c r="O112" s="84">
        <v>0</v>
      </c>
      <c r="P112" s="84">
        <v>0</v>
      </c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</row>
    <row r="113" spans="1:33" x14ac:dyDescent="0.25">
      <c r="A113" s="84" t="s">
        <v>8</v>
      </c>
      <c r="B113" s="84">
        <v>0</v>
      </c>
      <c r="C113" s="84">
        <v>0</v>
      </c>
      <c r="D113" s="84">
        <v>0</v>
      </c>
      <c r="E113" s="84">
        <v>0</v>
      </c>
      <c r="F113" s="84">
        <v>0</v>
      </c>
      <c r="G113" s="84">
        <v>0</v>
      </c>
      <c r="H113" s="84">
        <v>0</v>
      </c>
      <c r="I113" s="84">
        <v>0</v>
      </c>
      <c r="J113" s="84">
        <v>0</v>
      </c>
      <c r="K113" s="84">
        <v>0</v>
      </c>
      <c r="L113" s="84">
        <v>0</v>
      </c>
      <c r="M113" s="84">
        <v>0</v>
      </c>
      <c r="N113" s="84">
        <v>0</v>
      </c>
      <c r="O113" s="84">
        <v>0</v>
      </c>
      <c r="P113" s="84">
        <v>0</v>
      </c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</row>
    <row r="114" spans="1:33" x14ac:dyDescent="0.25">
      <c r="A114" s="84" t="s">
        <v>9</v>
      </c>
      <c r="B114" s="84">
        <v>0</v>
      </c>
      <c r="C114" s="84">
        <v>0</v>
      </c>
      <c r="D114" s="84">
        <v>0</v>
      </c>
      <c r="E114" s="84">
        <v>0</v>
      </c>
      <c r="F114" s="84">
        <v>0</v>
      </c>
      <c r="G114" s="84">
        <v>0</v>
      </c>
      <c r="H114" s="84">
        <v>0</v>
      </c>
      <c r="I114" s="84">
        <v>0</v>
      </c>
      <c r="J114" s="84">
        <v>0</v>
      </c>
      <c r="K114" s="84">
        <v>0</v>
      </c>
      <c r="L114" s="84">
        <v>0</v>
      </c>
      <c r="M114" s="84">
        <v>0</v>
      </c>
      <c r="N114" s="84">
        <v>0</v>
      </c>
      <c r="O114" s="84">
        <v>0</v>
      </c>
      <c r="P114" s="84">
        <v>0</v>
      </c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</row>
    <row r="115" spans="1:33" x14ac:dyDescent="0.25">
      <c r="A115" s="84" t="s">
        <v>10</v>
      </c>
      <c r="B115" s="84">
        <v>0</v>
      </c>
      <c r="C115" s="84">
        <v>0</v>
      </c>
      <c r="D115" s="84">
        <v>0</v>
      </c>
      <c r="E115" s="84">
        <v>0</v>
      </c>
      <c r="F115" s="84">
        <v>0</v>
      </c>
      <c r="G115" s="84">
        <v>0</v>
      </c>
      <c r="H115" s="84">
        <v>0</v>
      </c>
      <c r="I115" s="84">
        <v>0</v>
      </c>
      <c r="J115" s="84">
        <v>0</v>
      </c>
      <c r="K115" s="84">
        <v>0</v>
      </c>
      <c r="L115" s="84">
        <v>0</v>
      </c>
      <c r="M115" s="84">
        <v>0</v>
      </c>
      <c r="N115" s="84">
        <v>0</v>
      </c>
      <c r="O115" s="84">
        <v>0</v>
      </c>
      <c r="P115" s="84">
        <v>0</v>
      </c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</row>
    <row r="116" spans="1:33" x14ac:dyDescent="0.25">
      <c r="A116" s="84" t="s">
        <v>11</v>
      </c>
      <c r="B116" s="84">
        <v>0</v>
      </c>
      <c r="C116" s="84">
        <v>0</v>
      </c>
      <c r="D116" s="84">
        <v>0</v>
      </c>
      <c r="E116" s="84">
        <v>0</v>
      </c>
      <c r="F116" s="84">
        <v>0</v>
      </c>
      <c r="G116" s="84">
        <v>0</v>
      </c>
      <c r="H116" s="84">
        <v>0</v>
      </c>
      <c r="I116" s="84">
        <v>0</v>
      </c>
      <c r="J116" s="84">
        <v>0</v>
      </c>
      <c r="K116" s="84">
        <v>0</v>
      </c>
      <c r="L116" s="84">
        <v>0</v>
      </c>
      <c r="M116" s="84">
        <v>0</v>
      </c>
      <c r="N116" s="84">
        <v>0</v>
      </c>
      <c r="O116" s="84">
        <v>0</v>
      </c>
      <c r="P116" s="84">
        <v>0</v>
      </c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</row>
    <row r="117" spans="1:33" x14ac:dyDescent="0.25">
      <c r="A117" s="84" t="s">
        <v>12</v>
      </c>
      <c r="B117" s="84">
        <v>0</v>
      </c>
      <c r="C117" s="84">
        <v>0</v>
      </c>
      <c r="D117" s="84">
        <v>0</v>
      </c>
      <c r="E117" s="84">
        <v>0</v>
      </c>
      <c r="F117" s="84">
        <v>0</v>
      </c>
      <c r="G117" s="84">
        <v>0</v>
      </c>
      <c r="H117" s="84">
        <v>0</v>
      </c>
      <c r="I117" s="84">
        <v>0</v>
      </c>
      <c r="J117" s="84">
        <v>0</v>
      </c>
      <c r="K117" s="84">
        <v>0</v>
      </c>
      <c r="L117" s="84">
        <v>0</v>
      </c>
      <c r="M117" s="84">
        <v>0</v>
      </c>
      <c r="N117" s="84">
        <v>0</v>
      </c>
      <c r="O117" s="84">
        <v>0</v>
      </c>
      <c r="P117" s="84">
        <v>0</v>
      </c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</row>
    <row r="118" spans="1:33" x14ac:dyDescent="0.25">
      <c r="A118" s="84" t="s">
        <v>13</v>
      </c>
      <c r="B118" s="84">
        <v>0</v>
      </c>
      <c r="C118" s="84">
        <v>0</v>
      </c>
      <c r="D118" s="84">
        <v>0</v>
      </c>
      <c r="E118" s="84">
        <v>0</v>
      </c>
      <c r="F118" s="84">
        <v>0</v>
      </c>
      <c r="G118" s="84">
        <v>0</v>
      </c>
      <c r="H118" s="84">
        <v>0</v>
      </c>
      <c r="I118" s="84">
        <v>0</v>
      </c>
      <c r="J118" s="84">
        <v>0</v>
      </c>
      <c r="K118" s="84">
        <v>0</v>
      </c>
      <c r="L118" s="84">
        <v>0</v>
      </c>
      <c r="M118" s="84">
        <v>0</v>
      </c>
      <c r="N118" s="84">
        <v>0</v>
      </c>
      <c r="O118" s="84">
        <v>0</v>
      </c>
      <c r="P118" s="84">
        <v>0</v>
      </c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</row>
    <row r="119" spans="1:33" x14ac:dyDescent="0.25">
      <c r="A119" s="84" t="s">
        <v>14</v>
      </c>
      <c r="B119" s="84">
        <v>0</v>
      </c>
      <c r="C119" s="84">
        <v>0</v>
      </c>
      <c r="D119" s="84">
        <v>0</v>
      </c>
      <c r="E119" s="84">
        <v>0</v>
      </c>
      <c r="F119" s="84">
        <v>0</v>
      </c>
      <c r="G119" s="84">
        <v>0</v>
      </c>
      <c r="H119" s="84">
        <v>0</v>
      </c>
      <c r="I119" s="84">
        <v>0</v>
      </c>
      <c r="J119" s="84">
        <v>0</v>
      </c>
      <c r="K119" s="84">
        <v>0</v>
      </c>
      <c r="L119" s="84">
        <v>0</v>
      </c>
      <c r="M119" s="84">
        <v>0</v>
      </c>
      <c r="N119" s="84">
        <v>0</v>
      </c>
      <c r="O119" s="84">
        <v>0</v>
      </c>
      <c r="P119" s="84">
        <v>0</v>
      </c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</row>
    <row r="120" spans="1:33" x14ac:dyDescent="0.25">
      <c r="A120" s="84" t="s">
        <v>292</v>
      </c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</row>
    <row r="121" spans="1:33" x14ac:dyDescent="0.25">
      <c r="A121" s="84" t="s">
        <v>360</v>
      </c>
      <c r="B121" s="84" t="s">
        <v>366</v>
      </c>
      <c r="C121" s="84" t="s">
        <v>367</v>
      </c>
      <c r="D121" s="84" t="s">
        <v>368</v>
      </c>
      <c r="E121" s="84" t="s">
        <v>21</v>
      </c>
      <c r="F121" s="84" t="s">
        <v>22</v>
      </c>
      <c r="G121" s="84" t="s">
        <v>23</v>
      </c>
      <c r="H121" s="84" t="s">
        <v>361</v>
      </c>
      <c r="I121" s="84" t="s">
        <v>25</v>
      </c>
      <c r="J121" s="84" t="s">
        <v>362</v>
      </c>
      <c r="K121" s="84" t="s">
        <v>5</v>
      </c>
      <c r="L121" s="84" t="s">
        <v>6</v>
      </c>
      <c r="M121" s="84" t="s">
        <v>7</v>
      </c>
      <c r="N121" s="84" t="s">
        <v>8</v>
      </c>
      <c r="O121" s="84" t="s">
        <v>9</v>
      </c>
      <c r="P121" s="84" t="s">
        <v>363</v>
      </c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</row>
    <row r="122" spans="1:33" x14ac:dyDescent="0.25">
      <c r="A122" s="84" t="s">
        <v>364</v>
      </c>
      <c r="B122" s="84" t="s">
        <v>369</v>
      </c>
      <c r="C122" s="84" t="s">
        <v>369</v>
      </c>
      <c r="D122" s="84" t="s">
        <v>369</v>
      </c>
      <c r="E122" s="84" t="s">
        <v>369</v>
      </c>
      <c r="F122" s="84" t="s">
        <v>369</v>
      </c>
      <c r="G122" s="84" t="s">
        <v>369</v>
      </c>
      <c r="H122" s="84" t="s">
        <v>369</v>
      </c>
      <c r="I122" s="84" t="s">
        <v>369</v>
      </c>
      <c r="J122" s="84" t="s">
        <v>369</v>
      </c>
      <c r="K122" s="84" t="s">
        <v>369</v>
      </c>
      <c r="L122" s="84" t="s">
        <v>369</v>
      </c>
      <c r="M122" s="84" t="s">
        <v>369</v>
      </c>
      <c r="N122" s="84" t="s">
        <v>369</v>
      </c>
      <c r="O122" s="84" t="s">
        <v>369</v>
      </c>
      <c r="P122" s="84" t="s">
        <v>369</v>
      </c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</row>
    <row r="123" spans="1:33" x14ac:dyDescent="0.25">
      <c r="A123" s="84" t="s">
        <v>1</v>
      </c>
      <c r="B123" s="84">
        <v>6.35458167</v>
      </c>
      <c r="C123" s="84">
        <v>0</v>
      </c>
      <c r="D123" s="84">
        <v>6.35458167</v>
      </c>
      <c r="E123" s="84">
        <v>1.17176467</v>
      </c>
      <c r="F123" s="84">
        <v>0</v>
      </c>
      <c r="G123" s="84">
        <v>1.5670525599999999E-2</v>
      </c>
      <c r="H123" s="84">
        <v>0</v>
      </c>
      <c r="I123" s="84">
        <v>0</v>
      </c>
      <c r="J123" s="84">
        <v>0</v>
      </c>
      <c r="K123" s="84">
        <v>0</v>
      </c>
      <c r="L123" s="84">
        <v>0</v>
      </c>
      <c r="M123" s="84">
        <v>5.1671464800000004</v>
      </c>
      <c r="N123" s="84">
        <v>0</v>
      </c>
      <c r="O123" s="84">
        <v>0</v>
      </c>
      <c r="P123" s="84">
        <v>0</v>
      </c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</row>
    <row r="124" spans="1:33" x14ac:dyDescent="0.25">
      <c r="A124" s="84" t="s">
        <v>2</v>
      </c>
      <c r="B124" s="84">
        <v>10.1797115</v>
      </c>
      <c r="C124" s="84">
        <v>0</v>
      </c>
      <c r="D124" s="84">
        <v>10.1797115</v>
      </c>
      <c r="E124" s="84">
        <v>0</v>
      </c>
      <c r="F124" s="84">
        <v>0</v>
      </c>
      <c r="G124" s="84">
        <v>6.4881311499999997E-3</v>
      </c>
      <c r="H124" s="84">
        <v>0</v>
      </c>
      <c r="I124" s="84">
        <v>0</v>
      </c>
      <c r="J124" s="84">
        <v>0</v>
      </c>
      <c r="K124" s="84">
        <v>10.1732233</v>
      </c>
      <c r="L124" s="84">
        <v>0</v>
      </c>
      <c r="M124" s="84">
        <v>0</v>
      </c>
      <c r="N124" s="84">
        <v>0</v>
      </c>
      <c r="O124" s="84">
        <v>0</v>
      </c>
      <c r="P124" s="84">
        <v>0</v>
      </c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</row>
    <row r="125" spans="1:33" x14ac:dyDescent="0.25">
      <c r="A125" s="84" t="s">
        <v>3</v>
      </c>
      <c r="B125" s="84">
        <v>68.359555799999995</v>
      </c>
      <c r="C125" s="84">
        <v>0</v>
      </c>
      <c r="D125" s="84">
        <v>68.359555799999995</v>
      </c>
      <c r="E125" s="84">
        <v>43.900900399999998</v>
      </c>
      <c r="F125" s="84">
        <v>0.162594708</v>
      </c>
      <c r="G125" s="84">
        <v>14.679674500000001</v>
      </c>
      <c r="H125" s="84">
        <v>3.94714782E-2</v>
      </c>
      <c r="I125" s="84">
        <v>0</v>
      </c>
      <c r="J125" s="84">
        <v>0</v>
      </c>
      <c r="K125" s="84">
        <v>5.0326705499999997</v>
      </c>
      <c r="L125" s="84">
        <v>0</v>
      </c>
      <c r="M125" s="84">
        <v>0</v>
      </c>
      <c r="N125" s="84">
        <v>0</v>
      </c>
      <c r="O125" s="84">
        <v>0</v>
      </c>
      <c r="P125" s="84">
        <v>4.5442441699999998</v>
      </c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</row>
    <row r="126" spans="1:33" x14ac:dyDescent="0.25">
      <c r="A126" s="84" t="s">
        <v>4</v>
      </c>
      <c r="B126" s="84">
        <v>132.08867599999999</v>
      </c>
      <c r="C126" s="84">
        <v>0</v>
      </c>
      <c r="D126" s="84">
        <v>132.08867599999999</v>
      </c>
      <c r="E126" s="84">
        <v>68.176825300000004</v>
      </c>
      <c r="F126" s="84">
        <v>11.062958999999999</v>
      </c>
      <c r="G126" s="84">
        <v>54.108702399999999</v>
      </c>
      <c r="H126" s="84">
        <v>2.4460274399999999</v>
      </c>
      <c r="I126" s="84">
        <v>0</v>
      </c>
      <c r="J126" s="84">
        <v>0</v>
      </c>
      <c r="K126" s="84">
        <v>0</v>
      </c>
      <c r="L126" s="84">
        <v>0</v>
      </c>
      <c r="M126" s="84">
        <v>2.4153535499999998</v>
      </c>
      <c r="N126" s="84">
        <v>0</v>
      </c>
      <c r="O126" s="84">
        <v>0</v>
      </c>
      <c r="P126" s="84">
        <v>-6.12119123</v>
      </c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</row>
    <row r="127" spans="1:33" x14ac:dyDescent="0.25">
      <c r="A127" s="84" t="s">
        <v>5</v>
      </c>
      <c r="B127" s="84">
        <v>55.986693699999996</v>
      </c>
      <c r="C127" s="84">
        <v>55.435264400000001</v>
      </c>
      <c r="D127" s="84">
        <v>0.55142924800000004</v>
      </c>
      <c r="E127" s="84">
        <v>29.029406999999999</v>
      </c>
      <c r="F127" s="84">
        <v>5.0262511200000004</v>
      </c>
      <c r="G127" s="84">
        <v>21.525372699999998</v>
      </c>
      <c r="H127" s="84">
        <v>0.40566282300000001</v>
      </c>
      <c r="I127" s="84">
        <v>0</v>
      </c>
      <c r="J127" s="84">
        <v>0</v>
      </c>
      <c r="K127" s="84">
        <v>0</v>
      </c>
      <c r="L127" s="84">
        <v>0</v>
      </c>
      <c r="M127" s="84">
        <v>0</v>
      </c>
      <c r="N127" s="84">
        <v>0</v>
      </c>
      <c r="O127" s="84">
        <v>0</v>
      </c>
      <c r="P127" s="84">
        <v>0</v>
      </c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</row>
    <row r="128" spans="1:33" x14ac:dyDescent="0.25">
      <c r="A128" s="84" t="s">
        <v>6</v>
      </c>
      <c r="B128" s="84">
        <v>0</v>
      </c>
      <c r="C128" s="84">
        <v>0</v>
      </c>
      <c r="D128" s="84">
        <v>0</v>
      </c>
      <c r="E128" s="84">
        <v>0</v>
      </c>
      <c r="F128" s="84">
        <v>0</v>
      </c>
      <c r="G128" s="84">
        <v>0</v>
      </c>
      <c r="H128" s="84">
        <v>0</v>
      </c>
      <c r="I128" s="84">
        <v>0</v>
      </c>
      <c r="J128" s="84">
        <v>0</v>
      </c>
      <c r="K128" s="84">
        <v>0</v>
      </c>
      <c r="L128" s="84">
        <v>0</v>
      </c>
      <c r="M128" s="84">
        <v>0</v>
      </c>
      <c r="N128" s="84">
        <v>0</v>
      </c>
      <c r="O128" s="84">
        <v>0</v>
      </c>
      <c r="P128" s="84">
        <v>0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</row>
    <row r="129" spans="1:33" x14ac:dyDescent="0.25">
      <c r="A129" s="84" t="s">
        <v>7</v>
      </c>
      <c r="B129" s="84">
        <v>12.318834900000001</v>
      </c>
      <c r="C129" s="84">
        <v>9.0006576299999992</v>
      </c>
      <c r="D129" s="84">
        <v>3.3181772700000001</v>
      </c>
      <c r="E129" s="84">
        <v>0</v>
      </c>
      <c r="F129" s="84">
        <v>10.0467672</v>
      </c>
      <c r="G129" s="84">
        <v>1.5096455499999999</v>
      </c>
      <c r="H129" s="84">
        <v>0.76242218900000003</v>
      </c>
      <c r="I129" s="84">
        <v>0</v>
      </c>
      <c r="J129" s="84">
        <v>0</v>
      </c>
      <c r="K129" s="84">
        <v>0</v>
      </c>
      <c r="L129" s="84">
        <v>0</v>
      </c>
      <c r="M129" s="84">
        <v>0</v>
      </c>
      <c r="N129" s="84">
        <v>0</v>
      </c>
      <c r="O129" s="84">
        <v>0</v>
      </c>
      <c r="P129" s="84">
        <v>0</v>
      </c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</row>
    <row r="130" spans="1:33" x14ac:dyDescent="0.25">
      <c r="A130" s="84" t="s">
        <v>8</v>
      </c>
      <c r="B130" s="84">
        <v>0</v>
      </c>
      <c r="C130" s="84">
        <v>0</v>
      </c>
      <c r="D130" s="84">
        <v>0</v>
      </c>
      <c r="E130" s="84">
        <v>0</v>
      </c>
      <c r="F130" s="84">
        <v>0</v>
      </c>
      <c r="G130" s="84">
        <v>0</v>
      </c>
      <c r="H130" s="84">
        <v>0</v>
      </c>
      <c r="I130" s="84">
        <v>0</v>
      </c>
      <c r="J130" s="84">
        <v>0</v>
      </c>
      <c r="K130" s="84">
        <v>0</v>
      </c>
      <c r="L130" s="84">
        <v>0</v>
      </c>
      <c r="M130" s="84">
        <v>0</v>
      </c>
      <c r="N130" s="84">
        <v>0</v>
      </c>
      <c r="O130" s="84">
        <v>0</v>
      </c>
      <c r="P130" s="84">
        <v>0</v>
      </c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</row>
    <row r="131" spans="1:33" x14ac:dyDescent="0.25">
      <c r="A131" s="84" t="s">
        <v>9</v>
      </c>
      <c r="B131" s="84">
        <v>0</v>
      </c>
      <c r="C131" s="84">
        <v>0</v>
      </c>
      <c r="D131" s="84">
        <v>0</v>
      </c>
      <c r="E131" s="84">
        <v>0</v>
      </c>
      <c r="F131" s="84">
        <v>0</v>
      </c>
      <c r="G131" s="84">
        <v>0</v>
      </c>
      <c r="H131" s="84">
        <v>0</v>
      </c>
      <c r="I131" s="84">
        <v>0</v>
      </c>
      <c r="J131" s="84">
        <v>0</v>
      </c>
      <c r="K131" s="84">
        <v>0</v>
      </c>
      <c r="L131" s="84">
        <v>0</v>
      </c>
      <c r="M131" s="84">
        <v>0</v>
      </c>
      <c r="N131" s="84">
        <v>0</v>
      </c>
      <c r="O131" s="84">
        <v>0</v>
      </c>
      <c r="P131" s="84">
        <v>0</v>
      </c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</row>
    <row r="132" spans="1:33" x14ac:dyDescent="0.25">
      <c r="A132" s="84" t="s">
        <v>10</v>
      </c>
      <c r="B132" s="84">
        <v>22.520050300000001</v>
      </c>
      <c r="C132" s="84">
        <v>0</v>
      </c>
      <c r="D132" s="84">
        <v>22.520050300000001</v>
      </c>
      <c r="E132" s="84">
        <v>0</v>
      </c>
      <c r="F132" s="84">
        <v>-1.9417500000000001</v>
      </c>
      <c r="G132" s="84">
        <v>3.60687779E-3</v>
      </c>
      <c r="H132" s="84">
        <v>0</v>
      </c>
      <c r="I132" s="84">
        <v>0</v>
      </c>
      <c r="J132" s="84">
        <v>0</v>
      </c>
      <c r="K132" s="84">
        <v>24.419343099999999</v>
      </c>
      <c r="L132" s="84">
        <v>0</v>
      </c>
      <c r="M132" s="84">
        <v>3.8850335999999999E-2</v>
      </c>
      <c r="N132" s="84">
        <v>0</v>
      </c>
      <c r="O132" s="84">
        <v>0</v>
      </c>
      <c r="P132" s="84">
        <v>0</v>
      </c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</row>
    <row r="133" spans="1:33" x14ac:dyDescent="0.25">
      <c r="A133" s="84" t="s">
        <v>11</v>
      </c>
      <c r="B133" s="84">
        <v>1.74031311</v>
      </c>
      <c r="C133" s="84">
        <v>0</v>
      </c>
      <c r="D133" s="84">
        <v>1.74031311</v>
      </c>
      <c r="E133" s="84">
        <v>0.79532591100000005</v>
      </c>
      <c r="F133" s="84">
        <v>0.11881771000000001</v>
      </c>
      <c r="G133" s="84">
        <v>0.74281170399999996</v>
      </c>
      <c r="H133" s="84">
        <v>3.6945377100000003E-2</v>
      </c>
      <c r="I133" s="84">
        <v>0</v>
      </c>
      <c r="J133" s="84">
        <v>0</v>
      </c>
      <c r="K133" s="84">
        <v>0</v>
      </c>
      <c r="L133" s="84">
        <v>0</v>
      </c>
      <c r="M133" s="84">
        <v>4.6412410000000001E-2</v>
      </c>
      <c r="N133" s="84">
        <v>0</v>
      </c>
      <c r="O133" s="84">
        <v>0</v>
      </c>
      <c r="P133" s="84">
        <v>0</v>
      </c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</row>
    <row r="134" spans="1:33" x14ac:dyDescent="0.25">
      <c r="A134" s="84" t="s">
        <v>12</v>
      </c>
      <c r="B134" s="84">
        <v>78.072941</v>
      </c>
      <c r="C134" s="84">
        <v>-1.57694706</v>
      </c>
      <c r="D134" s="84">
        <v>79.649888099999998</v>
      </c>
      <c r="E134" s="84">
        <v>58.637180800000003</v>
      </c>
      <c r="F134" s="84">
        <v>0.80825575299999997</v>
      </c>
      <c r="G134" s="84">
        <v>13.7303642</v>
      </c>
      <c r="H134" s="84">
        <v>0.234534037</v>
      </c>
      <c r="I134" s="84">
        <v>0</v>
      </c>
      <c r="J134" s="84">
        <v>0</v>
      </c>
      <c r="K134" s="84">
        <v>4.3164103200000001</v>
      </c>
      <c r="L134" s="84">
        <v>0</v>
      </c>
      <c r="M134" s="84">
        <v>0.346195847</v>
      </c>
      <c r="N134" s="84">
        <v>0</v>
      </c>
      <c r="O134" s="84">
        <v>0</v>
      </c>
      <c r="P134" s="84">
        <v>0</v>
      </c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</row>
    <row r="135" spans="1:33" x14ac:dyDescent="0.25">
      <c r="A135" s="84" t="s">
        <v>13</v>
      </c>
      <c r="B135" s="84">
        <v>59.995290199999999</v>
      </c>
      <c r="C135" s="84">
        <v>0</v>
      </c>
      <c r="D135" s="84">
        <v>59.995290199999999</v>
      </c>
      <c r="E135" s="84">
        <v>42.2715125</v>
      </c>
      <c r="F135" s="84">
        <v>5.7173855299999996</v>
      </c>
      <c r="G135" s="84">
        <v>0</v>
      </c>
      <c r="H135" s="84">
        <v>0</v>
      </c>
      <c r="I135" s="84">
        <v>0</v>
      </c>
      <c r="J135" s="84">
        <v>0</v>
      </c>
      <c r="K135" s="84">
        <v>11.4936171</v>
      </c>
      <c r="L135" s="84">
        <v>0</v>
      </c>
      <c r="M135" s="84">
        <v>0.51277499999999998</v>
      </c>
      <c r="N135" s="84">
        <v>0</v>
      </c>
      <c r="O135" s="84">
        <v>0</v>
      </c>
      <c r="P135" s="84">
        <v>0</v>
      </c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</row>
    <row r="136" spans="1:33" x14ac:dyDescent="0.25">
      <c r="A136" s="84" t="s">
        <v>14</v>
      </c>
      <c r="B136" s="84">
        <v>1.93513994</v>
      </c>
      <c r="C136" s="84">
        <v>0</v>
      </c>
      <c r="D136" s="84">
        <v>1.93513994</v>
      </c>
      <c r="E136" s="84">
        <v>0.25240522999999998</v>
      </c>
      <c r="F136" s="84">
        <v>1.02984103</v>
      </c>
      <c r="G136" s="84">
        <v>9.5894551199999997E-2</v>
      </c>
      <c r="H136" s="84">
        <v>8.3075126499999999E-2</v>
      </c>
      <c r="I136" s="84">
        <v>0</v>
      </c>
      <c r="J136" s="84">
        <v>0</v>
      </c>
      <c r="K136" s="84">
        <v>0</v>
      </c>
      <c r="L136" s="84">
        <v>0</v>
      </c>
      <c r="M136" s="84">
        <v>0.47392400699999998</v>
      </c>
      <c r="N136" s="84">
        <v>0</v>
      </c>
      <c r="O136" s="84">
        <v>0</v>
      </c>
      <c r="P136" s="84">
        <v>0</v>
      </c>
      <c r="R136" s="77"/>
      <c r="S136" s="77"/>
      <c r="T136" s="77"/>
      <c r="U136" s="77"/>
      <c r="V136" s="77"/>
      <c r="W136" s="77"/>
      <c r="X136" s="77"/>
      <c r="Y136" s="77"/>
      <c r="Z136" s="105"/>
      <c r="AA136" s="77"/>
      <c r="AB136" s="77"/>
      <c r="AC136" s="77"/>
      <c r="AD136" s="77"/>
      <c r="AE136" s="77"/>
      <c r="AF136" s="77"/>
      <c r="AG136" s="77"/>
    </row>
    <row r="137" spans="1:33" x14ac:dyDescent="0.25">
      <c r="A137" s="84" t="s">
        <v>293</v>
      </c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</row>
    <row r="138" spans="1:33" x14ac:dyDescent="0.25">
      <c r="A138" s="84" t="s">
        <v>360</v>
      </c>
      <c r="B138" s="84" t="s">
        <v>18</v>
      </c>
      <c r="C138" s="84" t="s">
        <v>19</v>
      </c>
      <c r="D138" s="84" t="s">
        <v>20</v>
      </c>
      <c r="E138" s="84" t="s">
        <v>21</v>
      </c>
      <c r="F138" s="84" t="s">
        <v>22</v>
      </c>
      <c r="G138" s="84" t="s">
        <v>23</v>
      </c>
      <c r="H138" s="84" t="s">
        <v>361</v>
      </c>
      <c r="I138" s="84" t="s">
        <v>25</v>
      </c>
      <c r="J138" s="84" t="s">
        <v>362</v>
      </c>
      <c r="K138" s="84" t="s">
        <v>5</v>
      </c>
      <c r="L138" s="84" t="s">
        <v>6</v>
      </c>
      <c r="M138" s="84" t="s">
        <v>7</v>
      </c>
      <c r="N138" s="84" t="s">
        <v>8</v>
      </c>
      <c r="O138" s="84" t="s">
        <v>9</v>
      </c>
      <c r="P138" s="84" t="s">
        <v>363</v>
      </c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</row>
    <row r="139" spans="1:33" x14ac:dyDescent="0.25">
      <c r="A139" s="84" t="s">
        <v>364</v>
      </c>
      <c r="B139" s="84" t="s">
        <v>370</v>
      </c>
      <c r="C139" s="84" t="s">
        <v>370</v>
      </c>
      <c r="D139" s="84" t="s">
        <v>370</v>
      </c>
      <c r="E139" s="84" t="s">
        <v>370</v>
      </c>
      <c r="F139" s="84" t="s">
        <v>370</v>
      </c>
      <c r="G139" s="84" t="s">
        <v>370</v>
      </c>
      <c r="H139" s="84" t="s">
        <v>370</v>
      </c>
      <c r="I139" s="84" t="s">
        <v>370</v>
      </c>
      <c r="J139" s="84" t="s">
        <v>370</v>
      </c>
      <c r="K139" s="84" t="s">
        <v>370</v>
      </c>
      <c r="L139" s="84" t="s">
        <v>370</v>
      </c>
      <c r="M139" s="84" t="s">
        <v>370</v>
      </c>
      <c r="N139" s="84" t="s">
        <v>370</v>
      </c>
      <c r="O139" s="84" t="s">
        <v>370</v>
      </c>
      <c r="P139" s="84" t="s">
        <v>370</v>
      </c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</row>
    <row r="140" spans="1:33" x14ac:dyDescent="0.25">
      <c r="A140" s="84" t="s">
        <v>1</v>
      </c>
      <c r="B140" s="84">
        <v>0</v>
      </c>
      <c r="C140" s="84">
        <v>0</v>
      </c>
      <c r="D140" s="84">
        <v>0</v>
      </c>
      <c r="E140" s="84">
        <v>0</v>
      </c>
      <c r="F140" s="84">
        <v>0</v>
      </c>
      <c r="G140" s="84">
        <v>0</v>
      </c>
      <c r="H140" s="84">
        <v>0</v>
      </c>
      <c r="I140" s="84">
        <v>0</v>
      </c>
      <c r="J140" s="84">
        <v>0</v>
      </c>
      <c r="K140" s="84">
        <v>0</v>
      </c>
      <c r="L140" s="84">
        <v>0</v>
      </c>
      <c r="M140" s="84">
        <v>0</v>
      </c>
      <c r="N140" s="84">
        <v>0</v>
      </c>
      <c r="O140" s="84">
        <v>0</v>
      </c>
      <c r="P140" s="84">
        <v>0</v>
      </c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</row>
    <row r="141" spans="1:33" x14ac:dyDescent="0.25">
      <c r="A141" s="84" t="s">
        <v>2</v>
      </c>
      <c r="B141" s="84">
        <v>2.2073066899999998</v>
      </c>
      <c r="C141" s="84">
        <v>0</v>
      </c>
      <c r="D141" s="84">
        <v>2.2073066899999998</v>
      </c>
      <c r="E141" s="84">
        <v>0</v>
      </c>
      <c r="F141" s="84">
        <v>0</v>
      </c>
      <c r="G141" s="84">
        <v>0</v>
      </c>
      <c r="H141" s="84">
        <v>0</v>
      </c>
      <c r="I141" s="84">
        <v>0</v>
      </c>
      <c r="J141" s="84">
        <v>0</v>
      </c>
      <c r="K141" s="84">
        <v>2.2073066899999998</v>
      </c>
      <c r="L141" s="84">
        <v>0</v>
      </c>
      <c r="M141" s="84">
        <v>0</v>
      </c>
      <c r="N141" s="84">
        <v>0</v>
      </c>
      <c r="O141" s="84">
        <v>0</v>
      </c>
      <c r="P141" s="84">
        <v>0</v>
      </c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</row>
    <row r="142" spans="1:33" x14ac:dyDescent="0.25">
      <c r="A142" s="84" t="s">
        <v>3</v>
      </c>
      <c r="B142" s="84">
        <v>4.6675354699999998</v>
      </c>
      <c r="C142" s="84">
        <v>0</v>
      </c>
      <c r="D142" s="84">
        <v>4.6675354699999998</v>
      </c>
      <c r="E142" s="84">
        <v>3.0478243699999998</v>
      </c>
      <c r="F142" s="84">
        <v>8.7441552400000008E-3</v>
      </c>
      <c r="G142" s="84">
        <v>1.0126199600000001</v>
      </c>
      <c r="H142" s="84">
        <v>1.7776207800000001E-3</v>
      </c>
      <c r="I142" s="84">
        <v>0</v>
      </c>
      <c r="J142" s="84">
        <v>0</v>
      </c>
      <c r="K142" s="84">
        <v>0.59656937499999996</v>
      </c>
      <c r="L142" s="84">
        <v>0</v>
      </c>
      <c r="M142" s="84">
        <v>0</v>
      </c>
      <c r="N142" s="84">
        <v>0</v>
      </c>
      <c r="O142" s="84">
        <v>0</v>
      </c>
      <c r="P142" s="84">
        <v>0</v>
      </c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</row>
    <row r="143" spans="1:33" x14ac:dyDescent="0.25">
      <c r="A143" s="84" t="s">
        <v>4</v>
      </c>
      <c r="B143" s="84">
        <v>3.1325636000000001</v>
      </c>
      <c r="C143" s="84">
        <v>0</v>
      </c>
      <c r="D143" s="84">
        <v>3.1325636000000001</v>
      </c>
      <c r="E143" s="84">
        <v>1.4315866399999999</v>
      </c>
      <c r="F143" s="84">
        <v>0.21387187699999999</v>
      </c>
      <c r="G143" s="84">
        <v>1.3370610700000001</v>
      </c>
      <c r="H143" s="84">
        <v>6.6501678800000005E-2</v>
      </c>
      <c r="I143" s="84">
        <v>0</v>
      </c>
      <c r="J143" s="84">
        <v>0</v>
      </c>
      <c r="K143" s="84">
        <v>0</v>
      </c>
      <c r="L143" s="84">
        <v>0</v>
      </c>
      <c r="M143" s="84">
        <v>8.3542337999999994E-2</v>
      </c>
      <c r="N143" s="84">
        <v>0</v>
      </c>
      <c r="O143" s="84">
        <v>0</v>
      </c>
      <c r="P143" s="84">
        <v>0</v>
      </c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</row>
    <row r="144" spans="1:33" x14ac:dyDescent="0.25">
      <c r="A144" s="84" t="s">
        <v>5</v>
      </c>
      <c r="B144" s="84">
        <v>2.2073066899999998</v>
      </c>
      <c r="C144" s="84">
        <v>2.8038760599999999</v>
      </c>
      <c r="D144" s="84">
        <v>-0.59656937499999996</v>
      </c>
      <c r="E144" s="84">
        <v>1.2283687700000001</v>
      </c>
      <c r="F144" s="84">
        <v>0.19503647299999999</v>
      </c>
      <c r="G144" s="84">
        <v>0.77002205899999998</v>
      </c>
      <c r="H144" s="84">
        <v>1.38793862E-2</v>
      </c>
      <c r="I144" s="84">
        <v>0</v>
      </c>
      <c r="J144" s="84">
        <v>0</v>
      </c>
      <c r="K144" s="84">
        <v>0</v>
      </c>
      <c r="L144" s="84">
        <v>0</v>
      </c>
      <c r="M144" s="84">
        <v>0</v>
      </c>
      <c r="N144" s="84">
        <v>0</v>
      </c>
      <c r="O144" s="84">
        <v>0</v>
      </c>
      <c r="P144" s="84">
        <v>0</v>
      </c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</row>
    <row r="145" spans="1:33" x14ac:dyDescent="0.25">
      <c r="A145" s="84" t="s">
        <v>6</v>
      </c>
      <c r="B145" s="84">
        <v>0</v>
      </c>
      <c r="C145" s="84">
        <v>0</v>
      </c>
      <c r="D145" s="84">
        <v>0</v>
      </c>
      <c r="E145" s="84">
        <v>0</v>
      </c>
      <c r="F145" s="84">
        <v>0</v>
      </c>
      <c r="G145" s="84">
        <v>0</v>
      </c>
      <c r="H145" s="84">
        <v>0</v>
      </c>
      <c r="I145" s="84">
        <v>0</v>
      </c>
      <c r="J145" s="84">
        <v>0</v>
      </c>
      <c r="K145" s="84">
        <v>0</v>
      </c>
      <c r="L145" s="84">
        <v>0</v>
      </c>
      <c r="M145" s="84">
        <v>0</v>
      </c>
      <c r="N145" s="84">
        <v>0</v>
      </c>
      <c r="O145" s="84">
        <v>0</v>
      </c>
      <c r="P145" s="84">
        <v>0</v>
      </c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</row>
    <row r="146" spans="1:33" x14ac:dyDescent="0.25">
      <c r="A146" s="84" t="s">
        <v>7</v>
      </c>
      <c r="B146" s="84">
        <v>0.21373832300000001</v>
      </c>
      <c r="C146" s="84">
        <v>8.3542337999999994E-2</v>
      </c>
      <c r="D146" s="84">
        <v>0.13019598499999999</v>
      </c>
      <c r="E146" s="84">
        <v>0</v>
      </c>
      <c r="F146" s="84">
        <v>0.164243325</v>
      </c>
      <c r="G146" s="84">
        <v>3.4632305400000001E-2</v>
      </c>
      <c r="H146" s="84">
        <v>1.4862691900000001E-2</v>
      </c>
      <c r="I146" s="84">
        <v>0</v>
      </c>
      <c r="J146" s="84">
        <v>0</v>
      </c>
      <c r="K146" s="84">
        <v>0</v>
      </c>
      <c r="L146" s="84">
        <v>0</v>
      </c>
      <c r="M146" s="84">
        <v>0</v>
      </c>
      <c r="N146" s="84">
        <v>0</v>
      </c>
      <c r="O146" s="84">
        <v>0</v>
      </c>
      <c r="P146" s="84">
        <v>0</v>
      </c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</row>
    <row r="147" spans="1:33" x14ac:dyDescent="0.25">
      <c r="A147" s="84" t="s">
        <v>8</v>
      </c>
      <c r="B147" s="84">
        <v>0</v>
      </c>
      <c r="C147" s="84">
        <v>0</v>
      </c>
      <c r="D147" s="84">
        <v>0</v>
      </c>
      <c r="E147" s="84">
        <v>0</v>
      </c>
      <c r="F147" s="84">
        <v>0</v>
      </c>
      <c r="G147" s="84">
        <v>0</v>
      </c>
      <c r="H147" s="84">
        <v>0</v>
      </c>
      <c r="I147" s="84">
        <v>0</v>
      </c>
      <c r="J147" s="84">
        <v>0</v>
      </c>
      <c r="K147" s="84">
        <v>0</v>
      </c>
      <c r="L147" s="84">
        <v>0</v>
      </c>
      <c r="M147" s="84">
        <v>0</v>
      </c>
      <c r="N147" s="84">
        <v>0</v>
      </c>
      <c r="O147" s="84">
        <v>0</v>
      </c>
      <c r="P147" s="84">
        <v>0</v>
      </c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</row>
    <row r="148" spans="1:33" x14ac:dyDescent="0.25">
      <c r="A148" s="84" t="s">
        <v>9</v>
      </c>
      <c r="B148" s="84">
        <v>0</v>
      </c>
      <c r="C148" s="84">
        <v>0</v>
      </c>
      <c r="D148" s="84">
        <v>0</v>
      </c>
      <c r="E148" s="84">
        <v>0</v>
      </c>
      <c r="F148" s="84">
        <v>0</v>
      </c>
      <c r="G148" s="84">
        <v>0</v>
      </c>
      <c r="H148" s="84">
        <v>0</v>
      </c>
      <c r="I148" s="84">
        <v>0</v>
      </c>
      <c r="J148" s="84">
        <v>0</v>
      </c>
      <c r="K148" s="84">
        <v>0</v>
      </c>
      <c r="L148" s="84">
        <v>0</v>
      </c>
      <c r="M148" s="84">
        <v>0</v>
      </c>
      <c r="N148" s="84">
        <v>0</v>
      </c>
      <c r="O148" s="84">
        <v>0</v>
      </c>
      <c r="P148" s="84">
        <v>0</v>
      </c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</row>
    <row r="149" spans="1:33" x14ac:dyDescent="0.25">
      <c r="A149" s="84" t="s">
        <v>10</v>
      </c>
      <c r="B149" s="84">
        <v>0</v>
      </c>
      <c r="C149" s="84">
        <v>0</v>
      </c>
      <c r="D149" s="84">
        <v>0</v>
      </c>
      <c r="E149" s="84">
        <v>0</v>
      </c>
      <c r="F149" s="84">
        <v>0</v>
      </c>
      <c r="G149" s="84">
        <v>0</v>
      </c>
      <c r="H149" s="84">
        <v>0</v>
      </c>
      <c r="I149" s="84">
        <v>0</v>
      </c>
      <c r="J149" s="84">
        <v>0</v>
      </c>
      <c r="K149" s="84">
        <v>0</v>
      </c>
      <c r="L149" s="84">
        <v>0</v>
      </c>
      <c r="M149" s="84">
        <v>0</v>
      </c>
      <c r="N149" s="84">
        <v>0</v>
      </c>
      <c r="O149" s="84">
        <v>0</v>
      </c>
      <c r="P149" s="84">
        <v>0</v>
      </c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</row>
    <row r="150" spans="1:33" x14ac:dyDescent="0.25">
      <c r="A150" s="84" t="s">
        <v>11</v>
      </c>
      <c r="B150" s="84">
        <v>0</v>
      </c>
      <c r="C150" s="84">
        <v>0</v>
      </c>
      <c r="D150" s="84">
        <v>0</v>
      </c>
      <c r="E150" s="84">
        <v>0</v>
      </c>
      <c r="F150" s="84">
        <v>0</v>
      </c>
      <c r="G150" s="84">
        <v>0</v>
      </c>
      <c r="H150" s="84">
        <v>0</v>
      </c>
      <c r="I150" s="84">
        <v>0</v>
      </c>
      <c r="J150" s="84">
        <v>0</v>
      </c>
      <c r="K150" s="84">
        <v>0</v>
      </c>
      <c r="L150" s="84">
        <v>0</v>
      </c>
      <c r="M150" s="84">
        <v>0</v>
      </c>
      <c r="N150" s="84">
        <v>0</v>
      </c>
      <c r="O150" s="84">
        <v>0</v>
      </c>
      <c r="P150" s="84">
        <v>0</v>
      </c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</row>
    <row r="151" spans="1:33" x14ac:dyDescent="0.25">
      <c r="A151" s="84" t="s">
        <v>12</v>
      </c>
      <c r="B151" s="84">
        <v>0</v>
      </c>
      <c r="C151" s="84">
        <v>0</v>
      </c>
      <c r="D151" s="84">
        <v>0</v>
      </c>
      <c r="E151" s="84">
        <v>0</v>
      </c>
      <c r="F151" s="84">
        <v>0</v>
      </c>
      <c r="G151" s="84">
        <v>0</v>
      </c>
      <c r="H151" s="84">
        <v>0</v>
      </c>
      <c r="I151" s="84">
        <v>0</v>
      </c>
      <c r="J151" s="84">
        <v>0</v>
      </c>
      <c r="K151" s="84">
        <v>0</v>
      </c>
      <c r="L151" s="84">
        <v>0</v>
      </c>
      <c r="M151" s="84">
        <v>0</v>
      </c>
      <c r="N151" s="84">
        <v>0</v>
      </c>
      <c r="O151" s="84">
        <v>0</v>
      </c>
      <c r="P151" s="84">
        <v>0</v>
      </c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</row>
    <row r="152" spans="1:33" x14ac:dyDescent="0.25">
      <c r="A152" s="84" t="s">
        <v>13</v>
      </c>
      <c r="B152" s="84">
        <v>0</v>
      </c>
      <c r="C152" s="84">
        <v>0</v>
      </c>
      <c r="D152" s="84">
        <v>0</v>
      </c>
      <c r="E152" s="84">
        <v>0</v>
      </c>
      <c r="F152" s="84">
        <v>0</v>
      </c>
      <c r="G152" s="84">
        <v>0</v>
      </c>
      <c r="H152" s="84">
        <v>0</v>
      </c>
      <c r="I152" s="84">
        <v>0</v>
      </c>
      <c r="J152" s="84">
        <v>0</v>
      </c>
      <c r="K152" s="84">
        <v>0</v>
      </c>
      <c r="L152" s="84">
        <v>0</v>
      </c>
      <c r="M152" s="84">
        <v>0</v>
      </c>
      <c r="N152" s="84">
        <v>0</v>
      </c>
      <c r="O152" s="84">
        <v>0</v>
      </c>
      <c r="P152" s="84">
        <v>0</v>
      </c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</row>
    <row r="153" spans="1:33" x14ac:dyDescent="0.25">
      <c r="A153" s="84" t="s">
        <v>14</v>
      </c>
      <c r="B153" s="84">
        <v>0</v>
      </c>
      <c r="C153" s="84">
        <v>0</v>
      </c>
      <c r="D153" s="84">
        <v>0</v>
      </c>
      <c r="E153" s="84">
        <v>0</v>
      </c>
      <c r="F153" s="84">
        <v>0</v>
      </c>
      <c r="G153" s="84">
        <v>0</v>
      </c>
      <c r="H153" s="84">
        <v>0</v>
      </c>
      <c r="I153" s="84">
        <v>0</v>
      </c>
      <c r="J153" s="84">
        <v>0</v>
      </c>
      <c r="K153" s="84">
        <v>0</v>
      </c>
      <c r="L153" s="84">
        <v>0</v>
      </c>
      <c r="M153" s="84">
        <v>0</v>
      </c>
      <c r="N153" s="84">
        <v>0</v>
      </c>
      <c r="O153" s="84">
        <v>0</v>
      </c>
      <c r="P153" s="84">
        <v>0</v>
      </c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</row>
    <row r="154" spans="1:33" x14ac:dyDescent="0.25">
      <c r="A154" s="84" t="s">
        <v>294</v>
      </c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</row>
    <row r="155" spans="1:33" x14ac:dyDescent="0.25">
      <c r="A155" s="84" t="s">
        <v>360</v>
      </c>
      <c r="B155" s="84" t="s">
        <v>18</v>
      </c>
      <c r="C155" s="84" t="s">
        <v>19</v>
      </c>
      <c r="D155" s="84" t="s">
        <v>20</v>
      </c>
      <c r="E155" s="84" t="s">
        <v>21</v>
      </c>
      <c r="F155" s="84" t="s">
        <v>22</v>
      </c>
      <c r="G155" s="84" t="s">
        <v>23</v>
      </c>
      <c r="H155" s="84" t="s">
        <v>361</v>
      </c>
      <c r="I155" s="84" t="s">
        <v>25</v>
      </c>
      <c r="J155" s="84" t="s">
        <v>362</v>
      </c>
      <c r="K155" s="84" t="s">
        <v>5</v>
      </c>
      <c r="L155" s="84" t="s">
        <v>6</v>
      </c>
      <c r="M155" s="84" t="s">
        <v>7</v>
      </c>
      <c r="N155" s="84" t="s">
        <v>8</v>
      </c>
      <c r="O155" s="84" t="s">
        <v>9</v>
      </c>
      <c r="P155" s="84" t="s">
        <v>363</v>
      </c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</row>
    <row r="156" spans="1:33" x14ac:dyDescent="0.25">
      <c r="A156" s="84" t="s">
        <v>364</v>
      </c>
      <c r="B156" s="84" t="s">
        <v>365</v>
      </c>
      <c r="C156" s="84" t="s">
        <v>365</v>
      </c>
      <c r="D156" s="84" t="s">
        <v>365</v>
      </c>
      <c r="E156" s="84" t="s">
        <v>365</v>
      </c>
      <c r="F156" s="84" t="s">
        <v>365</v>
      </c>
      <c r="G156" s="84" t="s">
        <v>365</v>
      </c>
      <c r="H156" s="84" t="s">
        <v>365</v>
      </c>
      <c r="I156" s="84" t="s">
        <v>365</v>
      </c>
      <c r="J156" s="84" t="s">
        <v>365</v>
      </c>
      <c r="K156" s="84" t="s">
        <v>365</v>
      </c>
      <c r="L156" s="84" t="s">
        <v>365</v>
      </c>
      <c r="M156" s="84" t="s">
        <v>365</v>
      </c>
      <c r="N156" s="84" t="s">
        <v>365</v>
      </c>
      <c r="O156" s="84" t="s">
        <v>365</v>
      </c>
      <c r="P156" s="84" t="s">
        <v>365</v>
      </c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</row>
    <row r="157" spans="1:33" x14ac:dyDescent="0.25">
      <c r="A157" s="84" t="s">
        <v>1</v>
      </c>
      <c r="B157" s="84">
        <v>0</v>
      </c>
      <c r="C157" s="84">
        <v>0</v>
      </c>
      <c r="D157" s="84">
        <v>0</v>
      </c>
      <c r="E157" s="84">
        <v>0</v>
      </c>
      <c r="F157" s="84">
        <v>0</v>
      </c>
      <c r="G157" s="84">
        <v>0</v>
      </c>
      <c r="H157" s="84">
        <v>0</v>
      </c>
      <c r="I157" s="84">
        <v>0</v>
      </c>
      <c r="J157" s="84">
        <v>0</v>
      </c>
      <c r="K157" s="84">
        <v>0</v>
      </c>
      <c r="L157" s="84">
        <v>0</v>
      </c>
      <c r="M157" s="84">
        <v>0</v>
      </c>
      <c r="N157" s="84">
        <v>0</v>
      </c>
      <c r="O157" s="84">
        <v>0</v>
      </c>
      <c r="P157" s="84">
        <v>0</v>
      </c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</row>
    <row r="158" spans="1:33" x14ac:dyDescent="0.25">
      <c r="A158" s="84" t="s">
        <v>2</v>
      </c>
      <c r="B158" s="84">
        <v>10.527158999999999</v>
      </c>
      <c r="C158" s="84">
        <v>0</v>
      </c>
      <c r="D158" s="84">
        <v>10.527158999999999</v>
      </c>
      <c r="E158" s="84">
        <v>0</v>
      </c>
      <c r="F158" s="84">
        <v>0</v>
      </c>
      <c r="G158" s="84">
        <v>0</v>
      </c>
      <c r="H158" s="84">
        <v>0</v>
      </c>
      <c r="I158" s="84">
        <v>0</v>
      </c>
      <c r="J158" s="84">
        <v>0</v>
      </c>
      <c r="K158" s="84">
        <v>10.527158999999999</v>
      </c>
      <c r="L158" s="84">
        <v>0</v>
      </c>
      <c r="M158" s="84">
        <v>0</v>
      </c>
      <c r="N158" s="84">
        <v>0</v>
      </c>
      <c r="O158" s="84">
        <v>0</v>
      </c>
      <c r="P158" s="84">
        <v>0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</row>
    <row r="159" spans="1:33" x14ac:dyDescent="0.25">
      <c r="A159" s="84" t="s">
        <v>3</v>
      </c>
      <c r="B159" s="84">
        <v>213.64486600000001</v>
      </c>
      <c r="C159" s="84">
        <v>0</v>
      </c>
      <c r="D159" s="84">
        <v>213.64486600000001</v>
      </c>
      <c r="E159" s="84">
        <v>149.092951</v>
      </c>
      <c r="F159" s="84">
        <v>0.42685858700000001</v>
      </c>
      <c r="G159" s="84">
        <v>28.8834327</v>
      </c>
      <c r="H159" s="84">
        <v>6.9918345100000001E-2</v>
      </c>
      <c r="I159" s="84">
        <v>0</v>
      </c>
      <c r="J159" s="84">
        <v>0</v>
      </c>
      <c r="K159" s="84">
        <v>35.1717054</v>
      </c>
      <c r="L159" s="84">
        <v>0</v>
      </c>
      <c r="M159" s="84">
        <v>0</v>
      </c>
      <c r="N159" s="84">
        <v>0</v>
      </c>
      <c r="O159" s="84">
        <v>0</v>
      </c>
      <c r="P159" s="84">
        <v>0</v>
      </c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</row>
    <row r="160" spans="1:33" x14ac:dyDescent="0.25">
      <c r="A160" s="84" t="s">
        <v>4</v>
      </c>
      <c r="B160" s="84">
        <v>41.7550667</v>
      </c>
      <c r="C160" s="84">
        <v>0</v>
      </c>
      <c r="D160" s="84">
        <v>41.7550667</v>
      </c>
      <c r="E160" s="84">
        <v>19.087821900000002</v>
      </c>
      <c r="F160" s="84">
        <v>2.8516250300000001</v>
      </c>
      <c r="G160" s="84">
        <v>17.8207947</v>
      </c>
      <c r="H160" s="84">
        <v>0.88668905099999995</v>
      </c>
      <c r="I160" s="84">
        <v>0</v>
      </c>
      <c r="J160" s="84">
        <v>0</v>
      </c>
      <c r="K160" s="84">
        <v>0</v>
      </c>
      <c r="L160" s="84">
        <v>0</v>
      </c>
      <c r="M160" s="84">
        <v>1.108136</v>
      </c>
      <c r="N160" s="84">
        <v>0</v>
      </c>
      <c r="O160" s="84">
        <v>0</v>
      </c>
      <c r="P160" s="84">
        <v>0</v>
      </c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</row>
    <row r="161" spans="1:33" x14ac:dyDescent="0.25">
      <c r="A161" s="84" t="s">
        <v>5</v>
      </c>
      <c r="B161" s="84">
        <v>45.698864399999998</v>
      </c>
      <c r="C161" s="84">
        <v>45.698864399999998</v>
      </c>
      <c r="D161" s="74">
        <v>-7.1054273600000004E-15</v>
      </c>
      <c r="E161" s="84">
        <v>21.918648099999999</v>
      </c>
      <c r="F161" s="84">
        <v>3.3915844700000002</v>
      </c>
      <c r="G161" s="84">
        <v>20.142562900000001</v>
      </c>
      <c r="H161" s="84">
        <v>0.246068909</v>
      </c>
      <c r="I161" s="84">
        <v>0</v>
      </c>
      <c r="J161" s="84">
        <v>0</v>
      </c>
      <c r="K161" s="84">
        <v>0</v>
      </c>
      <c r="L161" s="84">
        <v>0</v>
      </c>
      <c r="M161" s="84">
        <v>0</v>
      </c>
      <c r="N161" s="84">
        <v>0</v>
      </c>
      <c r="O161" s="84">
        <v>0</v>
      </c>
      <c r="P161" s="84">
        <v>0</v>
      </c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</row>
    <row r="162" spans="1:33" x14ac:dyDescent="0.25">
      <c r="A162" s="84" t="s">
        <v>6</v>
      </c>
      <c r="B162" s="84">
        <v>0</v>
      </c>
      <c r="C162" s="84">
        <v>0</v>
      </c>
      <c r="D162" s="84">
        <v>0</v>
      </c>
      <c r="E162" s="84">
        <v>0</v>
      </c>
      <c r="F162" s="84">
        <v>0</v>
      </c>
      <c r="G162" s="84">
        <v>0</v>
      </c>
      <c r="H162" s="84">
        <v>0</v>
      </c>
      <c r="I162" s="84">
        <v>0</v>
      </c>
      <c r="J162" s="84">
        <v>0</v>
      </c>
      <c r="K162" s="84">
        <v>0</v>
      </c>
      <c r="L162" s="84">
        <v>0</v>
      </c>
      <c r="M162" s="84">
        <v>0</v>
      </c>
      <c r="N162" s="84">
        <v>0</v>
      </c>
      <c r="O162" s="84">
        <v>0</v>
      </c>
      <c r="P162" s="84">
        <v>0</v>
      </c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</row>
    <row r="163" spans="1:33" x14ac:dyDescent="0.25">
      <c r="A163" s="84" t="s">
        <v>7</v>
      </c>
      <c r="B163" s="84">
        <v>1.108136</v>
      </c>
      <c r="C163" s="84">
        <v>1.108136</v>
      </c>
      <c r="D163" s="84">
        <v>0</v>
      </c>
      <c r="E163" s="84">
        <v>0</v>
      </c>
      <c r="F163" s="84">
        <v>0.84334878300000005</v>
      </c>
      <c r="G163" s="84">
        <v>0.188613844</v>
      </c>
      <c r="H163" s="84">
        <v>7.6173368199999994E-2</v>
      </c>
      <c r="I163" s="84">
        <v>0</v>
      </c>
      <c r="J163" s="84">
        <v>0</v>
      </c>
      <c r="K163" s="84">
        <v>0</v>
      </c>
      <c r="L163" s="84">
        <v>0</v>
      </c>
      <c r="M163" s="84">
        <v>0</v>
      </c>
      <c r="N163" s="84">
        <v>0</v>
      </c>
      <c r="O163" s="84">
        <v>0</v>
      </c>
      <c r="P163" s="84">
        <v>0</v>
      </c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</row>
    <row r="164" spans="1:33" x14ac:dyDescent="0.25">
      <c r="A164" s="84" t="s">
        <v>8</v>
      </c>
      <c r="B164" s="84">
        <v>0</v>
      </c>
      <c r="C164" s="84">
        <v>0</v>
      </c>
      <c r="D164" s="84">
        <v>0</v>
      </c>
      <c r="E164" s="84">
        <v>0</v>
      </c>
      <c r="F164" s="84">
        <v>0</v>
      </c>
      <c r="G164" s="84">
        <v>0</v>
      </c>
      <c r="H164" s="84">
        <v>0</v>
      </c>
      <c r="I164" s="84">
        <v>0</v>
      </c>
      <c r="J164" s="84">
        <v>0</v>
      </c>
      <c r="K164" s="84">
        <v>0</v>
      </c>
      <c r="L164" s="84">
        <v>0</v>
      </c>
      <c r="M164" s="84">
        <v>0</v>
      </c>
      <c r="N164" s="84">
        <v>0</v>
      </c>
      <c r="O164" s="84">
        <v>0</v>
      </c>
      <c r="P164" s="84">
        <v>0</v>
      </c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</row>
    <row r="165" spans="1:33" x14ac:dyDescent="0.25">
      <c r="A165" s="84" t="s">
        <v>9</v>
      </c>
      <c r="B165" s="84">
        <v>0</v>
      </c>
      <c r="C165" s="84">
        <v>0</v>
      </c>
      <c r="D165" s="84">
        <v>0</v>
      </c>
      <c r="E165" s="84">
        <v>0</v>
      </c>
      <c r="F165" s="84">
        <v>0</v>
      </c>
      <c r="G165" s="84">
        <v>0</v>
      </c>
      <c r="H165" s="84">
        <v>0</v>
      </c>
      <c r="I165" s="84">
        <v>0</v>
      </c>
      <c r="J165" s="84">
        <v>0</v>
      </c>
      <c r="K165" s="84">
        <v>0</v>
      </c>
      <c r="L165" s="84">
        <v>0</v>
      </c>
      <c r="M165" s="84">
        <v>0</v>
      </c>
      <c r="N165" s="84">
        <v>0</v>
      </c>
      <c r="O165" s="84">
        <v>0</v>
      </c>
      <c r="P165" s="84">
        <v>0</v>
      </c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</row>
    <row r="166" spans="1:33" x14ac:dyDescent="0.25">
      <c r="A166" s="84" t="s">
        <v>10</v>
      </c>
      <c r="B166" s="84">
        <v>0</v>
      </c>
      <c r="C166" s="84">
        <v>0</v>
      </c>
      <c r="D166" s="84">
        <v>0</v>
      </c>
      <c r="E166" s="84">
        <v>0</v>
      </c>
      <c r="F166" s="84">
        <v>0</v>
      </c>
      <c r="G166" s="84">
        <v>0</v>
      </c>
      <c r="H166" s="84">
        <v>0</v>
      </c>
      <c r="I166" s="84">
        <v>0</v>
      </c>
      <c r="J166" s="84">
        <v>0</v>
      </c>
      <c r="K166" s="84">
        <v>0</v>
      </c>
      <c r="L166" s="84">
        <v>0</v>
      </c>
      <c r="M166" s="84">
        <v>0</v>
      </c>
      <c r="N166" s="84">
        <v>0</v>
      </c>
      <c r="O166" s="84">
        <v>0</v>
      </c>
      <c r="P166" s="84">
        <v>0</v>
      </c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</row>
    <row r="167" spans="1:33" x14ac:dyDescent="0.25">
      <c r="A167" s="84" t="s">
        <v>11</v>
      </c>
      <c r="B167" s="84">
        <v>0</v>
      </c>
      <c r="C167" s="84">
        <v>0</v>
      </c>
      <c r="D167" s="84">
        <v>0</v>
      </c>
      <c r="E167" s="84">
        <v>0</v>
      </c>
      <c r="F167" s="84">
        <v>0</v>
      </c>
      <c r="G167" s="84">
        <v>0</v>
      </c>
      <c r="H167" s="84">
        <v>0</v>
      </c>
      <c r="I167" s="84">
        <v>0</v>
      </c>
      <c r="J167" s="84">
        <v>0</v>
      </c>
      <c r="K167" s="84">
        <v>0</v>
      </c>
      <c r="L167" s="84">
        <v>0</v>
      </c>
      <c r="M167" s="84">
        <v>0</v>
      </c>
      <c r="N167" s="84">
        <v>0</v>
      </c>
      <c r="O167" s="84">
        <v>0</v>
      </c>
      <c r="P167" s="84">
        <v>0</v>
      </c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</row>
    <row r="168" spans="1:33" x14ac:dyDescent="0.25">
      <c r="A168" s="84" t="s">
        <v>12</v>
      </c>
      <c r="B168" s="84">
        <v>0</v>
      </c>
      <c r="C168" s="84">
        <v>0</v>
      </c>
      <c r="D168" s="84">
        <v>0</v>
      </c>
      <c r="E168" s="84">
        <v>0</v>
      </c>
      <c r="F168" s="84">
        <v>0</v>
      </c>
      <c r="G168" s="84">
        <v>0</v>
      </c>
      <c r="H168" s="84">
        <v>0</v>
      </c>
      <c r="I168" s="84">
        <v>0</v>
      </c>
      <c r="J168" s="84">
        <v>0</v>
      </c>
      <c r="K168" s="84">
        <v>0</v>
      </c>
      <c r="L168" s="84">
        <v>0</v>
      </c>
      <c r="M168" s="84">
        <v>0</v>
      </c>
      <c r="N168" s="84">
        <v>0</v>
      </c>
      <c r="O168" s="84">
        <v>0</v>
      </c>
      <c r="P168" s="84">
        <v>0</v>
      </c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</row>
    <row r="169" spans="1:33" x14ac:dyDescent="0.25">
      <c r="A169" s="84" t="s">
        <v>13</v>
      </c>
      <c r="B169" s="84">
        <v>0</v>
      </c>
      <c r="C169" s="84">
        <v>0</v>
      </c>
      <c r="D169" s="84">
        <v>0</v>
      </c>
      <c r="E169" s="84">
        <v>0</v>
      </c>
      <c r="F169" s="84">
        <v>0</v>
      </c>
      <c r="G169" s="84">
        <v>0</v>
      </c>
      <c r="H169" s="84">
        <v>0</v>
      </c>
      <c r="I169" s="84">
        <v>0</v>
      </c>
      <c r="J169" s="84">
        <v>0</v>
      </c>
      <c r="K169" s="84">
        <v>0</v>
      </c>
      <c r="L169" s="84">
        <v>0</v>
      </c>
      <c r="M169" s="84">
        <v>0</v>
      </c>
      <c r="N169" s="84">
        <v>0</v>
      </c>
      <c r="O169" s="84">
        <v>0</v>
      </c>
      <c r="P169" s="84">
        <v>0</v>
      </c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</row>
    <row r="170" spans="1:33" x14ac:dyDescent="0.25">
      <c r="A170" s="84" t="s">
        <v>14</v>
      </c>
      <c r="B170" s="84">
        <v>0</v>
      </c>
      <c r="C170" s="84">
        <v>0</v>
      </c>
      <c r="D170" s="84">
        <v>0</v>
      </c>
      <c r="E170" s="84">
        <v>0</v>
      </c>
      <c r="F170" s="84">
        <v>0</v>
      </c>
      <c r="G170" s="84">
        <v>0</v>
      </c>
      <c r="H170" s="84">
        <v>0</v>
      </c>
      <c r="I170" s="84">
        <v>0</v>
      </c>
      <c r="J170" s="84">
        <v>0</v>
      </c>
      <c r="K170" s="84">
        <v>0</v>
      </c>
      <c r="L170" s="84">
        <v>0</v>
      </c>
      <c r="M170" s="84">
        <v>0</v>
      </c>
      <c r="N170" s="84">
        <v>0</v>
      </c>
      <c r="O170" s="84">
        <v>0</v>
      </c>
      <c r="P170" s="84">
        <v>0</v>
      </c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</row>
    <row r="171" spans="1:33" x14ac:dyDescent="0.25">
      <c r="A171" s="84" t="s">
        <v>295</v>
      </c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</row>
    <row r="172" spans="1:33" x14ac:dyDescent="0.25">
      <c r="A172" s="84" t="s">
        <v>360</v>
      </c>
      <c r="B172" s="84" t="s">
        <v>366</v>
      </c>
      <c r="C172" s="84" t="s">
        <v>367</v>
      </c>
      <c r="D172" s="84" t="s">
        <v>368</v>
      </c>
      <c r="E172" s="84" t="s">
        <v>21</v>
      </c>
      <c r="F172" s="84" t="s">
        <v>22</v>
      </c>
      <c r="G172" s="84" t="s">
        <v>23</v>
      </c>
      <c r="H172" s="84" t="s">
        <v>361</v>
      </c>
      <c r="I172" s="84" t="s">
        <v>25</v>
      </c>
      <c r="J172" s="84" t="s">
        <v>362</v>
      </c>
      <c r="K172" s="84" t="s">
        <v>5</v>
      </c>
      <c r="L172" s="84" t="s">
        <v>6</v>
      </c>
      <c r="M172" s="84" t="s">
        <v>7</v>
      </c>
      <c r="N172" s="84" t="s">
        <v>8</v>
      </c>
      <c r="O172" s="84" t="s">
        <v>9</v>
      </c>
      <c r="P172" s="84" t="s">
        <v>363</v>
      </c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</row>
    <row r="173" spans="1:33" x14ac:dyDescent="0.25">
      <c r="A173" s="84" t="s">
        <v>364</v>
      </c>
      <c r="B173" s="84" t="s">
        <v>369</v>
      </c>
      <c r="C173" s="84" t="s">
        <v>369</v>
      </c>
      <c r="D173" s="84" t="s">
        <v>369</v>
      </c>
      <c r="E173" s="84" t="s">
        <v>369</v>
      </c>
      <c r="F173" s="84" t="s">
        <v>369</v>
      </c>
      <c r="G173" s="84" t="s">
        <v>369</v>
      </c>
      <c r="H173" s="84" t="s">
        <v>369</v>
      </c>
      <c r="I173" s="84" t="s">
        <v>369</v>
      </c>
      <c r="J173" s="84" t="s">
        <v>369</v>
      </c>
      <c r="K173" s="84" t="s">
        <v>369</v>
      </c>
      <c r="L173" s="84" t="s">
        <v>369</v>
      </c>
      <c r="M173" s="84" t="s">
        <v>369</v>
      </c>
      <c r="N173" s="84" t="s">
        <v>369</v>
      </c>
      <c r="O173" s="84" t="s">
        <v>369</v>
      </c>
      <c r="P173" s="84" t="s">
        <v>369</v>
      </c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</row>
    <row r="174" spans="1:33" x14ac:dyDescent="0.25">
      <c r="A174" s="84" t="s">
        <v>1</v>
      </c>
      <c r="B174" s="84">
        <v>10.8099054</v>
      </c>
      <c r="C174" s="84">
        <v>0</v>
      </c>
      <c r="D174" s="84">
        <v>10.8099054</v>
      </c>
      <c r="E174" s="84">
        <v>1.17176467</v>
      </c>
      <c r="F174" s="84">
        <v>0</v>
      </c>
      <c r="G174" s="84">
        <v>0.207354067</v>
      </c>
      <c r="H174" s="84">
        <v>0</v>
      </c>
      <c r="I174" s="84">
        <v>0</v>
      </c>
      <c r="J174" s="84">
        <v>0</v>
      </c>
      <c r="K174" s="84">
        <v>2.25967188</v>
      </c>
      <c r="L174" s="84">
        <v>0</v>
      </c>
      <c r="M174" s="84">
        <v>7.1711148199999997</v>
      </c>
      <c r="N174" s="84">
        <v>0</v>
      </c>
      <c r="O174" s="84">
        <v>0</v>
      </c>
      <c r="P174" s="84">
        <v>0</v>
      </c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</row>
    <row r="175" spans="1:33" x14ac:dyDescent="0.25">
      <c r="A175" s="84" t="s">
        <v>2</v>
      </c>
      <c r="B175" s="84">
        <v>13.77843</v>
      </c>
      <c r="C175" s="84">
        <v>0</v>
      </c>
      <c r="D175" s="84">
        <v>13.77843</v>
      </c>
      <c r="E175" s="84">
        <v>0</v>
      </c>
      <c r="F175" s="84">
        <v>0</v>
      </c>
      <c r="G175" s="84">
        <v>4.0729379500000003E-2</v>
      </c>
      <c r="H175" s="84">
        <v>0</v>
      </c>
      <c r="I175" s="84">
        <v>0</v>
      </c>
      <c r="J175" s="84">
        <v>0</v>
      </c>
      <c r="K175" s="84">
        <v>13.7377006</v>
      </c>
      <c r="L175" s="84">
        <v>0</v>
      </c>
      <c r="M175" s="84">
        <v>0</v>
      </c>
      <c r="N175" s="84">
        <v>0</v>
      </c>
      <c r="O175" s="84">
        <v>0</v>
      </c>
      <c r="P175" s="84">
        <v>0</v>
      </c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</row>
    <row r="176" spans="1:33" x14ac:dyDescent="0.25">
      <c r="A176" s="84" t="s">
        <v>3</v>
      </c>
      <c r="B176" s="84">
        <v>67.164155100000002</v>
      </c>
      <c r="C176" s="84">
        <v>0</v>
      </c>
      <c r="D176" s="84">
        <v>67.164155100000002</v>
      </c>
      <c r="E176" s="84">
        <v>43.5529741</v>
      </c>
      <c r="F176" s="84">
        <v>0.160650342</v>
      </c>
      <c r="G176" s="84">
        <v>8.7286698299999994</v>
      </c>
      <c r="H176" s="84">
        <v>3.2610595499999999E-2</v>
      </c>
      <c r="I176" s="84">
        <v>0</v>
      </c>
      <c r="J176" s="84">
        <v>0</v>
      </c>
      <c r="K176" s="84">
        <v>6.0595447599999996</v>
      </c>
      <c r="L176" s="84">
        <v>0</v>
      </c>
      <c r="M176" s="84">
        <v>0</v>
      </c>
      <c r="N176" s="84">
        <v>0</v>
      </c>
      <c r="O176" s="84">
        <v>0</v>
      </c>
      <c r="P176" s="84">
        <v>8.6297054400000004</v>
      </c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</row>
    <row r="177" spans="1:33" x14ac:dyDescent="0.25">
      <c r="A177" s="84" t="s">
        <v>4</v>
      </c>
      <c r="B177" s="84">
        <v>136.41492199999999</v>
      </c>
      <c r="C177" s="84">
        <v>0</v>
      </c>
      <c r="D177" s="84">
        <v>136.41492199999999</v>
      </c>
      <c r="E177" s="84">
        <v>70.165140100000002</v>
      </c>
      <c r="F177" s="84">
        <v>11.3600032</v>
      </c>
      <c r="G177" s="84">
        <v>55.951275799999998</v>
      </c>
      <c r="H177" s="84">
        <v>2.5383908800000001</v>
      </c>
      <c r="I177" s="84">
        <v>0</v>
      </c>
      <c r="J177" s="84">
        <v>0</v>
      </c>
      <c r="K177" s="84">
        <v>0</v>
      </c>
      <c r="L177" s="84">
        <v>0</v>
      </c>
      <c r="M177" s="84">
        <v>2.5186273899999998</v>
      </c>
      <c r="N177" s="84">
        <v>0</v>
      </c>
      <c r="O177" s="84">
        <v>0</v>
      </c>
      <c r="P177" s="84">
        <v>-6.1185155199999999</v>
      </c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</row>
    <row r="178" spans="1:33" x14ac:dyDescent="0.25">
      <c r="A178" s="84" t="s">
        <v>5</v>
      </c>
      <c r="B178" s="84">
        <v>67.521380899999997</v>
      </c>
      <c r="C178" s="84">
        <v>66.781367700000004</v>
      </c>
      <c r="D178" s="84">
        <v>0.74001322300000005</v>
      </c>
      <c r="E178" s="84">
        <v>29.3254181</v>
      </c>
      <c r="F178" s="84">
        <v>4.9131758400000001</v>
      </c>
      <c r="G178" s="84">
        <v>32.865479999999998</v>
      </c>
      <c r="H178" s="84">
        <v>0.41730693200000002</v>
      </c>
      <c r="I178" s="84">
        <v>0</v>
      </c>
      <c r="J178" s="84">
        <v>0</v>
      </c>
      <c r="K178" s="84">
        <v>0</v>
      </c>
      <c r="L178" s="84">
        <v>0</v>
      </c>
      <c r="M178" s="84">
        <v>0</v>
      </c>
      <c r="N178" s="84">
        <v>0</v>
      </c>
      <c r="O178" s="84">
        <v>0</v>
      </c>
      <c r="P178" s="84">
        <v>0</v>
      </c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</row>
    <row r="179" spans="1:33" x14ac:dyDescent="0.25">
      <c r="A179" s="84" t="s">
        <v>6</v>
      </c>
      <c r="B179" s="84">
        <v>0</v>
      </c>
      <c r="C179" s="84">
        <v>0</v>
      </c>
      <c r="D179" s="84">
        <v>0</v>
      </c>
      <c r="E179" s="84">
        <v>0</v>
      </c>
      <c r="F179" s="84">
        <v>0</v>
      </c>
      <c r="G179" s="84">
        <v>0</v>
      </c>
      <c r="H179" s="84">
        <v>0</v>
      </c>
      <c r="I179" s="84">
        <v>0</v>
      </c>
      <c r="J179" s="84">
        <v>0</v>
      </c>
      <c r="K179" s="84">
        <v>0</v>
      </c>
      <c r="L179" s="84">
        <v>0</v>
      </c>
      <c r="M179" s="84">
        <v>0</v>
      </c>
      <c r="N179" s="84">
        <v>0</v>
      </c>
      <c r="O179" s="84">
        <v>0</v>
      </c>
      <c r="P179" s="84">
        <v>0</v>
      </c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</row>
    <row r="180" spans="1:33" x14ac:dyDescent="0.25">
      <c r="A180" s="84" t="s">
        <v>7</v>
      </c>
      <c r="B180" s="84">
        <v>14.249827099999999</v>
      </c>
      <c r="C180" s="84">
        <v>11.271517100000001</v>
      </c>
      <c r="D180" s="84">
        <v>2.9783099599999998</v>
      </c>
      <c r="E180" s="84">
        <v>0</v>
      </c>
      <c r="F180" s="84">
        <v>11.7379736</v>
      </c>
      <c r="G180" s="84">
        <v>1.69989627</v>
      </c>
      <c r="H180" s="84">
        <v>0.81195725299999999</v>
      </c>
      <c r="I180" s="84">
        <v>0</v>
      </c>
      <c r="J180" s="84">
        <v>0</v>
      </c>
      <c r="K180" s="84">
        <v>0</v>
      </c>
      <c r="L180" s="84">
        <v>0</v>
      </c>
      <c r="M180" s="84">
        <v>0</v>
      </c>
      <c r="N180" s="84">
        <v>0</v>
      </c>
      <c r="O180" s="84">
        <v>0</v>
      </c>
      <c r="P180" s="84">
        <v>0</v>
      </c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</row>
    <row r="181" spans="1:33" x14ac:dyDescent="0.25">
      <c r="A181" s="84" t="s">
        <v>8</v>
      </c>
      <c r="B181" s="84">
        <v>0</v>
      </c>
      <c r="C181" s="84">
        <v>0</v>
      </c>
      <c r="D181" s="84">
        <v>0</v>
      </c>
      <c r="E181" s="84">
        <v>0</v>
      </c>
      <c r="F181" s="84">
        <v>0</v>
      </c>
      <c r="G181" s="84">
        <v>0</v>
      </c>
      <c r="H181" s="84">
        <v>0</v>
      </c>
      <c r="I181" s="84">
        <v>0</v>
      </c>
      <c r="J181" s="84">
        <v>0</v>
      </c>
      <c r="K181" s="84">
        <v>0</v>
      </c>
      <c r="L181" s="84">
        <v>0</v>
      </c>
      <c r="M181" s="84">
        <v>0</v>
      </c>
      <c r="N181" s="84">
        <v>0</v>
      </c>
      <c r="O181" s="84">
        <v>0</v>
      </c>
      <c r="P181" s="84">
        <v>0</v>
      </c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</row>
    <row r="182" spans="1:33" x14ac:dyDescent="0.25">
      <c r="A182" s="84" t="s">
        <v>9</v>
      </c>
      <c r="B182" s="84">
        <v>0</v>
      </c>
      <c r="C182" s="84">
        <v>0</v>
      </c>
      <c r="D182" s="84">
        <v>0</v>
      </c>
      <c r="E182" s="84">
        <v>0</v>
      </c>
      <c r="F182" s="84">
        <v>0</v>
      </c>
      <c r="G182" s="84">
        <v>0</v>
      </c>
      <c r="H182" s="84">
        <v>0</v>
      </c>
      <c r="I182" s="84">
        <v>0</v>
      </c>
      <c r="J182" s="84">
        <v>0</v>
      </c>
      <c r="K182" s="84">
        <v>0</v>
      </c>
      <c r="L182" s="84">
        <v>0</v>
      </c>
      <c r="M182" s="84">
        <v>0</v>
      </c>
      <c r="N182" s="84">
        <v>0</v>
      </c>
      <c r="O182" s="84">
        <v>0</v>
      </c>
      <c r="P182" s="84">
        <v>0</v>
      </c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</row>
    <row r="183" spans="1:33" x14ac:dyDescent="0.25">
      <c r="A183" s="84" t="s">
        <v>10</v>
      </c>
      <c r="B183" s="84">
        <v>25.452173200000001</v>
      </c>
      <c r="C183" s="84">
        <v>0</v>
      </c>
      <c r="D183" s="84">
        <v>25.452173200000001</v>
      </c>
      <c r="E183" s="84">
        <v>0</v>
      </c>
      <c r="F183" s="84">
        <v>-1.9417500000000001</v>
      </c>
      <c r="G183" s="84">
        <v>2.26422511E-2</v>
      </c>
      <c r="H183" s="84">
        <v>0</v>
      </c>
      <c r="I183" s="84">
        <v>0</v>
      </c>
      <c r="J183" s="84">
        <v>0</v>
      </c>
      <c r="K183" s="84">
        <v>27.3362455</v>
      </c>
      <c r="L183" s="84">
        <v>0</v>
      </c>
      <c r="M183" s="84">
        <v>3.5035446599999999E-2</v>
      </c>
      <c r="N183" s="84">
        <v>0</v>
      </c>
      <c r="O183" s="84">
        <v>0</v>
      </c>
      <c r="P183" s="84">
        <v>0</v>
      </c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</row>
    <row r="184" spans="1:33" x14ac:dyDescent="0.25">
      <c r="A184" s="84" t="s">
        <v>11</v>
      </c>
      <c r="B184" s="84">
        <v>3.47958889</v>
      </c>
      <c r="C184" s="84">
        <v>0</v>
      </c>
      <c r="D184" s="84">
        <v>3.47958889</v>
      </c>
      <c r="E184" s="84">
        <v>1.5906518199999999</v>
      </c>
      <c r="F184" s="84">
        <v>0.23763541899999999</v>
      </c>
      <c r="G184" s="84">
        <v>1.4850662299999999</v>
      </c>
      <c r="H184" s="84">
        <v>7.38907543E-2</v>
      </c>
      <c r="I184" s="84">
        <v>0</v>
      </c>
      <c r="J184" s="84">
        <v>0</v>
      </c>
      <c r="K184" s="84">
        <v>0</v>
      </c>
      <c r="L184" s="84">
        <v>0</v>
      </c>
      <c r="M184" s="84">
        <v>9.2344666300000003E-2</v>
      </c>
      <c r="N184" s="84">
        <v>0</v>
      </c>
      <c r="O184" s="84">
        <v>0</v>
      </c>
      <c r="P184" s="84">
        <v>0</v>
      </c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</row>
    <row r="185" spans="1:33" x14ac:dyDescent="0.25">
      <c r="A185" s="84" t="s">
        <v>12</v>
      </c>
      <c r="B185" s="84">
        <v>76.073027699999997</v>
      </c>
      <c r="C185" s="84">
        <v>2.5111899200000001</v>
      </c>
      <c r="D185" s="84">
        <v>73.561837699999998</v>
      </c>
      <c r="E185" s="84">
        <v>57.897280100000003</v>
      </c>
      <c r="F185" s="84">
        <v>0.80600626799999997</v>
      </c>
      <c r="G185" s="84">
        <v>11.765344900000001</v>
      </c>
      <c r="H185" s="84">
        <v>0.23166683299999999</v>
      </c>
      <c r="I185" s="84">
        <v>0</v>
      </c>
      <c r="J185" s="84">
        <v>0</v>
      </c>
      <c r="K185" s="84">
        <v>5.0276657599999997</v>
      </c>
      <c r="L185" s="84">
        <v>0</v>
      </c>
      <c r="M185" s="84">
        <v>0.345063803</v>
      </c>
      <c r="N185" s="84">
        <v>0</v>
      </c>
      <c r="O185" s="84">
        <v>0</v>
      </c>
      <c r="P185" s="84">
        <v>0</v>
      </c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</row>
    <row r="186" spans="1:33" x14ac:dyDescent="0.25">
      <c r="A186" s="84" t="s">
        <v>13</v>
      </c>
      <c r="B186" s="84">
        <v>61.241138399999997</v>
      </c>
      <c r="C186" s="84">
        <v>0</v>
      </c>
      <c r="D186" s="84">
        <v>61.241138399999997</v>
      </c>
      <c r="E186" s="84">
        <v>42.689795699999998</v>
      </c>
      <c r="F186" s="84">
        <v>6.1352433800000004</v>
      </c>
      <c r="G186" s="84">
        <v>0</v>
      </c>
      <c r="H186" s="84">
        <v>0</v>
      </c>
      <c r="I186" s="84">
        <v>0</v>
      </c>
      <c r="J186" s="84">
        <v>0</v>
      </c>
      <c r="K186" s="84">
        <v>11.9031308</v>
      </c>
      <c r="L186" s="84">
        <v>0</v>
      </c>
      <c r="M186" s="84">
        <v>0.51296850000000005</v>
      </c>
      <c r="N186" s="84">
        <v>0</v>
      </c>
      <c r="O186" s="84">
        <v>0</v>
      </c>
      <c r="P186" s="84">
        <v>0</v>
      </c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</row>
    <row r="187" spans="1:33" x14ac:dyDescent="0.25">
      <c r="A187" s="84" t="s">
        <v>14</v>
      </c>
      <c r="B187" s="84">
        <v>3.4770431999999998</v>
      </c>
      <c r="C187" s="84">
        <v>0</v>
      </c>
      <c r="D187" s="84">
        <v>3.4770431999999998</v>
      </c>
      <c r="E187" s="84">
        <v>0.263651527</v>
      </c>
      <c r="F187" s="84">
        <v>1.41843016</v>
      </c>
      <c r="G187" s="84">
        <v>0.64060446699999996</v>
      </c>
      <c r="H187" s="84">
        <v>0.100586202</v>
      </c>
      <c r="I187" s="84">
        <v>0</v>
      </c>
      <c r="J187" s="84">
        <v>0</v>
      </c>
      <c r="K187" s="84">
        <v>0.457408325</v>
      </c>
      <c r="L187" s="84">
        <v>0</v>
      </c>
      <c r="M187" s="84">
        <v>0.59636252199999995</v>
      </c>
      <c r="N187" s="84">
        <v>0</v>
      </c>
      <c r="O187" s="84">
        <v>0</v>
      </c>
      <c r="P187" s="84">
        <v>0</v>
      </c>
      <c r="R187" s="77"/>
      <c r="S187" s="77"/>
      <c r="T187" s="77"/>
      <c r="U187" s="77"/>
      <c r="V187" s="77"/>
      <c r="W187" s="77"/>
      <c r="X187" s="77"/>
      <c r="Y187" s="77"/>
      <c r="Z187" s="105"/>
      <c r="AA187" s="77"/>
      <c r="AB187" s="77"/>
      <c r="AC187" s="77"/>
      <c r="AD187" s="77"/>
      <c r="AE187" s="77"/>
      <c r="AF187" s="77"/>
      <c r="AG187" s="77"/>
    </row>
    <row r="188" spans="1:33" x14ac:dyDescent="0.25">
      <c r="A188" s="84" t="s">
        <v>296</v>
      </c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</row>
    <row r="189" spans="1:33" x14ac:dyDescent="0.25">
      <c r="A189" s="84" t="s">
        <v>360</v>
      </c>
      <c r="B189" s="84" t="s">
        <v>18</v>
      </c>
      <c r="C189" s="84" t="s">
        <v>19</v>
      </c>
      <c r="D189" s="84" t="s">
        <v>20</v>
      </c>
      <c r="E189" s="84" t="s">
        <v>21</v>
      </c>
      <c r="F189" s="84" t="s">
        <v>22</v>
      </c>
      <c r="G189" s="84" t="s">
        <v>23</v>
      </c>
      <c r="H189" s="84" t="s">
        <v>361</v>
      </c>
      <c r="I189" s="84" t="s">
        <v>25</v>
      </c>
      <c r="J189" s="84" t="s">
        <v>362</v>
      </c>
      <c r="K189" s="84" t="s">
        <v>5</v>
      </c>
      <c r="L189" s="84" t="s">
        <v>6</v>
      </c>
      <c r="M189" s="84" t="s">
        <v>7</v>
      </c>
      <c r="N189" s="84" t="s">
        <v>8</v>
      </c>
      <c r="O189" s="84" t="s">
        <v>9</v>
      </c>
      <c r="P189" s="84" t="s">
        <v>363</v>
      </c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</row>
    <row r="190" spans="1:33" x14ac:dyDescent="0.25">
      <c r="A190" s="84" t="s">
        <v>364</v>
      </c>
      <c r="B190" s="84" t="s">
        <v>370</v>
      </c>
      <c r="C190" s="84" t="s">
        <v>370</v>
      </c>
      <c r="D190" s="84" t="s">
        <v>370</v>
      </c>
      <c r="E190" s="84" t="s">
        <v>370</v>
      </c>
      <c r="F190" s="84" t="s">
        <v>370</v>
      </c>
      <c r="G190" s="84" t="s">
        <v>370</v>
      </c>
      <c r="H190" s="84" t="s">
        <v>370</v>
      </c>
      <c r="I190" s="84" t="s">
        <v>370</v>
      </c>
      <c r="J190" s="84" t="s">
        <v>370</v>
      </c>
      <c r="K190" s="84" t="s">
        <v>370</v>
      </c>
      <c r="L190" s="84" t="s">
        <v>370</v>
      </c>
      <c r="M190" s="84" t="s">
        <v>370</v>
      </c>
      <c r="N190" s="84" t="s">
        <v>370</v>
      </c>
      <c r="O190" s="84" t="s">
        <v>370</v>
      </c>
      <c r="P190" s="84" t="s">
        <v>370</v>
      </c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</row>
    <row r="191" spans="1:33" x14ac:dyDescent="0.25">
      <c r="A191" s="84" t="s">
        <v>1</v>
      </c>
      <c r="B191" s="84">
        <v>0</v>
      </c>
      <c r="C191" s="84">
        <v>0</v>
      </c>
      <c r="D191" s="84">
        <v>0</v>
      </c>
      <c r="E191" s="84">
        <v>0</v>
      </c>
      <c r="F191" s="84">
        <v>0</v>
      </c>
      <c r="G191" s="84">
        <v>0</v>
      </c>
      <c r="H191" s="84">
        <v>0</v>
      </c>
      <c r="I191" s="84">
        <v>0</v>
      </c>
      <c r="J191" s="84">
        <v>0</v>
      </c>
      <c r="K191" s="84">
        <v>0</v>
      </c>
      <c r="L191" s="84">
        <v>0</v>
      </c>
      <c r="M191" s="84">
        <v>0</v>
      </c>
      <c r="N191" s="84">
        <v>0</v>
      </c>
      <c r="O191" s="84">
        <v>0</v>
      </c>
      <c r="P191" s="84">
        <v>0</v>
      </c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</row>
    <row r="192" spans="1:33" x14ac:dyDescent="0.25">
      <c r="A192" s="84" t="s">
        <v>2</v>
      </c>
      <c r="B192" s="84">
        <v>2.5710253199999999</v>
      </c>
      <c r="C192" s="84">
        <v>0</v>
      </c>
      <c r="D192" s="84">
        <v>2.5710253199999999</v>
      </c>
      <c r="E192" s="84">
        <v>0</v>
      </c>
      <c r="F192" s="84">
        <v>0</v>
      </c>
      <c r="G192" s="84">
        <v>0</v>
      </c>
      <c r="H192" s="84">
        <v>0</v>
      </c>
      <c r="I192" s="84">
        <v>0</v>
      </c>
      <c r="J192" s="84">
        <v>0</v>
      </c>
      <c r="K192" s="84">
        <v>2.5710253199999999</v>
      </c>
      <c r="L192" s="84">
        <v>0</v>
      </c>
      <c r="M192" s="84">
        <v>0</v>
      </c>
      <c r="N192" s="84">
        <v>0</v>
      </c>
      <c r="O192" s="84">
        <v>0</v>
      </c>
      <c r="P192" s="84">
        <v>0</v>
      </c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</row>
    <row r="193" spans="1:33" x14ac:dyDescent="0.25">
      <c r="A193" s="84" t="s">
        <v>3</v>
      </c>
      <c r="B193" s="84">
        <v>4.2208863900000004</v>
      </c>
      <c r="C193" s="84">
        <v>0</v>
      </c>
      <c r="D193" s="84">
        <v>4.2208863900000004</v>
      </c>
      <c r="E193" s="84">
        <v>2.9455629800000001</v>
      </c>
      <c r="F193" s="84">
        <v>8.4332548500000003E-3</v>
      </c>
      <c r="G193" s="84">
        <v>0.57063710700000003</v>
      </c>
      <c r="H193" s="84">
        <v>1.38134558E-3</v>
      </c>
      <c r="I193" s="84">
        <v>0</v>
      </c>
      <c r="J193" s="84">
        <v>0</v>
      </c>
      <c r="K193" s="84">
        <v>0.69487170899999995</v>
      </c>
      <c r="L193" s="84">
        <v>0</v>
      </c>
      <c r="M193" s="84">
        <v>0</v>
      </c>
      <c r="N193" s="84">
        <v>0</v>
      </c>
      <c r="O193" s="84">
        <v>0</v>
      </c>
      <c r="P193" s="84">
        <v>0</v>
      </c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</row>
    <row r="194" spans="1:33" x14ac:dyDescent="0.25">
      <c r="A194" s="84" t="s">
        <v>4</v>
      </c>
      <c r="B194" s="84">
        <v>3.1316299999999999</v>
      </c>
      <c r="C194" s="84">
        <v>0</v>
      </c>
      <c r="D194" s="84">
        <v>3.1316299999999999</v>
      </c>
      <c r="E194" s="84">
        <v>1.4315866399999999</v>
      </c>
      <c r="F194" s="84">
        <v>0.21387187699999999</v>
      </c>
      <c r="G194" s="84">
        <v>1.3365596099999999</v>
      </c>
      <c r="H194" s="84">
        <v>6.6501678800000005E-2</v>
      </c>
      <c r="I194" s="84">
        <v>0</v>
      </c>
      <c r="J194" s="84">
        <v>0</v>
      </c>
      <c r="K194" s="84">
        <v>0</v>
      </c>
      <c r="L194" s="84">
        <v>0</v>
      </c>
      <c r="M194" s="84">
        <v>8.3110199600000004E-2</v>
      </c>
      <c r="N194" s="84">
        <v>0</v>
      </c>
      <c r="O194" s="84">
        <v>0</v>
      </c>
      <c r="P194" s="84">
        <v>0</v>
      </c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</row>
    <row r="195" spans="1:33" x14ac:dyDescent="0.25">
      <c r="A195" s="84" t="s">
        <v>5</v>
      </c>
      <c r="B195" s="84">
        <v>2.5710253199999999</v>
      </c>
      <c r="C195" s="84">
        <v>3.2658970300000001</v>
      </c>
      <c r="D195" s="84">
        <v>-0.69487170899999995</v>
      </c>
      <c r="E195" s="84">
        <v>1.2331466</v>
      </c>
      <c r="F195" s="84">
        <v>0.190811077</v>
      </c>
      <c r="G195" s="84">
        <v>1.1332237700000001</v>
      </c>
      <c r="H195" s="84">
        <v>1.3843875699999999E-2</v>
      </c>
      <c r="I195" s="84">
        <v>0</v>
      </c>
      <c r="J195" s="84">
        <v>0</v>
      </c>
      <c r="K195" s="84">
        <v>0</v>
      </c>
      <c r="L195" s="84">
        <v>0</v>
      </c>
      <c r="M195" s="84">
        <v>0</v>
      </c>
      <c r="N195" s="84">
        <v>0</v>
      </c>
      <c r="O195" s="84">
        <v>0</v>
      </c>
      <c r="P195" s="84">
        <v>0</v>
      </c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</row>
    <row r="196" spans="1:33" x14ac:dyDescent="0.25">
      <c r="A196" s="84" t="s">
        <v>6</v>
      </c>
      <c r="B196" s="84">
        <v>0</v>
      </c>
      <c r="C196" s="84">
        <v>0</v>
      </c>
      <c r="D196" s="84">
        <v>0</v>
      </c>
      <c r="E196" s="84">
        <v>0</v>
      </c>
      <c r="F196" s="84">
        <v>0</v>
      </c>
      <c r="G196" s="84">
        <v>0</v>
      </c>
      <c r="H196" s="84">
        <v>0</v>
      </c>
      <c r="I196" s="84">
        <v>0</v>
      </c>
      <c r="J196" s="84">
        <v>0</v>
      </c>
      <c r="K196" s="84">
        <v>0</v>
      </c>
      <c r="L196" s="84">
        <v>0</v>
      </c>
      <c r="M196" s="84">
        <v>0</v>
      </c>
      <c r="N196" s="84">
        <v>0</v>
      </c>
      <c r="O196" s="84">
        <v>0</v>
      </c>
      <c r="P196" s="84">
        <v>0</v>
      </c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</row>
    <row r="197" spans="1:33" x14ac:dyDescent="0.25">
      <c r="A197" s="84" t="s">
        <v>7</v>
      </c>
      <c r="B197" s="84">
        <v>0.21096625399999999</v>
      </c>
      <c r="C197" s="84">
        <v>8.3110199600000004E-2</v>
      </c>
      <c r="D197" s="84">
        <v>0.127856055</v>
      </c>
      <c r="E197" s="84">
        <v>0</v>
      </c>
      <c r="F197" s="84">
        <v>0.160556226</v>
      </c>
      <c r="G197" s="84">
        <v>3.59081885E-2</v>
      </c>
      <c r="H197" s="84">
        <v>1.45018393E-2</v>
      </c>
      <c r="I197" s="84">
        <v>0</v>
      </c>
      <c r="J197" s="84">
        <v>0</v>
      </c>
      <c r="K197" s="84">
        <v>0</v>
      </c>
      <c r="L197" s="84">
        <v>0</v>
      </c>
      <c r="M197" s="84">
        <v>0</v>
      </c>
      <c r="N197" s="84">
        <v>0</v>
      </c>
      <c r="O197" s="84">
        <v>0</v>
      </c>
      <c r="P197" s="84">
        <v>0</v>
      </c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</row>
    <row r="198" spans="1:33" x14ac:dyDescent="0.25">
      <c r="A198" s="84" t="s">
        <v>8</v>
      </c>
      <c r="B198" s="84">
        <v>0</v>
      </c>
      <c r="C198" s="84">
        <v>0</v>
      </c>
      <c r="D198" s="84">
        <v>0</v>
      </c>
      <c r="E198" s="84">
        <v>0</v>
      </c>
      <c r="F198" s="84">
        <v>0</v>
      </c>
      <c r="G198" s="84">
        <v>0</v>
      </c>
      <c r="H198" s="84">
        <v>0</v>
      </c>
      <c r="I198" s="84">
        <v>0</v>
      </c>
      <c r="J198" s="84">
        <v>0</v>
      </c>
      <c r="K198" s="84">
        <v>0</v>
      </c>
      <c r="L198" s="84">
        <v>0</v>
      </c>
      <c r="M198" s="84">
        <v>0</v>
      </c>
      <c r="N198" s="84">
        <v>0</v>
      </c>
      <c r="O198" s="84">
        <v>0</v>
      </c>
      <c r="P198" s="84">
        <v>0</v>
      </c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</row>
    <row r="199" spans="1:33" x14ac:dyDescent="0.25">
      <c r="A199" s="84" t="s">
        <v>9</v>
      </c>
      <c r="B199" s="84">
        <v>0</v>
      </c>
      <c r="C199" s="84">
        <v>0</v>
      </c>
      <c r="D199" s="84">
        <v>0</v>
      </c>
      <c r="E199" s="84">
        <v>0</v>
      </c>
      <c r="F199" s="84">
        <v>0</v>
      </c>
      <c r="G199" s="84">
        <v>0</v>
      </c>
      <c r="H199" s="84">
        <v>0</v>
      </c>
      <c r="I199" s="84">
        <v>0</v>
      </c>
      <c r="J199" s="84">
        <v>0</v>
      </c>
      <c r="K199" s="84">
        <v>0</v>
      </c>
      <c r="L199" s="84">
        <v>0</v>
      </c>
      <c r="M199" s="84">
        <v>0</v>
      </c>
      <c r="N199" s="84">
        <v>0</v>
      </c>
      <c r="O199" s="84">
        <v>0</v>
      </c>
      <c r="P199" s="84">
        <v>0</v>
      </c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</row>
    <row r="200" spans="1:33" x14ac:dyDescent="0.25">
      <c r="A200" s="84" t="s">
        <v>10</v>
      </c>
      <c r="B200" s="84">
        <v>0</v>
      </c>
      <c r="C200" s="84">
        <v>0</v>
      </c>
      <c r="D200" s="84">
        <v>0</v>
      </c>
      <c r="E200" s="84">
        <v>0</v>
      </c>
      <c r="F200" s="84">
        <v>0</v>
      </c>
      <c r="G200" s="84">
        <v>0</v>
      </c>
      <c r="H200" s="84">
        <v>0</v>
      </c>
      <c r="I200" s="84">
        <v>0</v>
      </c>
      <c r="J200" s="84">
        <v>0</v>
      </c>
      <c r="K200" s="84">
        <v>0</v>
      </c>
      <c r="L200" s="84">
        <v>0</v>
      </c>
      <c r="M200" s="84">
        <v>0</v>
      </c>
      <c r="N200" s="84">
        <v>0</v>
      </c>
      <c r="O200" s="84">
        <v>0</v>
      </c>
      <c r="P200" s="84">
        <v>0</v>
      </c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</row>
    <row r="201" spans="1:33" x14ac:dyDescent="0.25">
      <c r="A201" s="84" t="s">
        <v>11</v>
      </c>
      <c r="B201" s="84">
        <v>0</v>
      </c>
      <c r="C201" s="84">
        <v>0</v>
      </c>
      <c r="D201" s="84">
        <v>0</v>
      </c>
      <c r="E201" s="84">
        <v>0</v>
      </c>
      <c r="F201" s="84">
        <v>0</v>
      </c>
      <c r="G201" s="84">
        <v>0</v>
      </c>
      <c r="H201" s="84">
        <v>0</v>
      </c>
      <c r="I201" s="84">
        <v>0</v>
      </c>
      <c r="J201" s="84">
        <v>0</v>
      </c>
      <c r="K201" s="84">
        <v>0</v>
      </c>
      <c r="L201" s="84">
        <v>0</v>
      </c>
      <c r="M201" s="84">
        <v>0</v>
      </c>
      <c r="N201" s="84">
        <v>0</v>
      </c>
      <c r="O201" s="84">
        <v>0</v>
      </c>
      <c r="P201" s="84">
        <v>0</v>
      </c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</row>
    <row r="202" spans="1:33" x14ac:dyDescent="0.25">
      <c r="A202" s="84" t="s">
        <v>12</v>
      </c>
      <c r="B202" s="84">
        <v>0</v>
      </c>
      <c r="C202" s="84">
        <v>0</v>
      </c>
      <c r="D202" s="84">
        <v>0</v>
      </c>
      <c r="E202" s="84">
        <v>0</v>
      </c>
      <c r="F202" s="84">
        <v>0</v>
      </c>
      <c r="G202" s="84">
        <v>0</v>
      </c>
      <c r="H202" s="84">
        <v>0</v>
      </c>
      <c r="I202" s="84">
        <v>0</v>
      </c>
      <c r="J202" s="84">
        <v>0</v>
      </c>
      <c r="K202" s="84">
        <v>0</v>
      </c>
      <c r="L202" s="84">
        <v>0</v>
      </c>
      <c r="M202" s="84">
        <v>0</v>
      </c>
      <c r="N202" s="84">
        <v>0</v>
      </c>
      <c r="O202" s="84">
        <v>0</v>
      </c>
      <c r="P202" s="84">
        <v>0</v>
      </c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</row>
    <row r="203" spans="1:33" x14ac:dyDescent="0.25">
      <c r="A203" s="84" t="s">
        <v>13</v>
      </c>
      <c r="B203" s="84">
        <v>0</v>
      </c>
      <c r="C203" s="84">
        <v>0</v>
      </c>
      <c r="D203" s="84">
        <v>0</v>
      </c>
      <c r="E203" s="84">
        <v>0</v>
      </c>
      <c r="F203" s="84">
        <v>0</v>
      </c>
      <c r="G203" s="84">
        <v>0</v>
      </c>
      <c r="H203" s="84">
        <v>0</v>
      </c>
      <c r="I203" s="84">
        <v>0</v>
      </c>
      <c r="J203" s="84">
        <v>0</v>
      </c>
      <c r="K203" s="84">
        <v>0</v>
      </c>
      <c r="L203" s="84">
        <v>0</v>
      </c>
      <c r="M203" s="84">
        <v>0</v>
      </c>
      <c r="N203" s="84">
        <v>0</v>
      </c>
      <c r="O203" s="84">
        <v>0</v>
      </c>
      <c r="P203" s="84">
        <v>0</v>
      </c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</row>
    <row r="204" spans="1:33" x14ac:dyDescent="0.25">
      <c r="A204" s="84" t="s">
        <v>14</v>
      </c>
      <c r="B204" s="84">
        <v>0</v>
      </c>
      <c r="C204" s="84">
        <v>0</v>
      </c>
      <c r="D204" s="84">
        <v>0</v>
      </c>
      <c r="E204" s="84">
        <v>0</v>
      </c>
      <c r="F204" s="84">
        <v>0</v>
      </c>
      <c r="G204" s="84">
        <v>0</v>
      </c>
      <c r="H204" s="84">
        <v>0</v>
      </c>
      <c r="I204" s="84">
        <v>0</v>
      </c>
      <c r="J204" s="84">
        <v>0</v>
      </c>
      <c r="K204" s="84">
        <v>0</v>
      </c>
      <c r="L204" s="84">
        <v>0</v>
      </c>
      <c r="M204" s="84">
        <v>0</v>
      </c>
      <c r="N204" s="84">
        <v>0</v>
      </c>
      <c r="O204" s="84">
        <v>0</v>
      </c>
      <c r="P204" s="84">
        <v>0</v>
      </c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</row>
    <row r="205" spans="1:33" x14ac:dyDescent="0.25">
      <c r="A205" s="84" t="s">
        <v>297</v>
      </c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</row>
    <row r="206" spans="1:33" x14ac:dyDescent="0.25">
      <c r="A206" s="84" t="s">
        <v>360</v>
      </c>
      <c r="B206" s="84" t="s">
        <v>18</v>
      </c>
      <c r="C206" s="84" t="s">
        <v>19</v>
      </c>
      <c r="D206" s="84" t="s">
        <v>20</v>
      </c>
      <c r="E206" s="84" t="s">
        <v>21</v>
      </c>
      <c r="F206" s="84" t="s">
        <v>22</v>
      </c>
      <c r="G206" s="84" t="s">
        <v>23</v>
      </c>
      <c r="H206" s="84" t="s">
        <v>361</v>
      </c>
      <c r="I206" s="84" t="s">
        <v>25</v>
      </c>
      <c r="J206" s="84" t="s">
        <v>362</v>
      </c>
      <c r="K206" s="84" t="s">
        <v>5</v>
      </c>
      <c r="L206" s="84" t="s">
        <v>6</v>
      </c>
      <c r="M206" s="84" t="s">
        <v>7</v>
      </c>
      <c r="N206" s="84" t="s">
        <v>8</v>
      </c>
      <c r="O206" s="84" t="s">
        <v>9</v>
      </c>
      <c r="P206" s="84" t="s">
        <v>363</v>
      </c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</row>
    <row r="207" spans="1:33" x14ac:dyDescent="0.25">
      <c r="A207" s="84" t="s">
        <v>364</v>
      </c>
      <c r="B207" s="84" t="s">
        <v>365</v>
      </c>
      <c r="C207" s="84" t="s">
        <v>365</v>
      </c>
      <c r="D207" s="84" t="s">
        <v>365</v>
      </c>
      <c r="E207" s="84" t="s">
        <v>365</v>
      </c>
      <c r="F207" s="84" t="s">
        <v>365</v>
      </c>
      <c r="G207" s="84" t="s">
        <v>365</v>
      </c>
      <c r="H207" s="84" t="s">
        <v>365</v>
      </c>
      <c r="I207" s="84" t="s">
        <v>365</v>
      </c>
      <c r="J207" s="84" t="s">
        <v>365</v>
      </c>
      <c r="K207" s="84" t="s">
        <v>365</v>
      </c>
      <c r="L207" s="84" t="s">
        <v>365</v>
      </c>
      <c r="M207" s="84" t="s">
        <v>365</v>
      </c>
      <c r="N207" s="84" t="s">
        <v>365</v>
      </c>
      <c r="O207" s="84" t="s">
        <v>365</v>
      </c>
      <c r="P207" s="84" t="s">
        <v>365</v>
      </c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</row>
    <row r="208" spans="1:33" x14ac:dyDescent="0.25">
      <c r="A208" s="84" t="s">
        <v>1</v>
      </c>
      <c r="B208" s="84">
        <v>0</v>
      </c>
      <c r="C208" s="84">
        <v>0</v>
      </c>
      <c r="D208" s="84">
        <v>0</v>
      </c>
      <c r="E208" s="84">
        <v>0</v>
      </c>
      <c r="F208" s="84">
        <v>0</v>
      </c>
      <c r="G208" s="84">
        <v>0</v>
      </c>
      <c r="H208" s="84">
        <v>0</v>
      </c>
      <c r="I208" s="84">
        <v>0</v>
      </c>
      <c r="J208" s="84">
        <v>0</v>
      </c>
      <c r="K208" s="84">
        <v>0</v>
      </c>
      <c r="L208" s="84">
        <v>0</v>
      </c>
      <c r="M208" s="84">
        <v>0</v>
      </c>
      <c r="N208" s="84">
        <v>0</v>
      </c>
      <c r="O208" s="84">
        <v>0</v>
      </c>
      <c r="P208" s="84">
        <v>0</v>
      </c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</row>
    <row r="209" spans="1:33" x14ac:dyDescent="0.25">
      <c r="A209" s="84" t="s">
        <v>2</v>
      </c>
      <c r="B209" s="84">
        <v>10.2316828</v>
      </c>
      <c r="C209" s="84">
        <v>0</v>
      </c>
      <c r="D209" s="84">
        <v>10.2316828</v>
      </c>
      <c r="E209" s="84">
        <v>0</v>
      </c>
      <c r="F209" s="84">
        <v>0</v>
      </c>
      <c r="G209" s="84">
        <v>0</v>
      </c>
      <c r="H209" s="84">
        <v>0</v>
      </c>
      <c r="I209" s="84">
        <v>0</v>
      </c>
      <c r="J209" s="84">
        <v>0</v>
      </c>
      <c r="K209" s="84">
        <v>10.2316828</v>
      </c>
      <c r="L209" s="84">
        <v>0</v>
      </c>
      <c r="M209" s="84">
        <v>0</v>
      </c>
      <c r="N209" s="84">
        <v>0</v>
      </c>
      <c r="O209" s="84">
        <v>0</v>
      </c>
      <c r="P209" s="84">
        <v>0</v>
      </c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</row>
    <row r="210" spans="1:33" x14ac:dyDescent="0.25">
      <c r="A210" s="84" t="s">
        <v>3</v>
      </c>
      <c r="B210" s="84">
        <v>207.55638300000001</v>
      </c>
      <c r="C210" s="84">
        <v>0</v>
      </c>
      <c r="D210" s="84">
        <v>207.55638300000001</v>
      </c>
      <c r="E210" s="84">
        <v>145.79468299999999</v>
      </c>
      <c r="F210" s="84">
        <v>0.40620095699999997</v>
      </c>
      <c r="G210" s="84">
        <v>27.349268899999998</v>
      </c>
      <c r="H210" s="84">
        <v>4.74989023E-2</v>
      </c>
      <c r="I210" s="84">
        <v>0</v>
      </c>
      <c r="J210" s="84">
        <v>0</v>
      </c>
      <c r="K210" s="84">
        <v>33.958731100000001</v>
      </c>
      <c r="L210" s="84">
        <v>0</v>
      </c>
      <c r="M210" s="84">
        <v>0</v>
      </c>
      <c r="N210" s="84">
        <v>0</v>
      </c>
      <c r="O210" s="84">
        <v>0</v>
      </c>
      <c r="P210" s="84">
        <v>0</v>
      </c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</row>
    <row r="211" spans="1:33" x14ac:dyDescent="0.25">
      <c r="A211" s="84" t="s">
        <v>4</v>
      </c>
      <c r="B211" s="84">
        <v>31.307742000000001</v>
      </c>
      <c r="C211" s="84">
        <v>0</v>
      </c>
      <c r="D211" s="84">
        <v>31.307742000000001</v>
      </c>
      <c r="E211" s="84">
        <v>14.315866400000001</v>
      </c>
      <c r="F211" s="84">
        <v>2.1387187700000001</v>
      </c>
      <c r="G211" s="84">
        <v>13.3701335</v>
      </c>
      <c r="H211" s="84">
        <v>0.66384739400000004</v>
      </c>
      <c r="I211" s="84">
        <v>0</v>
      </c>
      <c r="J211" s="84">
        <v>0</v>
      </c>
      <c r="K211" s="84">
        <v>0</v>
      </c>
      <c r="L211" s="84">
        <v>0</v>
      </c>
      <c r="M211" s="84">
        <v>0.81917599900000004</v>
      </c>
      <c r="N211" s="84">
        <v>0</v>
      </c>
      <c r="O211" s="84">
        <v>0</v>
      </c>
      <c r="P211" s="84">
        <v>0</v>
      </c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</row>
    <row r="212" spans="1:33" x14ac:dyDescent="0.25">
      <c r="A212" s="84" t="s">
        <v>5</v>
      </c>
      <c r="B212" s="84">
        <v>44.190413900000003</v>
      </c>
      <c r="C212" s="84">
        <v>44.190413900000003</v>
      </c>
      <c r="D212" s="74">
        <v>7.1054273600000004E-15</v>
      </c>
      <c r="E212" s="84">
        <v>21.427952600000001</v>
      </c>
      <c r="F212" s="84">
        <v>3.3191692100000001</v>
      </c>
      <c r="G212" s="84">
        <v>19.203767599999999</v>
      </c>
      <c r="H212" s="84">
        <v>0.23952457299999999</v>
      </c>
      <c r="I212" s="84">
        <v>0</v>
      </c>
      <c r="J212" s="84">
        <v>0</v>
      </c>
      <c r="K212" s="84">
        <v>0</v>
      </c>
      <c r="L212" s="84">
        <v>0</v>
      </c>
      <c r="M212" s="84">
        <v>0</v>
      </c>
      <c r="N212" s="84">
        <v>0</v>
      </c>
      <c r="O212" s="84">
        <v>0</v>
      </c>
      <c r="P212" s="84">
        <v>0</v>
      </c>
      <c r="R212" s="77"/>
      <c r="S212" s="77"/>
      <c r="T212" s="77"/>
      <c r="U212" s="105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</row>
    <row r="213" spans="1:33" x14ac:dyDescent="0.25">
      <c r="A213" s="84" t="s">
        <v>6</v>
      </c>
      <c r="B213" s="84">
        <v>0</v>
      </c>
      <c r="C213" s="84">
        <v>0</v>
      </c>
      <c r="D213" s="84">
        <v>0</v>
      </c>
      <c r="E213" s="84">
        <v>0</v>
      </c>
      <c r="F213" s="84">
        <v>0</v>
      </c>
      <c r="G213" s="84">
        <v>0</v>
      </c>
      <c r="H213" s="84">
        <v>0</v>
      </c>
      <c r="I213" s="84">
        <v>0</v>
      </c>
      <c r="J213" s="84">
        <v>0</v>
      </c>
      <c r="K213" s="84">
        <v>0</v>
      </c>
      <c r="L213" s="84">
        <v>0</v>
      </c>
      <c r="M213" s="84">
        <v>0</v>
      </c>
      <c r="N213" s="84">
        <v>0</v>
      </c>
      <c r="O213" s="84">
        <v>0</v>
      </c>
      <c r="P213" s="84">
        <v>0</v>
      </c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</row>
    <row r="214" spans="1:33" x14ac:dyDescent="0.25">
      <c r="A214" s="84" t="s">
        <v>7</v>
      </c>
      <c r="B214" s="84">
        <v>0.81917599900000004</v>
      </c>
      <c r="C214" s="84">
        <v>0.81917599900000004</v>
      </c>
      <c r="D214" s="84">
        <v>0</v>
      </c>
      <c r="E214" s="84">
        <v>0</v>
      </c>
      <c r="F214" s="84">
        <v>0.62308327699999999</v>
      </c>
      <c r="G214" s="84">
        <v>0.13838798599999999</v>
      </c>
      <c r="H214" s="84">
        <v>5.7704735899999998E-2</v>
      </c>
      <c r="I214" s="84">
        <v>0</v>
      </c>
      <c r="J214" s="84">
        <v>0</v>
      </c>
      <c r="K214" s="84">
        <v>0</v>
      </c>
      <c r="L214" s="84">
        <v>0</v>
      </c>
      <c r="M214" s="84">
        <v>0</v>
      </c>
      <c r="N214" s="84">
        <v>0</v>
      </c>
      <c r="O214" s="84">
        <v>0</v>
      </c>
      <c r="P214" s="84">
        <v>0</v>
      </c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</row>
    <row r="215" spans="1:33" x14ac:dyDescent="0.25">
      <c r="A215" s="84" t="s">
        <v>8</v>
      </c>
      <c r="B215" s="84">
        <v>0</v>
      </c>
      <c r="C215" s="84">
        <v>0</v>
      </c>
      <c r="D215" s="84">
        <v>0</v>
      </c>
      <c r="E215" s="84">
        <v>0</v>
      </c>
      <c r="F215" s="84">
        <v>0</v>
      </c>
      <c r="G215" s="84">
        <v>0</v>
      </c>
      <c r="H215" s="84">
        <v>0</v>
      </c>
      <c r="I215" s="84">
        <v>0</v>
      </c>
      <c r="J215" s="84">
        <v>0</v>
      </c>
      <c r="K215" s="84">
        <v>0</v>
      </c>
      <c r="L215" s="84">
        <v>0</v>
      </c>
      <c r="M215" s="84">
        <v>0</v>
      </c>
      <c r="N215" s="84">
        <v>0</v>
      </c>
      <c r="O215" s="84">
        <v>0</v>
      </c>
      <c r="P215" s="84">
        <v>0</v>
      </c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</row>
    <row r="216" spans="1:33" x14ac:dyDescent="0.25">
      <c r="A216" s="84" t="s">
        <v>9</v>
      </c>
      <c r="B216" s="84">
        <v>0</v>
      </c>
      <c r="C216" s="84">
        <v>0</v>
      </c>
      <c r="D216" s="84">
        <v>0</v>
      </c>
      <c r="E216" s="84">
        <v>0</v>
      </c>
      <c r="F216" s="84">
        <v>0</v>
      </c>
      <c r="G216" s="84">
        <v>0</v>
      </c>
      <c r="H216" s="84">
        <v>0</v>
      </c>
      <c r="I216" s="84">
        <v>0</v>
      </c>
      <c r="J216" s="84">
        <v>0</v>
      </c>
      <c r="K216" s="84">
        <v>0</v>
      </c>
      <c r="L216" s="84">
        <v>0</v>
      </c>
      <c r="M216" s="84">
        <v>0</v>
      </c>
      <c r="N216" s="84">
        <v>0</v>
      </c>
      <c r="O216" s="84">
        <v>0</v>
      </c>
      <c r="P216" s="84">
        <v>0</v>
      </c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</row>
    <row r="217" spans="1:33" x14ac:dyDescent="0.25">
      <c r="A217" s="84" t="s">
        <v>10</v>
      </c>
      <c r="B217" s="84">
        <v>0</v>
      </c>
      <c r="C217" s="84">
        <v>0</v>
      </c>
      <c r="D217" s="84">
        <v>0</v>
      </c>
      <c r="E217" s="84">
        <v>0</v>
      </c>
      <c r="F217" s="84">
        <v>0</v>
      </c>
      <c r="G217" s="84">
        <v>0</v>
      </c>
      <c r="H217" s="84">
        <v>0</v>
      </c>
      <c r="I217" s="84">
        <v>0</v>
      </c>
      <c r="J217" s="84">
        <v>0</v>
      </c>
      <c r="K217" s="84">
        <v>0</v>
      </c>
      <c r="L217" s="84">
        <v>0</v>
      </c>
      <c r="M217" s="84">
        <v>0</v>
      </c>
      <c r="N217" s="84">
        <v>0</v>
      </c>
      <c r="O217" s="84">
        <v>0</v>
      </c>
      <c r="P217" s="84">
        <v>0</v>
      </c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</row>
    <row r="218" spans="1:33" x14ac:dyDescent="0.25">
      <c r="A218" s="84" t="s">
        <v>11</v>
      </c>
      <c r="B218" s="84">
        <v>0</v>
      </c>
      <c r="C218" s="84">
        <v>0</v>
      </c>
      <c r="D218" s="84">
        <v>0</v>
      </c>
      <c r="E218" s="84">
        <v>0</v>
      </c>
      <c r="F218" s="84">
        <v>0</v>
      </c>
      <c r="G218" s="84">
        <v>0</v>
      </c>
      <c r="H218" s="84">
        <v>0</v>
      </c>
      <c r="I218" s="84">
        <v>0</v>
      </c>
      <c r="J218" s="84">
        <v>0</v>
      </c>
      <c r="K218" s="84">
        <v>0</v>
      </c>
      <c r="L218" s="84">
        <v>0</v>
      </c>
      <c r="M218" s="84">
        <v>0</v>
      </c>
      <c r="N218" s="84">
        <v>0</v>
      </c>
      <c r="O218" s="84">
        <v>0</v>
      </c>
      <c r="P218" s="84">
        <v>0</v>
      </c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</row>
    <row r="219" spans="1:33" x14ac:dyDescent="0.25">
      <c r="A219" s="84" t="s">
        <v>12</v>
      </c>
      <c r="B219" s="84">
        <v>0</v>
      </c>
      <c r="C219" s="84">
        <v>0</v>
      </c>
      <c r="D219" s="84">
        <v>0</v>
      </c>
      <c r="E219" s="84">
        <v>0</v>
      </c>
      <c r="F219" s="84">
        <v>0</v>
      </c>
      <c r="G219" s="84">
        <v>0</v>
      </c>
      <c r="H219" s="84">
        <v>0</v>
      </c>
      <c r="I219" s="84">
        <v>0</v>
      </c>
      <c r="J219" s="84">
        <v>0</v>
      </c>
      <c r="K219" s="84">
        <v>0</v>
      </c>
      <c r="L219" s="84">
        <v>0</v>
      </c>
      <c r="M219" s="84">
        <v>0</v>
      </c>
      <c r="N219" s="84">
        <v>0</v>
      </c>
      <c r="O219" s="84">
        <v>0</v>
      </c>
      <c r="P219" s="84">
        <v>0</v>
      </c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</row>
    <row r="220" spans="1:33" x14ac:dyDescent="0.25">
      <c r="A220" s="84" t="s">
        <v>13</v>
      </c>
      <c r="B220" s="84">
        <v>0</v>
      </c>
      <c r="C220" s="84">
        <v>0</v>
      </c>
      <c r="D220" s="84">
        <v>0</v>
      </c>
      <c r="E220" s="84">
        <v>0</v>
      </c>
      <c r="F220" s="84">
        <v>0</v>
      </c>
      <c r="G220" s="84">
        <v>0</v>
      </c>
      <c r="H220" s="84">
        <v>0</v>
      </c>
      <c r="I220" s="84">
        <v>0</v>
      </c>
      <c r="J220" s="84">
        <v>0</v>
      </c>
      <c r="K220" s="84">
        <v>0</v>
      </c>
      <c r="L220" s="84">
        <v>0</v>
      </c>
      <c r="M220" s="84">
        <v>0</v>
      </c>
      <c r="N220" s="84">
        <v>0</v>
      </c>
      <c r="O220" s="84">
        <v>0</v>
      </c>
      <c r="P220" s="84">
        <v>0</v>
      </c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</row>
    <row r="221" spans="1:33" x14ac:dyDescent="0.25">
      <c r="A221" s="84" t="s">
        <v>14</v>
      </c>
      <c r="B221" s="84">
        <v>0</v>
      </c>
      <c r="C221" s="84">
        <v>0</v>
      </c>
      <c r="D221" s="84">
        <v>0</v>
      </c>
      <c r="E221" s="84">
        <v>0</v>
      </c>
      <c r="F221" s="84">
        <v>0</v>
      </c>
      <c r="G221" s="84">
        <v>0</v>
      </c>
      <c r="H221" s="84">
        <v>0</v>
      </c>
      <c r="I221" s="84">
        <v>0</v>
      </c>
      <c r="J221" s="84">
        <v>0</v>
      </c>
      <c r="K221" s="84">
        <v>0</v>
      </c>
      <c r="L221" s="84">
        <v>0</v>
      </c>
      <c r="M221" s="84">
        <v>0</v>
      </c>
      <c r="N221" s="84">
        <v>0</v>
      </c>
      <c r="O221" s="84">
        <v>0</v>
      </c>
      <c r="P221" s="84">
        <v>0</v>
      </c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</row>
    <row r="222" spans="1:33" x14ac:dyDescent="0.25">
      <c r="A222" s="84" t="s">
        <v>298</v>
      </c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</row>
    <row r="223" spans="1:33" x14ac:dyDescent="0.25">
      <c r="A223" s="84" t="s">
        <v>360</v>
      </c>
      <c r="B223" s="84" t="s">
        <v>366</v>
      </c>
      <c r="C223" s="84" t="s">
        <v>367</v>
      </c>
      <c r="D223" s="84" t="s">
        <v>368</v>
      </c>
      <c r="E223" s="84" t="s">
        <v>21</v>
      </c>
      <c r="F223" s="84" t="s">
        <v>22</v>
      </c>
      <c r="G223" s="84" t="s">
        <v>23</v>
      </c>
      <c r="H223" s="84" t="s">
        <v>361</v>
      </c>
      <c r="I223" s="84" t="s">
        <v>25</v>
      </c>
      <c r="J223" s="84" t="s">
        <v>362</v>
      </c>
      <c r="K223" s="84" t="s">
        <v>5</v>
      </c>
      <c r="L223" s="84" t="s">
        <v>6</v>
      </c>
      <c r="M223" s="84" t="s">
        <v>7</v>
      </c>
      <c r="N223" s="84" t="s">
        <v>8</v>
      </c>
      <c r="O223" s="84" t="s">
        <v>9</v>
      </c>
      <c r="P223" s="84" t="s">
        <v>363</v>
      </c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</row>
    <row r="224" spans="1:33" x14ac:dyDescent="0.25">
      <c r="A224" s="84" t="s">
        <v>364</v>
      </c>
      <c r="B224" s="84" t="s">
        <v>369</v>
      </c>
      <c r="C224" s="84" t="s">
        <v>369</v>
      </c>
      <c r="D224" s="84" t="s">
        <v>369</v>
      </c>
      <c r="E224" s="84" t="s">
        <v>369</v>
      </c>
      <c r="F224" s="84" t="s">
        <v>369</v>
      </c>
      <c r="G224" s="84" t="s">
        <v>369</v>
      </c>
      <c r="H224" s="84" t="s">
        <v>369</v>
      </c>
      <c r="I224" s="84" t="s">
        <v>369</v>
      </c>
      <c r="J224" s="84" t="s">
        <v>369</v>
      </c>
      <c r="K224" s="84" t="s">
        <v>369</v>
      </c>
      <c r="L224" s="84" t="s">
        <v>369</v>
      </c>
      <c r="M224" s="84" t="s">
        <v>369</v>
      </c>
      <c r="N224" s="84" t="s">
        <v>369</v>
      </c>
      <c r="O224" s="84" t="s">
        <v>369</v>
      </c>
      <c r="P224" s="84" t="s">
        <v>369</v>
      </c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</row>
    <row r="225" spans="1:33" x14ac:dyDescent="0.25">
      <c r="A225" s="84" t="s">
        <v>1</v>
      </c>
      <c r="B225" s="84">
        <v>13.1343707</v>
      </c>
      <c r="C225" s="84">
        <v>0</v>
      </c>
      <c r="D225" s="84">
        <v>13.1343707</v>
      </c>
      <c r="E225" s="84">
        <v>1.17176467</v>
      </c>
      <c r="F225" s="84">
        <v>0</v>
      </c>
      <c r="G225" s="84">
        <v>0.49057626999999998</v>
      </c>
      <c r="H225" s="84">
        <v>0</v>
      </c>
      <c r="I225" s="84">
        <v>0</v>
      </c>
      <c r="J225" s="84">
        <v>0</v>
      </c>
      <c r="K225" s="84">
        <v>2.25967188</v>
      </c>
      <c r="L225" s="84">
        <v>0</v>
      </c>
      <c r="M225" s="84">
        <v>9.2123579200000005</v>
      </c>
      <c r="N225" s="84">
        <v>0</v>
      </c>
      <c r="O225" s="84">
        <v>0</v>
      </c>
      <c r="P225" s="84">
        <v>0</v>
      </c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</row>
    <row r="226" spans="1:33" x14ac:dyDescent="0.25">
      <c r="A226" s="84" t="s">
        <v>2</v>
      </c>
      <c r="B226" s="84">
        <v>15.561389399999999</v>
      </c>
      <c r="C226" s="84">
        <v>0</v>
      </c>
      <c r="D226" s="84">
        <v>15.561389399999999</v>
      </c>
      <c r="E226" s="84">
        <v>0</v>
      </c>
      <c r="F226" s="84">
        <v>0</v>
      </c>
      <c r="G226" s="84">
        <v>0.110395228</v>
      </c>
      <c r="H226" s="84">
        <v>0</v>
      </c>
      <c r="I226" s="84">
        <v>0</v>
      </c>
      <c r="J226" s="84">
        <v>0</v>
      </c>
      <c r="K226" s="84">
        <v>15.4509942</v>
      </c>
      <c r="L226" s="84">
        <v>0</v>
      </c>
      <c r="M226" s="84">
        <v>0</v>
      </c>
      <c r="N226" s="84">
        <v>0</v>
      </c>
      <c r="O226" s="84">
        <v>0</v>
      </c>
      <c r="P226" s="84">
        <v>0</v>
      </c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</row>
    <row r="227" spans="1:33" x14ac:dyDescent="0.25">
      <c r="A227" s="84" t="s">
        <v>3</v>
      </c>
      <c r="B227" s="84">
        <v>67.585872199999997</v>
      </c>
      <c r="C227" s="84">
        <v>0</v>
      </c>
      <c r="D227" s="84">
        <v>67.585872199999997</v>
      </c>
      <c r="E227" s="84">
        <v>43.7708631</v>
      </c>
      <c r="F227" s="84">
        <v>0.15649517299999999</v>
      </c>
      <c r="G227" s="84">
        <v>8.5593069600000007</v>
      </c>
      <c r="H227" s="84">
        <v>2.1446151300000001E-2</v>
      </c>
      <c r="I227" s="84">
        <v>0</v>
      </c>
      <c r="J227" s="84">
        <v>0</v>
      </c>
      <c r="K227" s="84">
        <v>6.0413473</v>
      </c>
      <c r="L227" s="84">
        <v>0</v>
      </c>
      <c r="M227" s="84">
        <v>0</v>
      </c>
      <c r="N227" s="84">
        <v>0</v>
      </c>
      <c r="O227" s="84">
        <v>0</v>
      </c>
      <c r="P227" s="84">
        <v>9.0364135999999995</v>
      </c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</row>
    <row r="228" spans="1:33" x14ac:dyDescent="0.25">
      <c r="A228" s="84" t="s">
        <v>4</v>
      </c>
      <c r="B228" s="84">
        <v>140.73707400000001</v>
      </c>
      <c r="C228" s="84">
        <v>0</v>
      </c>
      <c r="D228" s="84">
        <v>140.73707400000001</v>
      </c>
      <c r="E228" s="84">
        <v>72.1534549</v>
      </c>
      <c r="F228" s="84">
        <v>11.657047499999999</v>
      </c>
      <c r="G228" s="84">
        <v>57.822302299999997</v>
      </c>
      <c r="H228" s="84">
        <v>2.6270512500000001</v>
      </c>
      <c r="I228" s="84">
        <v>0</v>
      </c>
      <c r="J228" s="84">
        <v>0</v>
      </c>
      <c r="K228" s="84">
        <v>0</v>
      </c>
      <c r="L228" s="84">
        <v>0</v>
      </c>
      <c r="M228" s="84">
        <v>2.5967661799999999</v>
      </c>
      <c r="N228" s="84">
        <v>0</v>
      </c>
      <c r="O228" s="84">
        <v>0</v>
      </c>
      <c r="P228" s="84">
        <v>-6.1195482099999996</v>
      </c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</row>
    <row r="229" spans="1:33" x14ac:dyDescent="0.25">
      <c r="A229" s="84" t="s">
        <v>5</v>
      </c>
      <c r="B229" s="84">
        <v>66.3249943</v>
      </c>
      <c r="C229" s="84">
        <v>68.780676</v>
      </c>
      <c r="D229" s="84">
        <v>-2.4556816299999999</v>
      </c>
      <c r="E229" s="84">
        <v>28.838302500000001</v>
      </c>
      <c r="F229" s="84">
        <v>4.8217550600000001</v>
      </c>
      <c r="G229" s="84">
        <v>32.250073800000003</v>
      </c>
      <c r="H229" s="84">
        <v>0.41486294299999998</v>
      </c>
      <c r="I229" s="84">
        <v>0</v>
      </c>
      <c r="J229" s="84">
        <v>0</v>
      </c>
      <c r="K229" s="84">
        <v>0</v>
      </c>
      <c r="L229" s="84">
        <v>0</v>
      </c>
      <c r="M229" s="84">
        <v>0</v>
      </c>
      <c r="N229" s="84">
        <v>0</v>
      </c>
      <c r="O229" s="84">
        <v>0</v>
      </c>
      <c r="P229" s="84">
        <v>0</v>
      </c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</row>
    <row r="230" spans="1:33" x14ac:dyDescent="0.25">
      <c r="A230" s="84" t="s">
        <v>6</v>
      </c>
      <c r="B230" s="84">
        <v>0</v>
      </c>
      <c r="C230" s="84">
        <v>0</v>
      </c>
      <c r="D230" s="84">
        <v>0</v>
      </c>
      <c r="E230" s="84">
        <v>0</v>
      </c>
      <c r="F230" s="84">
        <v>0</v>
      </c>
      <c r="G230" s="84">
        <v>0</v>
      </c>
      <c r="H230" s="84">
        <v>0</v>
      </c>
      <c r="I230" s="84">
        <v>0</v>
      </c>
      <c r="J230" s="84">
        <v>0</v>
      </c>
      <c r="K230" s="84">
        <v>0</v>
      </c>
      <c r="L230" s="84">
        <v>0</v>
      </c>
      <c r="M230" s="84">
        <v>0</v>
      </c>
      <c r="N230" s="84">
        <v>0</v>
      </c>
      <c r="O230" s="84">
        <v>0</v>
      </c>
      <c r="P230" s="84">
        <v>0</v>
      </c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</row>
    <row r="231" spans="1:33" x14ac:dyDescent="0.25">
      <c r="A231" s="84" t="s">
        <v>7</v>
      </c>
      <c r="B231" s="84">
        <v>16.0336815</v>
      </c>
      <c r="C231" s="84">
        <v>13.5634064</v>
      </c>
      <c r="D231" s="84">
        <v>2.4702750899999999</v>
      </c>
      <c r="E231" s="84">
        <v>0</v>
      </c>
      <c r="F231" s="84">
        <v>13.368819999999999</v>
      </c>
      <c r="G231" s="84">
        <v>1.7813250199999999</v>
      </c>
      <c r="H231" s="84">
        <v>0.88353646100000005</v>
      </c>
      <c r="I231" s="84">
        <v>0</v>
      </c>
      <c r="J231" s="84">
        <v>0</v>
      </c>
      <c r="K231" s="84">
        <v>0</v>
      </c>
      <c r="L231" s="84">
        <v>0</v>
      </c>
      <c r="M231" s="84">
        <v>0</v>
      </c>
      <c r="N231" s="84">
        <v>0</v>
      </c>
      <c r="O231" s="84">
        <v>0</v>
      </c>
      <c r="P231" s="84">
        <v>0</v>
      </c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</row>
    <row r="232" spans="1:33" x14ac:dyDescent="0.25">
      <c r="A232" s="84" t="s">
        <v>8</v>
      </c>
      <c r="B232" s="84">
        <v>0</v>
      </c>
      <c r="C232" s="84">
        <v>0</v>
      </c>
      <c r="D232" s="84">
        <v>0</v>
      </c>
      <c r="E232" s="84">
        <v>0</v>
      </c>
      <c r="F232" s="84">
        <v>0</v>
      </c>
      <c r="G232" s="84">
        <v>0</v>
      </c>
      <c r="H232" s="84">
        <v>0</v>
      </c>
      <c r="I232" s="84">
        <v>0</v>
      </c>
      <c r="J232" s="84">
        <v>0</v>
      </c>
      <c r="K232" s="84">
        <v>0</v>
      </c>
      <c r="L232" s="84">
        <v>0</v>
      </c>
      <c r="M232" s="84">
        <v>0</v>
      </c>
      <c r="N232" s="84">
        <v>0</v>
      </c>
      <c r="O232" s="84">
        <v>0</v>
      </c>
      <c r="P232" s="84">
        <v>0</v>
      </c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</row>
    <row r="233" spans="1:33" x14ac:dyDescent="0.25">
      <c r="A233" s="84" t="s">
        <v>9</v>
      </c>
      <c r="B233" s="84">
        <v>0</v>
      </c>
      <c r="C233" s="84">
        <v>0</v>
      </c>
      <c r="D233" s="84">
        <v>0</v>
      </c>
      <c r="E233" s="84">
        <v>0</v>
      </c>
      <c r="F233" s="84">
        <v>0</v>
      </c>
      <c r="G233" s="84">
        <v>0</v>
      </c>
      <c r="H233" s="84">
        <v>0</v>
      </c>
      <c r="I233" s="84">
        <v>0</v>
      </c>
      <c r="J233" s="84">
        <v>0</v>
      </c>
      <c r="K233" s="84">
        <v>0</v>
      </c>
      <c r="L233" s="84">
        <v>0</v>
      </c>
      <c r="M233" s="84">
        <v>0</v>
      </c>
      <c r="N233" s="84">
        <v>0</v>
      </c>
      <c r="O233" s="84">
        <v>0</v>
      </c>
      <c r="P233" s="84">
        <v>0</v>
      </c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</row>
    <row r="234" spans="1:33" x14ac:dyDescent="0.25">
      <c r="A234" s="84" t="s">
        <v>10</v>
      </c>
      <c r="B234" s="84">
        <v>25.655794700000001</v>
      </c>
      <c r="C234" s="84">
        <v>0</v>
      </c>
      <c r="D234" s="84">
        <v>25.655794700000001</v>
      </c>
      <c r="E234" s="84">
        <v>0</v>
      </c>
      <c r="F234" s="84">
        <v>-1.9452499999999999</v>
      </c>
      <c r="G234" s="84">
        <v>6.1370845600000001E-2</v>
      </c>
      <c r="H234" s="84">
        <v>0</v>
      </c>
      <c r="I234" s="84">
        <v>0</v>
      </c>
      <c r="J234" s="84">
        <v>0</v>
      </c>
      <c r="K234" s="84">
        <v>27.507835799999999</v>
      </c>
      <c r="L234" s="84">
        <v>0</v>
      </c>
      <c r="M234" s="84">
        <v>3.18380199E-2</v>
      </c>
      <c r="N234" s="84">
        <v>0</v>
      </c>
      <c r="O234" s="84">
        <v>0</v>
      </c>
      <c r="P234" s="84">
        <v>0</v>
      </c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</row>
    <row r="235" spans="1:33" x14ac:dyDescent="0.25">
      <c r="A235" s="84" t="s">
        <v>11</v>
      </c>
      <c r="B235" s="84">
        <v>4.3482975000000001</v>
      </c>
      <c r="C235" s="84">
        <v>0</v>
      </c>
      <c r="D235" s="84">
        <v>4.3482975000000001</v>
      </c>
      <c r="E235" s="84">
        <v>1.9883147800000001</v>
      </c>
      <c r="F235" s="84">
        <v>0.297044274</v>
      </c>
      <c r="G235" s="84">
        <v>1.85696298</v>
      </c>
      <c r="H235" s="84">
        <v>9.2201026899999997E-2</v>
      </c>
      <c r="I235" s="84">
        <v>0</v>
      </c>
      <c r="J235" s="84">
        <v>0</v>
      </c>
      <c r="K235" s="84">
        <v>0</v>
      </c>
      <c r="L235" s="84">
        <v>0</v>
      </c>
      <c r="M235" s="84">
        <v>0.113774444</v>
      </c>
      <c r="N235" s="84">
        <v>0</v>
      </c>
      <c r="O235" s="84">
        <v>0</v>
      </c>
      <c r="P235" s="84">
        <v>0</v>
      </c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</row>
    <row r="236" spans="1:33" x14ac:dyDescent="0.25">
      <c r="A236" s="84" t="s">
        <v>12</v>
      </c>
      <c r="B236" s="84">
        <v>75.213310100000001</v>
      </c>
      <c r="C236" s="84">
        <v>2.9168653899999999</v>
      </c>
      <c r="D236" s="84">
        <v>72.296444699999995</v>
      </c>
      <c r="E236" s="84">
        <v>57.425804900000003</v>
      </c>
      <c r="F236" s="84">
        <v>0.80305333599999995</v>
      </c>
      <c r="G236" s="84">
        <v>11.5599989</v>
      </c>
      <c r="H236" s="84">
        <v>0.228072258</v>
      </c>
      <c r="I236" s="84">
        <v>0</v>
      </c>
      <c r="J236" s="84">
        <v>0</v>
      </c>
      <c r="K236" s="84">
        <v>4.8542755499999997</v>
      </c>
      <c r="L236" s="84">
        <v>0</v>
      </c>
      <c r="M236" s="84">
        <v>0.34210516499999999</v>
      </c>
      <c r="N236" s="84">
        <v>0</v>
      </c>
      <c r="O236" s="84">
        <v>0</v>
      </c>
      <c r="P236" s="84">
        <v>0</v>
      </c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</row>
    <row r="237" spans="1:33" x14ac:dyDescent="0.25">
      <c r="A237" s="84" t="s">
        <v>13</v>
      </c>
      <c r="B237" s="84">
        <v>62.279804200000001</v>
      </c>
      <c r="C237" s="84">
        <v>0</v>
      </c>
      <c r="D237" s="84">
        <v>62.279804200000001</v>
      </c>
      <c r="E237" s="84">
        <v>43.0353037</v>
      </c>
      <c r="F237" s="84">
        <v>6.5318852300000003</v>
      </c>
      <c r="G237" s="84">
        <v>0</v>
      </c>
      <c r="H237" s="84">
        <v>0</v>
      </c>
      <c r="I237" s="84">
        <v>0</v>
      </c>
      <c r="J237" s="84">
        <v>0</v>
      </c>
      <c r="K237" s="84">
        <v>12.1986793</v>
      </c>
      <c r="L237" s="84">
        <v>0</v>
      </c>
      <c r="M237" s="84">
        <v>0.51393599999999995</v>
      </c>
      <c r="N237" s="84">
        <v>0</v>
      </c>
      <c r="O237" s="84">
        <v>0</v>
      </c>
      <c r="P237" s="84">
        <v>0</v>
      </c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</row>
    <row r="238" spans="1:33" x14ac:dyDescent="0.25">
      <c r="A238" s="84" t="s">
        <v>14</v>
      </c>
      <c r="B238" s="84">
        <v>4.2192892899999999</v>
      </c>
      <c r="C238" s="84">
        <v>0</v>
      </c>
      <c r="D238" s="84">
        <v>4.2192892899999999</v>
      </c>
      <c r="E238" s="84">
        <v>0.26306348499999999</v>
      </c>
      <c r="F238" s="84">
        <v>1.7868869999999999</v>
      </c>
      <c r="G238" s="84">
        <v>0.83162071800000004</v>
      </c>
      <c r="H238" s="84">
        <v>0.117217457</v>
      </c>
      <c r="I238" s="84">
        <v>0</v>
      </c>
      <c r="J238" s="84">
        <v>0</v>
      </c>
      <c r="K238" s="84">
        <v>0.46787195100000001</v>
      </c>
      <c r="L238" s="84">
        <v>0</v>
      </c>
      <c r="M238" s="84">
        <v>0.75262867899999997</v>
      </c>
      <c r="N238" s="84">
        <v>0</v>
      </c>
      <c r="O238" s="84">
        <v>0</v>
      </c>
      <c r="P238" s="84">
        <v>0</v>
      </c>
      <c r="R238" s="77"/>
      <c r="S238" s="77"/>
      <c r="T238" s="77"/>
      <c r="U238" s="77"/>
      <c r="V238" s="77"/>
      <c r="W238" s="77"/>
      <c r="X238" s="77"/>
      <c r="Y238" s="77"/>
      <c r="Z238" s="105"/>
      <c r="AA238" s="77"/>
      <c r="AB238" s="77"/>
      <c r="AC238" s="77"/>
      <c r="AD238" s="77"/>
      <c r="AE238" s="77"/>
      <c r="AF238" s="77"/>
      <c r="AG238" s="77"/>
    </row>
    <row r="239" spans="1:33" x14ac:dyDescent="0.25">
      <c r="A239" s="84" t="s">
        <v>299</v>
      </c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</row>
    <row r="240" spans="1:33" x14ac:dyDescent="0.25">
      <c r="A240" s="84" t="s">
        <v>360</v>
      </c>
      <c r="B240" s="84" t="s">
        <v>18</v>
      </c>
      <c r="C240" s="84" t="s">
        <v>19</v>
      </c>
      <c r="D240" s="84" t="s">
        <v>20</v>
      </c>
      <c r="E240" s="84" t="s">
        <v>21</v>
      </c>
      <c r="F240" s="84" t="s">
        <v>22</v>
      </c>
      <c r="G240" s="84" t="s">
        <v>23</v>
      </c>
      <c r="H240" s="84" t="s">
        <v>361</v>
      </c>
      <c r="I240" s="84" t="s">
        <v>25</v>
      </c>
      <c r="J240" s="84" t="s">
        <v>362</v>
      </c>
      <c r="K240" s="84" t="s">
        <v>5</v>
      </c>
      <c r="L240" s="84" t="s">
        <v>6</v>
      </c>
      <c r="M240" s="84" t="s">
        <v>7</v>
      </c>
      <c r="N240" s="84" t="s">
        <v>8</v>
      </c>
      <c r="O240" s="84" t="s">
        <v>9</v>
      </c>
      <c r="P240" s="84" t="s">
        <v>363</v>
      </c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</row>
    <row r="241" spans="1:33" x14ac:dyDescent="0.25">
      <c r="A241" s="84" t="s">
        <v>364</v>
      </c>
      <c r="B241" s="84" t="s">
        <v>370</v>
      </c>
      <c r="C241" s="84" t="s">
        <v>370</v>
      </c>
      <c r="D241" s="84" t="s">
        <v>370</v>
      </c>
      <c r="E241" s="84" t="s">
        <v>370</v>
      </c>
      <c r="F241" s="84" t="s">
        <v>370</v>
      </c>
      <c r="G241" s="84" t="s">
        <v>370</v>
      </c>
      <c r="H241" s="84" t="s">
        <v>370</v>
      </c>
      <c r="I241" s="84" t="s">
        <v>370</v>
      </c>
      <c r="J241" s="84" t="s">
        <v>370</v>
      </c>
      <c r="K241" s="84" t="s">
        <v>370</v>
      </c>
      <c r="L241" s="84" t="s">
        <v>370</v>
      </c>
      <c r="M241" s="84" t="s">
        <v>370</v>
      </c>
      <c r="N241" s="84" t="s">
        <v>370</v>
      </c>
      <c r="O241" s="84" t="s">
        <v>370</v>
      </c>
      <c r="P241" s="84" t="s">
        <v>370</v>
      </c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</row>
    <row r="242" spans="1:33" x14ac:dyDescent="0.25">
      <c r="A242" s="84" t="s">
        <v>1</v>
      </c>
      <c r="B242" s="84">
        <v>0</v>
      </c>
      <c r="C242" s="84">
        <v>0</v>
      </c>
      <c r="D242" s="84">
        <v>0</v>
      </c>
      <c r="E242" s="84">
        <v>0</v>
      </c>
      <c r="F242" s="84">
        <v>0</v>
      </c>
      <c r="G242" s="84">
        <v>0</v>
      </c>
      <c r="H242" s="84">
        <v>0</v>
      </c>
      <c r="I242" s="84">
        <v>0</v>
      </c>
      <c r="J242" s="84">
        <v>0</v>
      </c>
      <c r="K242" s="84">
        <v>0</v>
      </c>
      <c r="L242" s="84">
        <v>0</v>
      </c>
      <c r="M242" s="84">
        <v>0</v>
      </c>
      <c r="N242" s="84">
        <v>0</v>
      </c>
      <c r="O242" s="84">
        <v>0</v>
      </c>
      <c r="P242" s="84">
        <v>0</v>
      </c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</row>
    <row r="243" spans="1:33" x14ac:dyDescent="0.25">
      <c r="A243" s="84" t="s">
        <v>2</v>
      </c>
      <c r="B243" s="84">
        <v>2.4823578099999999</v>
      </c>
      <c r="C243" s="84">
        <v>0</v>
      </c>
      <c r="D243" s="84">
        <v>2.4823578099999999</v>
      </c>
      <c r="E243" s="84">
        <v>0</v>
      </c>
      <c r="F243" s="84">
        <v>0</v>
      </c>
      <c r="G243" s="84">
        <v>0</v>
      </c>
      <c r="H243" s="84">
        <v>0</v>
      </c>
      <c r="I243" s="84">
        <v>0</v>
      </c>
      <c r="J243" s="84">
        <v>0</v>
      </c>
      <c r="K243" s="84">
        <v>2.4823578099999999</v>
      </c>
      <c r="L243" s="84">
        <v>0</v>
      </c>
      <c r="M243" s="84">
        <v>0</v>
      </c>
      <c r="N243" s="84">
        <v>0</v>
      </c>
      <c r="O243" s="84">
        <v>0</v>
      </c>
      <c r="P243" s="84">
        <v>0</v>
      </c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</row>
    <row r="244" spans="1:33" x14ac:dyDescent="0.25">
      <c r="A244" s="84" t="s">
        <v>3</v>
      </c>
      <c r="B244" s="84">
        <v>4.1005989600000001</v>
      </c>
      <c r="C244" s="84">
        <v>0</v>
      </c>
      <c r="D244" s="84">
        <v>4.1005989600000001</v>
      </c>
      <c r="E244" s="84">
        <v>2.8804005799999999</v>
      </c>
      <c r="F244" s="84">
        <v>8.0251312600000003E-3</v>
      </c>
      <c r="G244" s="84">
        <v>0.54032731599999995</v>
      </c>
      <c r="H244" s="84">
        <v>9.3841464199999997E-4</v>
      </c>
      <c r="I244" s="84">
        <v>0</v>
      </c>
      <c r="J244" s="84">
        <v>0</v>
      </c>
      <c r="K244" s="84">
        <v>0.67090751599999998</v>
      </c>
      <c r="L244" s="84">
        <v>0</v>
      </c>
      <c r="M244" s="84">
        <v>0</v>
      </c>
      <c r="N244" s="84">
        <v>0</v>
      </c>
      <c r="O244" s="84">
        <v>0</v>
      </c>
      <c r="P244" s="84">
        <v>0</v>
      </c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</row>
    <row r="245" spans="1:33" x14ac:dyDescent="0.25">
      <c r="A245" s="84" t="s">
        <v>4</v>
      </c>
      <c r="B245" s="84">
        <v>3.1307741999999998</v>
      </c>
      <c r="C245" s="84">
        <v>0</v>
      </c>
      <c r="D245" s="84">
        <v>3.1307741999999998</v>
      </c>
      <c r="E245" s="84">
        <v>1.4315866399999999</v>
      </c>
      <c r="F245" s="84">
        <v>0.21387187699999999</v>
      </c>
      <c r="G245" s="84">
        <v>1.3370133500000001</v>
      </c>
      <c r="H245" s="84">
        <v>6.6384739400000004E-2</v>
      </c>
      <c r="I245" s="84">
        <v>0</v>
      </c>
      <c r="J245" s="84">
        <v>0</v>
      </c>
      <c r="K245" s="84">
        <v>0</v>
      </c>
      <c r="L245" s="84">
        <v>0</v>
      </c>
      <c r="M245" s="84">
        <v>8.1917599899999999E-2</v>
      </c>
      <c r="N245" s="84">
        <v>0</v>
      </c>
      <c r="O245" s="84">
        <v>0</v>
      </c>
      <c r="P245" s="84">
        <v>0</v>
      </c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</row>
    <row r="246" spans="1:33" x14ac:dyDescent="0.25">
      <c r="A246" s="84" t="s">
        <v>5</v>
      </c>
      <c r="B246" s="84">
        <v>2.4823578099999999</v>
      </c>
      <c r="C246" s="84">
        <v>3.15326532</v>
      </c>
      <c r="D246" s="84">
        <v>-0.67090751599999998</v>
      </c>
      <c r="E246" s="84">
        <v>1.2036964699999999</v>
      </c>
      <c r="F246" s="84">
        <v>0.186451424</v>
      </c>
      <c r="G246" s="84">
        <v>1.0787548300000001</v>
      </c>
      <c r="H246" s="84">
        <v>1.3455083200000001E-2</v>
      </c>
      <c r="I246" s="84">
        <v>0</v>
      </c>
      <c r="J246" s="84">
        <v>0</v>
      </c>
      <c r="K246" s="84">
        <v>0</v>
      </c>
      <c r="L246" s="84">
        <v>0</v>
      </c>
      <c r="M246" s="84">
        <v>0</v>
      </c>
      <c r="N246" s="84">
        <v>0</v>
      </c>
      <c r="O246" s="84">
        <v>0</v>
      </c>
      <c r="P246" s="84">
        <v>0</v>
      </c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</row>
    <row r="247" spans="1:33" x14ac:dyDescent="0.25">
      <c r="A247" s="84" t="s">
        <v>6</v>
      </c>
      <c r="B247" s="84">
        <v>0</v>
      </c>
      <c r="C247" s="84">
        <v>0</v>
      </c>
      <c r="D247" s="84">
        <v>0</v>
      </c>
      <c r="E247" s="84">
        <v>0</v>
      </c>
      <c r="F247" s="84">
        <v>0</v>
      </c>
      <c r="G247" s="84">
        <v>0</v>
      </c>
      <c r="H247" s="84">
        <v>0</v>
      </c>
      <c r="I247" s="84">
        <v>0</v>
      </c>
      <c r="J247" s="84">
        <v>0</v>
      </c>
      <c r="K247" s="84">
        <v>0</v>
      </c>
      <c r="L247" s="84">
        <v>0</v>
      </c>
      <c r="M247" s="84">
        <v>0</v>
      </c>
      <c r="N247" s="84">
        <v>0</v>
      </c>
      <c r="O247" s="84">
        <v>0</v>
      </c>
      <c r="P247" s="84">
        <v>0</v>
      </c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</row>
    <row r="248" spans="1:33" x14ac:dyDescent="0.25">
      <c r="A248" s="84" t="s">
        <v>7</v>
      </c>
      <c r="B248" s="84">
        <v>0.20650893000000001</v>
      </c>
      <c r="C248" s="84">
        <v>8.1917599899999999E-2</v>
      </c>
      <c r="D248" s="84">
        <v>0.12459133</v>
      </c>
      <c r="E248" s="84">
        <v>0</v>
      </c>
      <c r="F248" s="84">
        <v>0.15707523300000001</v>
      </c>
      <c r="G248" s="84">
        <v>3.4886709299999999E-2</v>
      </c>
      <c r="H248" s="84">
        <v>1.4546987799999999E-2</v>
      </c>
      <c r="I248" s="84">
        <v>0</v>
      </c>
      <c r="J248" s="84">
        <v>0</v>
      </c>
      <c r="K248" s="84">
        <v>0</v>
      </c>
      <c r="L248" s="84">
        <v>0</v>
      </c>
      <c r="M248" s="84">
        <v>0</v>
      </c>
      <c r="N248" s="84">
        <v>0</v>
      </c>
      <c r="O248" s="84">
        <v>0</v>
      </c>
      <c r="P248" s="84">
        <v>0</v>
      </c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</row>
    <row r="249" spans="1:33" x14ac:dyDescent="0.25">
      <c r="A249" s="84" t="s">
        <v>8</v>
      </c>
      <c r="B249" s="84">
        <v>0</v>
      </c>
      <c r="C249" s="84">
        <v>0</v>
      </c>
      <c r="D249" s="84">
        <v>0</v>
      </c>
      <c r="E249" s="84">
        <v>0</v>
      </c>
      <c r="F249" s="84">
        <v>0</v>
      </c>
      <c r="G249" s="84">
        <v>0</v>
      </c>
      <c r="H249" s="84">
        <v>0</v>
      </c>
      <c r="I249" s="84">
        <v>0</v>
      </c>
      <c r="J249" s="84">
        <v>0</v>
      </c>
      <c r="K249" s="84">
        <v>0</v>
      </c>
      <c r="L249" s="84">
        <v>0</v>
      </c>
      <c r="M249" s="84">
        <v>0</v>
      </c>
      <c r="N249" s="84">
        <v>0</v>
      </c>
      <c r="O249" s="84">
        <v>0</v>
      </c>
      <c r="P249" s="84">
        <v>0</v>
      </c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</row>
    <row r="250" spans="1:33" x14ac:dyDescent="0.25">
      <c r="A250" s="84" t="s">
        <v>9</v>
      </c>
      <c r="B250" s="84">
        <v>0</v>
      </c>
      <c r="C250" s="84">
        <v>0</v>
      </c>
      <c r="D250" s="84">
        <v>0</v>
      </c>
      <c r="E250" s="84">
        <v>0</v>
      </c>
      <c r="F250" s="84">
        <v>0</v>
      </c>
      <c r="G250" s="84">
        <v>0</v>
      </c>
      <c r="H250" s="84">
        <v>0</v>
      </c>
      <c r="I250" s="84">
        <v>0</v>
      </c>
      <c r="J250" s="84">
        <v>0</v>
      </c>
      <c r="K250" s="84">
        <v>0</v>
      </c>
      <c r="L250" s="84">
        <v>0</v>
      </c>
      <c r="M250" s="84">
        <v>0</v>
      </c>
      <c r="N250" s="84">
        <v>0</v>
      </c>
      <c r="O250" s="84">
        <v>0</v>
      </c>
      <c r="P250" s="84">
        <v>0</v>
      </c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</row>
    <row r="251" spans="1:33" x14ac:dyDescent="0.25">
      <c r="A251" s="84" t="s">
        <v>10</v>
      </c>
      <c r="B251" s="84">
        <v>0</v>
      </c>
      <c r="C251" s="84">
        <v>0</v>
      </c>
      <c r="D251" s="84">
        <v>0</v>
      </c>
      <c r="E251" s="84">
        <v>0</v>
      </c>
      <c r="F251" s="84">
        <v>0</v>
      </c>
      <c r="G251" s="84">
        <v>0</v>
      </c>
      <c r="H251" s="84">
        <v>0</v>
      </c>
      <c r="I251" s="84">
        <v>0</v>
      </c>
      <c r="J251" s="84">
        <v>0</v>
      </c>
      <c r="K251" s="84">
        <v>0</v>
      </c>
      <c r="L251" s="84">
        <v>0</v>
      </c>
      <c r="M251" s="84">
        <v>0</v>
      </c>
      <c r="N251" s="84">
        <v>0</v>
      </c>
      <c r="O251" s="84">
        <v>0</v>
      </c>
      <c r="P251" s="84">
        <v>0</v>
      </c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</row>
    <row r="252" spans="1:33" x14ac:dyDescent="0.25">
      <c r="A252" s="84" t="s">
        <v>11</v>
      </c>
      <c r="B252" s="84">
        <v>0</v>
      </c>
      <c r="C252" s="84">
        <v>0</v>
      </c>
      <c r="D252" s="84">
        <v>0</v>
      </c>
      <c r="E252" s="84">
        <v>0</v>
      </c>
      <c r="F252" s="84">
        <v>0</v>
      </c>
      <c r="G252" s="84">
        <v>0</v>
      </c>
      <c r="H252" s="84">
        <v>0</v>
      </c>
      <c r="I252" s="84">
        <v>0</v>
      </c>
      <c r="J252" s="84">
        <v>0</v>
      </c>
      <c r="K252" s="84">
        <v>0</v>
      </c>
      <c r="L252" s="84">
        <v>0</v>
      </c>
      <c r="M252" s="84">
        <v>0</v>
      </c>
      <c r="N252" s="84">
        <v>0</v>
      </c>
      <c r="O252" s="84">
        <v>0</v>
      </c>
      <c r="P252" s="84">
        <v>0</v>
      </c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</row>
    <row r="253" spans="1:33" x14ac:dyDescent="0.25">
      <c r="A253" s="84" t="s">
        <v>12</v>
      </c>
      <c r="B253" s="84">
        <v>0</v>
      </c>
      <c r="C253" s="84">
        <v>0</v>
      </c>
      <c r="D253" s="84">
        <v>0</v>
      </c>
      <c r="E253" s="84">
        <v>0</v>
      </c>
      <c r="F253" s="84">
        <v>0</v>
      </c>
      <c r="G253" s="84">
        <v>0</v>
      </c>
      <c r="H253" s="84">
        <v>0</v>
      </c>
      <c r="I253" s="84">
        <v>0</v>
      </c>
      <c r="J253" s="84">
        <v>0</v>
      </c>
      <c r="K253" s="84">
        <v>0</v>
      </c>
      <c r="L253" s="84">
        <v>0</v>
      </c>
      <c r="M253" s="84">
        <v>0</v>
      </c>
      <c r="N253" s="84">
        <v>0</v>
      </c>
      <c r="O253" s="84">
        <v>0</v>
      </c>
      <c r="P253" s="84">
        <v>0</v>
      </c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</row>
    <row r="254" spans="1:33" x14ac:dyDescent="0.25">
      <c r="A254" s="84" t="s">
        <v>13</v>
      </c>
      <c r="B254" s="84">
        <v>0</v>
      </c>
      <c r="C254" s="84">
        <v>0</v>
      </c>
      <c r="D254" s="84">
        <v>0</v>
      </c>
      <c r="E254" s="84">
        <v>0</v>
      </c>
      <c r="F254" s="84">
        <v>0</v>
      </c>
      <c r="G254" s="84">
        <v>0</v>
      </c>
      <c r="H254" s="84">
        <v>0</v>
      </c>
      <c r="I254" s="84">
        <v>0</v>
      </c>
      <c r="J254" s="84">
        <v>0</v>
      </c>
      <c r="K254" s="84">
        <v>0</v>
      </c>
      <c r="L254" s="84">
        <v>0</v>
      </c>
      <c r="M254" s="84">
        <v>0</v>
      </c>
      <c r="N254" s="84">
        <v>0</v>
      </c>
      <c r="O254" s="84">
        <v>0</v>
      </c>
      <c r="P254" s="84">
        <v>0</v>
      </c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</row>
    <row r="255" spans="1:33" x14ac:dyDescent="0.25">
      <c r="A255" s="84" t="s">
        <v>14</v>
      </c>
      <c r="B255" s="84">
        <v>0</v>
      </c>
      <c r="C255" s="84">
        <v>0</v>
      </c>
      <c r="D255" s="84">
        <v>0</v>
      </c>
      <c r="E255" s="84">
        <v>0</v>
      </c>
      <c r="F255" s="84">
        <v>0</v>
      </c>
      <c r="G255" s="84">
        <v>0</v>
      </c>
      <c r="H255" s="84">
        <v>0</v>
      </c>
      <c r="I255" s="84">
        <v>0</v>
      </c>
      <c r="J255" s="84">
        <v>0</v>
      </c>
      <c r="K255" s="84">
        <v>0</v>
      </c>
      <c r="L255" s="84">
        <v>0</v>
      </c>
      <c r="M255" s="84">
        <v>0</v>
      </c>
      <c r="N255" s="84">
        <v>0</v>
      </c>
      <c r="O255" s="84">
        <v>0</v>
      </c>
      <c r="P255" s="84">
        <v>0</v>
      </c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</row>
    <row r="256" spans="1:33" s="108" customFormat="1" ht="15" customHeight="1" x14ac:dyDescent="0.35">
      <c r="A256" s="106" t="s">
        <v>422</v>
      </c>
      <c r="B256" s="106"/>
      <c r="C256" s="106"/>
      <c r="D256" s="106"/>
      <c r="E256" s="106"/>
      <c r="F256" s="106"/>
      <c r="G256" s="106"/>
      <c r="H256" s="106"/>
      <c r="I256" s="106"/>
      <c r="J256" s="106"/>
      <c r="K256" s="106"/>
      <c r="L256" s="106"/>
      <c r="M256" s="106"/>
      <c r="N256" s="106"/>
      <c r="O256" s="106"/>
      <c r="P256" s="106"/>
      <c r="Q256" s="107" t="s">
        <v>403</v>
      </c>
      <c r="R256" s="106"/>
      <c r="S256" s="106"/>
      <c r="T256" s="106"/>
      <c r="U256" s="106"/>
      <c r="V256" s="106"/>
      <c r="W256" s="106"/>
      <c r="X256" s="106"/>
      <c r="Y256" s="106"/>
      <c r="Z256" s="106"/>
      <c r="AA256" s="106"/>
      <c r="AB256" s="106"/>
      <c r="AC256" s="106"/>
      <c r="AD256" s="106"/>
      <c r="AE256" s="106"/>
      <c r="AF256" s="106"/>
      <c r="AG256" s="106"/>
    </row>
    <row r="257" spans="1:33" x14ac:dyDescent="0.25">
      <c r="A257" s="77" t="s">
        <v>360</v>
      </c>
      <c r="B257" s="77" t="s">
        <v>18</v>
      </c>
      <c r="C257" s="77" t="s">
        <v>19</v>
      </c>
      <c r="D257" s="77" t="s">
        <v>20</v>
      </c>
      <c r="E257" s="77" t="s">
        <v>21</v>
      </c>
      <c r="F257" s="77" t="s">
        <v>22</v>
      </c>
      <c r="G257" s="77" t="s">
        <v>23</v>
      </c>
      <c r="H257" s="77" t="s">
        <v>361</v>
      </c>
      <c r="I257" s="77" t="s">
        <v>25</v>
      </c>
      <c r="J257" s="77" t="s">
        <v>362</v>
      </c>
      <c r="K257" s="77" t="s">
        <v>5</v>
      </c>
      <c r="L257" s="77" t="s">
        <v>6</v>
      </c>
      <c r="M257" s="77" t="s">
        <v>7</v>
      </c>
      <c r="N257" s="77" t="s">
        <v>8</v>
      </c>
      <c r="O257" s="77" t="s">
        <v>9</v>
      </c>
      <c r="P257" s="77" t="s">
        <v>363</v>
      </c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</row>
    <row r="258" spans="1:33" x14ac:dyDescent="0.25">
      <c r="A258" s="77" t="s">
        <v>364</v>
      </c>
      <c r="B258" s="77" t="s">
        <v>365</v>
      </c>
      <c r="C258" s="77" t="s">
        <v>365</v>
      </c>
      <c r="D258" s="77" t="s">
        <v>365</v>
      </c>
      <c r="E258" s="77" t="s">
        <v>365</v>
      </c>
      <c r="F258" s="77" t="s">
        <v>365</v>
      </c>
      <c r="G258" s="77" t="s">
        <v>365</v>
      </c>
      <c r="H258" s="77" t="s">
        <v>365</v>
      </c>
      <c r="I258" s="77" t="s">
        <v>365</v>
      </c>
      <c r="J258" s="77" t="s">
        <v>365</v>
      </c>
      <c r="K258" s="77" t="s">
        <v>365</v>
      </c>
      <c r="L258" s="77" t="s">
        <v>365</v>
      </c>
      <c r="M258" s="77" t="s">
        <v>365</v>
      </c>
      <c r="N258" s="77" t="s">
        <v>365</v>
      </c>
      <c r="O258" s="77" t="s">
        <v>365</v>
      </c>
      <c r="P258" s="77" t="s">
        <v>365</v>
      </c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</row>
    <row r="259" spans="1:33" x14ac:dyDescent="0.25">
      <c r="A259" s="77" t="s">
        <v>1</v>
      </c>
      <c r="B259" s="77">
        <v>0</v>
      </c>
      <c r="C259" s="77">
        <v>0</v>
      </c>
      <c r="D259" s="77">
        <v>0</v>
      </c>
      <c r="E259" s="77">
        <v>0</v>
      </c>
      <c r="F259" s="77">
        <v>0</v>
      </c>
      <c r="G259" s="77">
        <v>0</v>
      </c>
      <c r="H259" s="77">
        <v>0</v>
      </c>
      <c r="I259" s="77">
        <v>0</v>
      </c>
      <c r="J259" s="77">
        <v>0</v>
      </c>
      <c r="K259" s="77">
        <v>0</v>
      </c>
      <c r="L259" s="77">
        <v>0</v>
      </c>
      <c r="M259" s="77">
        <v>0</v>
      </c>
      <c r="N259" s="77">
        <v>0</v>
      </c>
      <c r="O259" s="77">
        <v>0</v>
      </c>
      <c r="P259" s="77">
        <v>0</v>
      </c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</row>
    <row r="260" spans="1:33" x14ac:dyDescent="0.25">
      <c r="A260" s="77" t="s">
        <v>2</v>
      </c>
      <c r="B260" s="77">
        <v>0</v>
      </c>
      <c r="C260" s="77">
        <v>0</v>
      </c>
      <c r="D260" s="77">
        <v>0</v>
      </c>
      <c r="E260" s="77">
        <v>0</v>
      </c>
      <c r="F260" s="77">
        <v>0</v>
      </c>
      <c r="G260" s="77">
        <v>0</v>
      </c>
      <c r="H260" s="77">
        <v>0</v>
      </c>
      <c r="I260" s="77">
        <v>0</v>
      </c>
      <c r="J260" s="77">
        <v>0</v>
      </c>
      <c r="K260" s="77">
        <v>0</v>
      </c>
      <c r="L260" s="77">
        <v>0</v>
      </c>
      <c r="M260" s="77">
        <v>0</v>
      </c>
      <c r="N260" s="77">
        <v>0</v>
      </c>
      <c r="O260" s="77">
        <v>0</v>
      </c>
      <c r="P260" s="77">
        <v>0</v>
      </c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</row>
    <row r="261" spans="1:33" x14ac:dyDescent="0.25">
      <c r="A261" s="77" t="s">
        <v>3</v>
      </c>
      <c r="B261" s="77">
        <v>267.44645600000001</v>
      </c>
      <c r="C261" s="77">
        <v>0</v>
      </c>
      <c r="D261" s="77">
        <v>267.44645600000001</v>
      </c>
      <c r="E261" s="77">
        <v>177.84015099999999</v>
      </c>
      <c r="F261" s="77">
        <v>0</v>
      </c>
      <c r="G261" s="77">
        <v>60.848016800000003</v>
      </c>
      <c r="H261" s="77">
        <v>0</v>
      </c>
      <c r="I261" s="77">
        <v>0</v>
      </c>
      <c r="J261" s="77">
        <v>0</v>
      </c>
      <c r="K261" s="77">
        <v>28.758288</v>
      </c>
      <c r="L261" s="77">
        <v>0</v>
      </c>
      <c r="M261" s="77">
        <v>0</v>
      </c>
      <c r="N261" s="77">
        <v>0</v>
      </c>
      <c r="O261" s="77">
        <v>0</v>
      </c>
      <c r="P261" s="77">
        <v>0</v>
      </c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</row>
    <row r="262" spans="1:33" x14ac:dyDescent="0.25">
      <c r="A262" s="77" t="s">
        <v>4</v>
      </c>
      <c r="B262" s="77">
        <v>351.92242800000002</v>
      </c>
      <c r="C262" s="77">
        <v>0</v>
      </c>
      <c r="D262" s="77">
        <v>351.92242800000002</v>
      </c>
      <c r="E262" s="77">
        <v>182.13744600000001</v>
      </c>
      <c r="F262" s="77">
        <v>0</v>
      </c>
      <c r="G262" s="77">
        <v>169.78498200000001</v>
      </c>
      <c r="H262" s="77">
        <v>0</v>
      </c>
      <c r="I262" s="77">
        <v>0</v>
      </c>
      <c r="J262" s="77">
        <v>0</v>
      </c>
      <c r="K262" s="77">
        <v>0</v>
      </c>
      <c r="L262" s="77">
        <v>0</v>
      </c>
      <c r="M262" s="77">
        <v>0</v>
      </c>
      <c r="N262" s="77">
        <v>0</v>
      </c>
      <c r="O262" s="77">
        <v>0</v>
      </c>
      <c r="P262" s="77">
        <v>0</v>
      </c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</row>
    <row r="263" spans="1:33" x14ac:dyDescent="0.25">
      <c r="A263" s="77" t="s">
        <v>5</v>
      </c>
      <c r="B263" s="77">
        <v>28.758288</v>
      </c>
      <c r="C263" s="77">
        <v>28.758288</v>
      </c>
      <c r="D263" s="77">
        <v>0</v>
      </c>
      <c r="E263" s="77">
        <v>17.755256500000002</v>
      </c>
      <c r="F263" s="77">
        <v>0</v>
      </c>
      <c r="G263" s="77">
        <v>11.0030316</v>
      </c>
      <c r="H263" s="77">
        <v>0</v>
      </c>
      <c r="I263" s="77">
        <v>0</v>
      </c>
      <c r="J263" s="77">
        <v>0</v>
      </c>
      <c r="K263" s="77">
        <v>0</v>
      </c>
      <c r="L263" s="77">
        <v>0</v>
      </c>
      <c r="M263" s="77">
        <v>0</v>
      </c>
      <c r="N263" s="77">
        <v>0</v>
      </c>
      <c r="O263" s="77">
        <v>0</v>
      </c>
      <c r="P263" s="77">
        <v>0</v>
      </c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</row>
    <row r="264" spans="1:33" x14ac:dyDescent="0.25">
      <c r="A264" s="77" t="s">
        <v>6</v>
      </c>
      <c r="B264" s="77">
        <v>0</v>
      </c>
      <c r="C264" s="77">
        <v>0</v>
      </c>
      <c r="D264" s="77">
        <v>0</v>
      </c>
      <c r="E264" s="77">
        <v>0</v>
      </c>
      <c r="F264" s="77">
        <v>0</v>
      </c>
      <c r="G264" s="77">
        <v>0</v>
      </c>
      <c r="H264" s="77">
        <v>0</v>
      </c>
      <c r="I264" s="77">
        <v>0</v>
      </c>
      <c r="J264" s="77">
        <v>0</v>
      </c>
      <c r="K264" s="77">
        <v>0</v>
      </c>
      <c r="L264" s="77">
        <v>0</v>
      </c>
      <c r="M264" s="77">
        <v>0</v>
      </c>
      <c r="N264" s="77">
        <v>0</v>
      </c>
      <c r="O264" s="77">
        <v>0</v>
      </c>
      <c r="P264" s="77">
        <v>0</v>
      </c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</row>
    <row r="265" spans="1:33" x14ac:dyDescent="0.25">
      <c r="A265" s="77" t="s">
        <v>7</v>
      </c>
      <c r="B265" s="77">
        <v>0</v>
      </c>
      <c r="C265" s="77">
        <v>0</v>
      </c>
      <c r="D265" s="77">
        <v>0</v>
      </c>
      <c r="E265" s="77">
        <v>0</v>
      </c>
      <c r="F265" s="77">
        <v>0</v>
      </c>
      <c r="G265" s="77">
        <v>0</v>
      </c>
      <c r="H265" s="77">
        <v>0</v>
      </c>
      <c r="I265" s="77">
        <v>0</v>
      </c>
      <c r="J265" s="77">
        <v>0</v>
      </c>
      <c r="K265" s="77">
        <v>0</v>
      </c>
      <c r="L265" s="77">
        <v>0</v>
      </c>
      <c r="M265" s="77">
        <v>0</v>
      </c>
      <c r="N265" s="77">
        <v>0</v>
      </c>
      <c r="O265" s="77">
        <v>0</v>
      </c>
      <c r="P265" s="77">
        <v>0</v>
      </c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</row>
    <row r="266" spans="1:33" x14ac:dyDescent="0.25">
      <c r="A266" s="77" t="s">
        <v>8</v>
      </c>
      <c r="B266" s="77">
        <v>0</v>
      </c>
      <c r="C266" s="77">
        <v>0</v>
      </c>
      <c r="D266" s="77">
        <v>0</v>
      </c>
      <c r="E266" s="77">
        <v>0</v>
      </c>
      <c r="F266" s="77">
        <v>0</v>
      </c>
      <c r="G266" s="77">
        <v>0</v>
      </c>
      <c r="H266" s="77">
        <v>0</v>
      </c>
      <c r="I266" s="77">
        <v>0</v>
      </c>
      <c r="J266" s="77">
        <v>0</v>
      </c>
      <c r="K266" s="77">
        <v>0</v>
      </c>
      <c r="L266" s="77">
        <v>0</v>
      </c>
      <c r="M266" s="77">
        <v>0</v>
      </c>
      <c r="N266" s="77">
        <v>0</v>
      </c>
      <c r="O266" s="77">
        <v>0</v>
      </c>
      <c r="P266" s="77">
        <v>0</v>
      </c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</row>
    <row r="267" spans="1:33" x14ac:dyDescent="0.25">
      <c r="A267" s="77" t="s">
        <v>9</v>
      </c>
      <c r="B267" s="77">
        <v>0</v>
      </c>
      <c r="C267" s="77">
        <v>0</v>
      </c>
      <c r="D267" s="77">
        <v>0</v>
      </c>
      <c r="E267" s="77">
        <v>0</v>
      </c>
      <c r="F267" s="77">
        <v>0</v>
      </c>
      <c r="G267" s="77">
        <v>0</v>
      </c>
      <c r="H267" s="77">
        <v>0</v>
      </c>
      <c r="I267" s="77">
        <v>0</v>
      </c>
      <c r="J267" s="77">
        <v>0</v>
      </c>
      <c r="K267" s="77">
        <v>0</v>
      </c>
      <c r="L267" s="77">
        <v>0</v>
      </c>
      <c r="M267" s="77">
        <v>0</v>
      </c>
      <c r="N267" s="77">
        <v>0</v>
      </c>
      <c r="O267" s="77">
        <v>0</v>
      </c>
      <c r="P267" s="77">
        <v>0</v>
      </c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</row>
    <row r="268" spans="1:33" x14ac:dyDescent="0.25">
      <c r="A268" s="77" t="s">
        <v>10</v>
      </c>
      <c r="B268" s="77">
        <v>0</v>
      </c>
      <c r="C268" s="77">
        <v>0</v>
      </c>
      <c r="D268" s="77">
        <v>0</v>
      </c>
      <c r="E268" s="77">
        <v>0</v>
      </c>
      <c r="F268" s="77">
        <v>0</v>
      </c>
      <c r="G268" s="77">
        <v>0</v>
      </c>
      <c r="H268" s="77">
        <v>0</v>
      </c>
      <c r="I268" s="77">
        <v>0</v>
      </c>
      <c r="J268" s="77">
        <v>0</v>
      </c>
      <c r="K268" s="77">
        <v>0</v>
      </c>
      <c r="L268" s="77">
        <v>0</v>
      </c>
      <c r="M268" s="77">
        <v>0</v>
      </c>
      <c r="N268" s="77">
        <v>0</v>
      </c>
      <c r="O268" s="77">
        <v>0</v>
      </c>
      <c r="P268" s="77">
        <v>0</v>
      </c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</row>
    <row r="269" spans="1:33" x14ac:dyDescent="0.25">
      <c r="A269" s="77" t="s">
        <v>11</v>
      </c>
      <c r="B269" s="77">
        <v>0</v>
      </c>
      <c r="C269" s="77">
        <v>0</v>
      </c>
      <c r="D269" s="77">
        <v>0</v>
      </c>
      <c r="E269" s="77">
        <v>0</v>
      </c>
      <c r="F269" s="77">
        <v>0</v>
      </c>
      <c r="G269" s="77">
        <v>0</v>
      </c>
      <c r="H269" s="77">
        <v>0</v>
      </c>
      <c r="I269" s="77">
        <v>0</v>
      </c>
      <c r="J269" s="77">
        <v>0</v>
      </c>
      <c r="K269" s="77">
        <v>0</v>
      </c>
      <c r="L269" s="77">
        <v>0</v>
      </c>
      <c r="M269" s="77">
        <v>0</v>
      </c>
      <c r="N269" s="77">
        <v>0</v>
      </c>
      <c r="O269" s="77">
        <v>0</v>
      </c>
      <c r="P269" s="77">
        <v>0</v>
      </c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</row>
    <row r="270" spans="1:33" x14ac:dyDescent="0.25">
      <c r="A270" s="77" t="s">
        <v>12</v>
      </c>
      <c r="B270" s="77">
        <v>0</v>
      </c>
      <c r="C270" s="77">
        <v>0</v>
      </c>
      <c r="D270" s="77">
        <v>0</v>
      </c>
      <c r="E270" s="77">
        <v>0</v>
      </c>
      <c r="F270" s="77">
        <v>0</v>
      </c>
      <c r="G270" s="77">
        <v>0</v>
      </c>
      <c r="H270" s="77">
        <v>0</v>
      </c>
      <c r="I270" s="77">
        <v>0</v>
      </c>
      <c r="J270" s="77">
        <v>0</v>
      </c>
      <c r="K270" s="77">
        <v>0</v>
      </c>
      <c r="L270" s="77">
        <v>0</v>
      </c>
      <c r="M270" s="77">
        <v>0</v>
      </c>
      <c r="N270" s="77">
        <v>0</v>
      </c>
      <c r="O270" s="77">
        <v>0</v>
      </c>
      <c r="P270" s="77">
        <v>0</v>
      </c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</row>
    <row r="271" spans="1:33" x14ac:dyDescent="0.25">
      <c r="A271" s="77" t="s">
        <v>13</v>
      </c>
      <c r="B271" s="77">
        <v>0</v>
      </c>
      <c r="C271" s="77">
        <v>0</v>
      </c>
      <c r="D271" s="77">
        <v>0</v>
      </c>
      <c r="E271" s="77">
        <v>0</v>
      </c>
      <c r="F271" s="77">
        <v>0</v>
      </c>
      <c r="G271" s="77">
        <v>0</v>
      </c>
      <c r="H271" s="77">
        <v>0</v>
      </c>
      <c r="I271" s="77">
        <v>0</v>
      </c>
      <c r="J271" s="77">
        <v>0</v>
      </c>
      <c r="K271" s="77">
        <v>0</v>
      </c>
      <c r="L271" s="77">
        <v>0</v>
      </c>
      <c r="M271" s="77">
        <v>0</v>
      </c>
      <c r="N271" s="77">
        <v>0</v>
      </c>
      <c r="O271" s="77">
        <v>0</v>
      </c>
      <c r="P271" s="77">
        <v>0</v>
      </c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</row>
    <row r="272" spans="1:33" x14ac:dyDescent="0.25">
      <c r="A272" s="77" t="s">
        <v>14</v>
      </c>
      <c r="B272" s="77">
        <v>0</v>
      </c>
      <c r="C272" s="77">
        <v>0</v>
      </c>
      <c r="D272" s="77">
        <v>0</v>
      </c>
      <c r="E272" s="77">
        <v>0</v>
      </c>
      <c r="F272" s="77">
        <v>0</v>
      </c>
      <c r="G272" s="77">
        <v>0</v>
      </c>
      <c r="H272" s="77">
        <v>0</v>
      </c>
      <c r="I272" s="77">
        <v>0</v>
      </c>
      <c r="J272" s="77">
        <v>0</v>
      </c>
      <c r="K272" s="77">
        <v>0</v>
      </c>
      <c r="L272" s="77">
        <v>0</v>
      </c>
      <c r="M272" s="77">
        <v>0</v>
      </c>
      <c r="N272" s="77">
        <v>0</v>
      </c>
      <c r="O272" s="77">
        <v>0</v>
      </c>
      <c r="P272" s="77">
        <v>0</v>
      </c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</row>
    <row r="273" spans="1:33" x14ac:dyDescent="0.25">
      <c r="A273" s="77" t="s">
        <v>423</v>
      </c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</row>
    <row r="274" spans="1:33" x14ac:dyDescent="0.25">
      <c r="A274" s="77" t="s">
        <v>360</v>
      </c>
      <c r="B274" s="77" t="s">
        <v>366</v>
      </c>
      <c r="C274" s="77" t="s">
        <v>367</v>
      </c>
      <c r="D274" s="77" t="s">
        <v>368</v>
      </c>
      <c r="E274" s="77" t="s">
        <v>21</v>
      </c>
      <c r="F274" s="77" t="s">
        <v>22</v>
      </c>
      <c r="G274" s="77" t="s">
        <v>23</v>
      </c>
      <c r="H274" s="77" t="s">
        <v>361</v>
      </c>
      <c r="I274" s="77" t="s">
        <v>25</v>
      </c>
      <c r="J274" s="77" t="s">
        <v>362</v>
      </c>
      <c r="K274" s="77" t="s">
        <v>5</v>
      </c>
      <c r="L274" s="77" t="s">
        <v>6</v>
      </c>
      <c r="M274" s="77" t="s">
        <v>7</v>
      </c>
      <c r="N274" s="77" t="s">
        <v>8</v>
      </c>
      <c r="O274" s="77" t="s">
        <v>9</v>
      </c>
      <c r="P274" s="77" t="s">
        <v>363</v>
      </c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</row>
    <row r="275" spans="1:33" x14ac:dyDescent="0.25">
      <c r="A275" s="77" t="s">
        <v>364</v>
      </c>
      <c r="B275" s="77" t="s">
        <v>369</v>
      </c>
      <c r="C275" s="77" t="s">
        <v>369</v>
      </c>
      <c r="D275" s="77" t="s">
        <v>369</v>
      </c>
      <c r="E275" s="77" t="s">
        <v>369</v>
      </c>
      <c r="F275" s="77" t="s">
        <v>369</v>
      </c>
      <c r="G275" s="77" t="s">
        <v>369</v>
      </c>
      <c r="H275" s="77" t="s">
        <v>369</v>
      </c>
      <c r="I275" s="77" t="s">
        <v>369</v>
      </c>
      <c r="J275" s="77" t="s">
        <v>369</v>
      </c>
      <c r="K275" s="77" t="s">
        <v>369</v>
      </c>
      <c r="L275" s="77" t="s">
        <v>369</v>
      </c>
      <c r="M275" s="77" t="s">
        <v>369</v>
      </c>
      <c r="N275" s="77" t="s">
        <v>369</v>
      </c>
      <c r="O275" s="77" t="s">
        <v>369</v>
      </c>
      <c r="P275" s="77" t="s">
        <v>369</v>
      </c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</row>
    <row r="276" spans="1:33" x14ac:dyDescent="0.25">
      <c r="A276" s="77" t="s">
        <v>1</v>
      </c>
      <c r="B276" s="77">
        <v>0</v>
      </c>
      <c r="C276" s="77">
        <v>0</v>
      </c>
      <c r="D276" s="77">
        <v>0</v>
      </c>
      <c r="E276" s="77">
        <v>0</v>
      </c>
      <c r="F276" s="77">
        <v>0</v>
      </c>
      <c r="G276" s="77">
        <v>0</v>
      </c>
      <c r="H276" s="77">
        <v>0</v>
      </c>
      <c r="I276" s="77">
        <v>0</v>
      </c>
      <c r="J276" s="77">
        <v>0</v>
      </c>
      <c r="K276" s="77">
        <v>0</v>
      </c>
      <c r="L276" s="77">
        <v>0</v>
      </c>
      <c r="M276" s="77">
        <v>0</v>
      </c>
      <c r="N276" s="77">
        <v>0</v>
      </c>
      <c r="O276" s="77">
        <v>0</v>
      </c>
      <c r="P276" s="77">
        <v>0</v>
      </c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</row>
    <row r="277" spans="1:33" x14ac:dyDescent="0.25">
      <c r="A277" s="77" t="s">
        <v>2</v>
      </c>
      <c r="B277" s="77">
        <v>13.3593265</v>
      </c>
      <c r="C277" s="77">
        <v>0</v>
      </c>
      <c r="D277" s="77">
        <v>13.3593265</v>
      </c>
      <c r="E277" s="77">
        <v>0</v>
      </c>
      <c r="F277" s="77">
        <v>0</v>
      </c>
      <c r="G277" s="77">
        <v>0</v>
      </c>
      <c r="H277" s="77">
        <v>0</v>
      </c>
      <c r="I277" s="77">
        <v>0</v>
      </c>
      <c r="J277" s="77">
        <v>0</v>
      </c>
      <c r="K277" s="77">
        <v>13.3593265</v>
      </c>
      <c r="L277" s="77">
        <v>0</v>
      </c>
      <c r="M277" s="77">
        <v>0</v>
      </c>
      <c r="N277" s="77">
        <v>0</v>
      </c>
      <c r="O277" s="77">
        <v>0</v>
      </c>
      <c r="P277" s="77">
        <v>0</v>
      </c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</row>
    <row r="278" spans="1:33" x14ac:dyDescent="0.25">
      <c r="A278" s="77" t="s">
        <v>3</v>
      </c>
      <c r="B278" s="77">
        <v>87.018183100000002</v>
      </c>
      <c r="C278" s="77">
        <v>0</v>
      </c>
      <c r="D278" s="77">
        <v>87.018183100000002</v>
      </c>
      <c r="E278" s="77">
        <v>59.656589599999997</v>
      </c>
      <c r="F278" s="77">
        <v>0</v>
      </c>
      <c r="G278" s="77">
        <v>20.611833000000001</v>
      </c>
      <c r="H278" s="77">
        <v>0</v>
      </c>
      <c r="I278" s="77">
        <v>0</v>
      </c>
      <c r="J278" s="77">
        <v>0</v>
      </c>
      <c r="K278" s="77">
        <v>6.74976048</v>
      </c>
      <c r="L278" s="77">
        <v>0</v>
      </c>
      <c r="M278" s="77">
        <v>0</v>
      </c>
      <c r="N278" s="77">
        <v>0</v>
      </c>
      <c r="O278" s="77">
        <v>0</v>
      </c>
      <c r="P278" s="105">
        <v>8.2945916800000002E-15</v>
      </c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105"/>
    </row>
    <row r="279" spans="1:33" x14ac:dyDescent="0.25">
      <c r="A279" s="77" t="s">
        <v>4</v>
      </c>
      <c r="B279" s="77">
        <v>96.063698299999999</v>
      </c>
      <c r="C279" s="77">
        <v>0</v>
      </c>
      <c r="D279" s="77">
        <v>96.063698299999999</v>
      </c>
      <c r="E279" s="77">
        <v>54.747542500000002</v>
      </c>
      <c r="F279" s="77">
        <v>0</v>
      </c>
      <c r="G279" s="77">
        <v>41.316155799999997</v>
      </c>
      <c r="H279" s="77">
        <v>0</v>
      </c>
      <c r="I279" s="77">
        <v>0</v>
      </c>
      <c r="J279" s="77">
        <v>0</v>
      </c>
      <c r="K279" s="77">
        <v>0</v>
      </c>
      <c r="L279" s="77">
        <v>0</v>
      </c>
      <c r="M279" s="77">
        <v>0</v>
      </c>
      <c r="N279" s="77">
        <v>0</v>
      </c>
      <c r="O279" s="77">
        <v>0</v>
      </c>
      <c r="P279" s="105">
        <v>-1.90241735E-13</v>
      </c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105"/>
    </row>
    <row r="280" spans="1:33" x14ac:dyDescent="0.25">
      <c r="A280" s="77" t="s">
        <v>5</v>
      </c>
      <c r="B280" s="77">
        <v>60.398002099999999</v>
      </c>
      <c r="C280" s="77">
        <v>62.260054599999997</v>
      </c>
      <c r="D280" s="77">
        <v>-1.86205252</v>
      </c>
      <c r="E280" s="77">
        <v>35.618138299999998</v>
      </c>
      <c r="F280" s="77">
        <v>0</v>
      </c>
      <c r="G280" s="77">
        <v>24.779863800000001</v>
      </c>
      <c r="H280" s="77">
        <v>0</v>
      </c>
      <c r="I280" s="77">
        <v>0</v>
      </c>
      <c r="J280" s="77">
        <v>0</v>
      </c>
      <c r="K280" s="77">
        <v>0</v>
      </c>
      <c r="L280" s="77">
        <v>0</v>
      </c>
      <c r="M280" s="77">
        <v>0</v>
      </c>
      <c r="N280" s="77">
        <v>0</v>
      </c>
      <c r="O280" s="77">
        <v>0</v>
      </c>
      <c r="P280" s="77">
        <v>0</v>
      </c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</row>
    <row r="281" spans="1:33" x14ac:dyDescent="0.25">
      <c r="A281" s="77" t="s">
        <v>6</v>
      </c>
      <c r="B281" s="77">
        <v>0</v>
      </c>
      <c r="C281" s="77">
        <v>0</v>
      </c>
      <c r="D281" s="77">
        <v>0</v>
      </c>
      <c r="E281" s="77">
        <v>0</v>
      </c>
      <c r="F281" s="77">
        <v>0</v>
      </c>
      <c r="G281" s="77">
        <v>0</v>
      </c>
      <c r="H281" s="77">
        <v>0</v>
      </c>
      <c r="I281" s="77">
        <v>0</v>
      </c>
      <c r="J281" s="77">
        <v>0</v>
      </c>
      <c r="K281" s="77">
        <v>0</v>
      </c>
      <c r="L281" s="77">
        <v>0</v>
      </c>
      <c r="M281" s="77">
        <v>0</v>
      </c>
      <c r="N281" s="77">
        <v>0</v>
      </c>
      <c r="O281" s="77">
        <v>0</v>
      </c>
      <c r="P281" s="77">
        <v>0</v>
      </c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</row>
    <row r="282" spans="1:33" x14ac:dyDescent="0.25">
      <c r="A282" s="77" t="s">
        <v>7</v>
      </c>
      <c r="B282" s="77">
        <v>0</v>
      </c>
      <c r="C282" s="77">
        <v>0</v>
      </c>
      <c r="D282" s="77">
        <v>0</v>
      </c>
      <c r="E282" s="77">
        <v>0</v>
      </c>
      <c r="F282" s="77">
        <v>0</v>
      </c>
      <c r="G282" s="77">
        <v>0</v>
      </c>
      <c r="H282" s="77">
        <v>0</v>
      </c>
      <c r="I282" s="77">
        <v>0</v>
      </c>
      <c r="J282" s="77">
        <v>0</v>
      </c>
      <c r="K282" s="77">
        <v>0</v>
      </c>
      <c r="L282" s="77">
        <v>0</v>
      </c>
      <c r="M282" s="77">
        <v>0</v>
      </c>
      <c r="N282" s="77">
        <v>0</v>
      </c>
      <c r="O282" s="77">
        <v>0</v>
      </c>
      <c r="P282" s="77">
        <v>0</v>
      </c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</row>
    <row r="283" spans="1:33" x14ac:dyDescent="0.25">
      <c r="A283" s="77" t="s">
        <v>8</v>
      </c>
      <c r="B283" s="77">
        <v>0</v>
      </c>
      <c r="C283" s="77">
        <v>0</v>
      </c>
      <c r="D283" s="77">
        <v>0</v>
      </c>
      <c r="E283" s="77">
        <v>0</v>
      </c>
      <c r="F283" s="77">
        <v>0</v>
      </c>
      <c r="G283" s="77">
        <v>0</v>
      </c>
      <c r="H283" s="77">
        <v>0</v>
      </c>
      <c r="I283" s="77">
        <v>0</v>
      </c>
      <c r="J283" s="77">
        <v>0</v>
      </c>
      <c r="K283" s="77">
        <v>0</v>
      </c>
      <c r="L283" s="77">
        <v>0</v>
      </c>
      <c r="M283" s="77">
        <v>0</v>
      </c>
      <c r="N283" s="77">
        <v>0</v>
      </c>
      <c r="O283" s="77">
        <v>0</v>
      </c>
      <c r="P283" s="77">
        <v>0</v>
      </c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</row>
    <row r="284" spans="1:33" x14ac:dyDescent="0.25">
      <c r="A284" s="77" t="s">
        <v>9</v>
      </c>
      <c r="B284" s="77">
        <v>0</v>
      </c>
      <c r="C284" s="77">
        <v>0</v>
      </c>
      <c r="D284" s="77">
        <v>0</v>
      </c>
      <c r="E284" s="77">
        <v>0</v>
      </c>
      <c r="F284" s="77">
        <v>0</v>
      </c>
      <c r="G284" s="77">
        <v>0</v>
      </c>
      <c r="H284" s="77">
        <v>0</v>
      </c>
      <c r="I284" s="77">
        <v>0</v>
      </c>
      <c r="J284" s="77">
        <v>0</v>
      </c>
      <c r="K284" s="77">
        <v>0</v>
      </c>
      <c r="L284" s="77">
        <v>0</v>
      </c>
      <c r="M284" s="77">
        <v>0</v>
      </c>
      <c r="N284" s="77">
        <v>0</v>
      </c>
      <c r="O284" s="77">
        <v>0</v>
      </c>
      <c r="P284" s="77">
        <v>0</v>
      </c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</row>
    <row r="285" spans="1:33" x14ac:dyDescent="0.25">
      <c r="A285" s="77" t="s">
        <v>10</v>
      </c>
      <c r="B285" s="77">
        <v>27.476899100000001</v>
      </c>
      <c r="C285" s="77">
        <v>0</v>
      </c>
      <c r="D285" s="77">
        <v>27.476899100000001</v>
      </c>
      <c r="E285" s="77">
        <v>0</v>
      </c>
      <c r="F285" s="77">
        <v>0</v>
      </c>
      <c r="G285" s="77">
        <v>0</v>
      </c>
      <c r="H285" s="77">
        <v>0</v>
      </c>
      <c r="I285" s="77">
        <v>0</v>
      </c>
      <c r="J285" s="77">
        <v>0</v>
      </c>
      <c r="K285" s="77">
        <v>27.476899100000001</v>
      </c>
      <c r="L285" s="77">
        <v>0</v>
      </c>
      <c r="M285" s="77">
        <v>0</v>
      </c>
      <c r="N285" s="77">
        <v>0</v>
      </c>
      <c r="O285" s="77">
        <v>0</v>
      </c>
      <c r="P285" s="77">
        <v>0</v>
      </c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</row>
    <row r="286" spans="1:33" x14ac:dyDescent="0.25">
      <c r="A286" s="77" t="s">
        <v>11</v>
      </c>
      <c r="B286" s="77">
        <v>1.55031907</v>
      </c>
      <c r="C286" s="77">
        <v>0</v>
      </c>
      <c r="D286" s="77">
        <v>1.55031907</v>
      </c>
      <c r="E286" s="77">
        <v>0.80236760600000001</v>
      </c>
      <c r="F286" s="77">
        <v>0</v>
      </c>
      <c r="G286" s="77">
        <v>0.74795146099999998</v>
      </c>
      <c r="H286" s="77">
        <v>0</v>
      </c>
      <c r="I286" s="77">
        <v>0</v>
      </c>
      <c r="J286" s="77">
        <v>0</v>
      </c>
      <c r="K286" s="77">
        <v>0</v>
      </c>
      <c r="L286" s="77">
        <v>0</v>
      </c>
      <c r="M286" s="77">
        <v>0</v>
      </c>
      <c r="N286" s="77">
        <v>0</v>
      </c>
      <c r="O286" s="77">
        <v>0</v>
      </c>
      <c r="P286" s="77">
        <v>0</v>
      </c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</row>
    <row r="287" spans="1:33" x14ac:dyDescent="0.25">
      <c r="A287" s="77" t="s">
        <v>12</v>
      </c>
      <c r="B287" s="77">
        <v>77.380985600000002</v>
      </c>
      <c r="C287" s="105">
        <v>-1.8194714400000001E-13</v>
      </c>
      <c r="D287" s="77">
        <v>77.380985600000002</v>
      </c>
      <c r="E287" s="77">
        <v>62.626249000000001</v>
      </c>
      <c r="F287" s="77">
        <v>0</v>
      </c>
      <c r="G287" s="77">
        <v>12.2235765</v>
      </c>
      <c r="H287" s="77">
        <v>0</v>
      </c>
      <c r="I287" s="77">
        <v>0</v>
      </c>
      <c r="J287" s="77">
        <v>0</v>
      </c>
      <c r="K287" s="77">
        <v>2.5311601800000001</v>
      </c>
      <c r="L287" s="77">
        <v>0</v>
      </c>
      <c r="M287" s="77">
        <v>0</v>
      </c>
      <c r="N287" s="77">
        <v>0</v>
      </c>
      <c r="O287" s="77">
        <v>0</v>
      </c>
      <c r="P287" s="77">
        <v>0</v>
      </c>
      <c r="R287" s="77"/>
      <c r="S287" s="77"/>
      <c r="T287" s="105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</row>
    <row r="288" spans="1:33" x14ac:dyDescent="0.25">
      <c r="A288" s="77" t="s">
        <v>13</v>
      </c>
      <c r="B288" s="77">
        <v>52.698576899999999</v>
      </c>
      <c r="C288" s="77">
        <v>0</v>
      </c>
      <c r="D288" s="77">
        <v>52.698576899999999</v>
      </c>
      <c r="E288" s="77">
        <v>40.555668500000003</v>
      </c>
      <c r="F288" s="77">
        <v>0</v>
      </c>
      <c r="G288" s="77">
        <v>0</v>
      </c>
      <c r="H288" s="77">
        <v>0</v>
      </c>
      <c r="I288" s="77">
        <v>0</v>
      </c>
      <c r="J288" s="77">
        <v>0</v>
      </c>
      <c r="K288" s="77">
        <v>12.1429083</v>
      </c>
      <c r="L288" s="77">
        <v>0</v>
      </c>
      <c r="M288" s="77">
        <v>0</v>
      </c>
      <c r="N288" s="77">
        <v>0</v>
      </c>
      <c r="O288" s="77">
        <v>0</v>
      </c>
      <c r="P288" s="77">
        <v>0</v>
      </c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</row>
    <row r="289" spans="1:33" x14ac:dyDescent="0.25">
      <c r="A289" s="77" t="s">
        <v>14</v>
      </c>
      <c r="B289" s="77">
        <v>-1.11013651E-13</v>
      </c>
      <c r="C289" s="77">
        <v>0</v>
      </c>
      <c r="D289" s="77">
        <v>-1.11013651E-13</v>
      </c>
      <c r="E289" s="77">
        <v>-8.8661909099999998E-14</v>
      </c>
      <c r="F289" s="77">
        <v>0</v>
      </c>
      <c r="G289" s="77">
        <v>-2.2351741799999999E-14</v>
      </c>
      <c r="H289" s="77">
        <v>0</v>
      </c>
      <c r="I289" s="105">
        <v>0</v>
      </c>
      <c r="J289" s="77">
        <v>0</v>
      </c>
      <c r="K289" s="77">
        <v>0</v>
      </c>
      <c r="L289" s="77">
        <v>0</v>
      </c>
      <c r="M289" s="77">
        <v>0</v>
      </c>
      <c r="N289" s="77">
        <v>0</v>
      </c>
      <c r="O289" s="77">
        <v>0</v>
      </c>
      <c r="P289" s="77">
        <v>0</v>
      </c>
      <c r="R289" s="77"/>
      <c r="S289" s="77"/>
      <c r="T289" s="77"/>
      <c r="U289" s="77"/>
      <c r="V289" s="77"/>
      <c r="W289" s="77"/>
      <c r="X289" s="77"/>
      <c r="Y289" s="77"/>
      <c r="Z289" s="105"/>
      <c r="AA289" s="77"/>
      <c r="AB289" s="77"/>
      <c r="AC289" s="77"/>
      <c r="AD289" s="77"/>
      <c r="AE289" s="77"/>
      <c r="AF289" s="77"/>
      <c r="AG289" s="77"/>
    </row>
    <row r="290" spans="1:33" x14ac:dyDescent="0.25">
      <c r="A290" s="77" t="s">
        <v>424</v>
      </c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</row>
    <row r="291" spans="1:33" x14ac:dyDescent="0.25">
      <c r="A291" s="77" t="s">
        <v>360</v>
      </c>
      <c r="B291" s="77" t="s">
        <v>18</v>
      </c>
      <c r="C291" s="77" t="s">
        <v>19</v>
      </c>
      <c r="D291" s="77" t="s">
        <v>20</v>
      </c>
      <c r="E291" s="77" t="s">
        <v>21</v>
      </c>
      <c r="F291" s="77" t="s">
        <v>22</v>
      </c>
      <c r="G291" s="77" t="s">
        <v>23</v>
      </c>
      <c r="H291" s="77" t="s">
        <v>361</v>
      </c>
      <c r="I291" s="77" t="s">
        <v>25</v>
      </c>
      <c r="J291" s="77" t="s">
        <v>362</v>
      </c>
      <c r="K291" s="77" t="s">
        <v>5</v>
      </c>
      <c r="L291" s="77" t="s">
        <v>6</v>
      </c>
      <c r="M291" s="77" t="s">
        <v>7</v>
      </c>
      <c r="N291" s="77" t="s">
        <v>8</v>
      </c>
      <c r="O291" s="77" t="s">
        <v>9</v>
      </c>
      <c r="P291" s="77" t="s">
        <v>363</v>
      </c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</row>
    <row r="292" spans="1:33" x14ac:dyDescent="0.25">
      <c r="A292" s="77" t="s">
        <v>364</v>
      </c>
      <c r="B292" s="77" t="s">
        <v>370</v>
      </c>
      <c r="C292" s="77" t="s">
        <v>370</v>
      </c>
      <c r="D292" s="77" t="s">
        <v>370</v>
      </c>
      <c r="E292" s="77" t="s">
        <v>370</v>
      </c>
      <c r="F292" s="77" t="s">
        <v>370</v>
      </c>
      <c r="G292" s="77" t="s">
        <v>370</v>
      </c>
      <c r="H292" s="77" t="s">
        <v>370</v>
      </c>
      <c r="I292" s="77" t="s">
        <v>370</v>
      </c>
      <c r="J292" s="77" t="s">
        <v>370</v>
      </c>
      <c r="K292" s="77" t="s">
        <v>370</v>
      </c>
      <c r="L292" s="77" t="s">
        <v>370</v>
      </c>
      <c r="M292" s="77" t="s">
        <v>370</v>
      </c>
      <c r="N292" s="77" t="s">
        <v>370</v>
      </c>
      <c r="O292" s="77" t="s">
        <v>370</v>
      </c>
      <c r="P292" s="77" t="s">
        <v>370</v>
      </c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</row>
    <row r="293" spans="1:33" x14ac:dyDescent="0.25">
      <c r="A293" s="77" t="s">
        <v>1</v>
      </c>
      <c r="B293" s="77">
        <v>0</v>
      </c>
      <c r="C293" s="77">
        <v>0</v>
      </c>
      <c r="D293" s="77">
        <v>0</v>
      </c>
      <c r="E293" s="77">
        <v>0</v>
      </c>
      <c r="F293" s="77">
        <v>0</v>
      </c>
      <c r="G293" s="77">
        <v>0</v>
      </c>
      <c r="H293" s="77">
        <v>0</v>
      </c>
      <c r="I293" s="77">
        <v>0</v>
      </c>
      <c r="J293" s="77">
        <v>0</v>
      </c>
      <c r="K293" s="77">
        <v>0</v>
      </c>
      <c r="L293" s="77">
        <v>0</v>
      </c>
      <c r="M293" s="77">
        <v>0</v>
      </c>
      <c r="N293" s="77">
        <v>0</v>
      </c>
      <c r="O293" s="77">
        <v>0</v>
      </c>
      <c r="P293" s="77">
        <v>0</v>
      </c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</row>
    <row r="294" spans="1:33" x14ac:dyDescent="0.25">
      <c r="A294" s="77" t="s">
        <v>2</v>
      </c>
      <c r="B294" s="77">
        <v>2.1022093100000001</v>
      </c>
      <c r="C294" s="77">
        <v>0</v>
      </c>
      <c r="D294" s="77">
        <v>2.1022093100000001</v>
      </c>
      <c r="E294" s="77">
        <v>0</v>
      </c>
      <c r="F294" s="77">
        <v>0</v>
      </c>
      <c r="G294" s="77">
        <v>0</v>
      </c>
      <c r="H294" s="77">
        <v>0</v>
      </c>
      <c r="I294" s="77">
        <v>0</v>
      </c>
      <c r="J294" s="77">
        <v>0</v>
      </c>
      <c r="K294" s="77">
        <v>2.1022093100000001</v>
      </c>
      <c r="L294" s="77">
        <v>0</v>
      </c>
      <c r="M294" s="77">
        <v>0</v>
      </c>
      <c r="N294" s="77">
        <v>0</v>
      </c>
      <c r="O294" s="77">
        <v>0</v>
      </c>
      <c r="P294" s="77">
        <v>0</v>
      </c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</row>
    <row r="295" spans="1:33" x14ac:dyDescent="0.25">
      <c r="A295" s="77" t="s">
        <v>3</v>
      </c>
      <c r="B295" s="77">
        <v>5.2838204400000004</v>
      </c>
      <c r="C295" s="77">
        <v>0</v>
      </c>
      <c r="D295" s="77">
        <v>5.2838204400000004</v>
      </c>
      <c r="E295" s="77">
        <v>3.5135086100000001</v>
      </c>
      <c r="F295" s="77">
        <v>0</v>
      </c>
      <c r="G295" s="77">
        <v>1.2021471500000001</v>
      </c>
      <c r="H295" s="77">
        <v>0</v>
      </c>
      <c r="I295" s="77">
        <v>0</v>
      </c>
      <c r="J295" s="77">
        <v>0</v>
      </c>
      <c r="K295" s="77">
        <v>0.56816467900000001</v>
      </c>
      <c r="L295" s="77">
        <v>0</v>
      </c>
      <c r="M295" s="77">
        <v>0</v>
      </c>
      <c r="N295" s="77">
        <v>0</v>
      </c>
      <c r="O295" s="77">
        <v>0</v>
      </c>
      <c r="P295" s="77">
        <v>0</v>
      </c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</row>
    <row r="296" spans="1:33" x14ac:dyDescent="0.25">
      <c r="A296" s="77" t="s">
        <v>4</v>
      </c>
      <c r="B296" s="77">
        <v>2.7905743200000002</v>
      </c>
      <c r="C296" s="77">
        <v>0</v>
      </c>
      <c r="D296" s="77">
        <v>2.7905743200000002</v>
      </c>
      <c r="E296" s="77">
        <v>1.44426169</v>
      </c>
      <c r="F296" s="77">
        <v>0</v>
      </c>
      <c r="G296" s="77">
        <v>1.3463126299999999</v>
      </c>
      <c r="H296" s="77">
        <v>0</v>
      </c>
      <c r="I296" s="77">
        <v>0</v>
      </c>
      <c r="J296" s="77">
        <v>0</v>
      </c>
      <c r="K296" s="77">
        <v>0</v>
      </c>
      <c r="L296" s="77">
        <v>0</v>
      </c>
      <c r="M296" s="77">
        <v>0</v>
      </c>
      <c r="N296" s="77">
        <v>0</v>
      </c>
      <c r="O296" s="77">
        <v>0</v>
      </c>
      <c r="P296" s="77">
        <v>0</v>
      </c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</row>
    <row r="297" spans="1:33" x14ac:dyDescent="0.25">
      <c r="A297" s="77" t="s">
        <v>5</v>
      </c>
      <c r="B297" s="77">
        <v>2.1022093100000001</v>
      </c>
      <c r="C297" s="77">
        <v>2.6703739899999999</v>
      </c>
      <c r="D297" s="77">
        <v>-0.56816467900000001</v>
      </c>
      <c r="E297" s="77">
        <v>1.29789595</v>
      </c>
      <c r="F297" s="77">
        <v>0</v>
      </c>
      <c r="G297" s="77">
        <v>0.80431336499999995</v>
      </c>
      <c r="H297" s="77">
        <v>0</v>
      </c>
      <c r="I297" s="77">
        <v>0</v>
      </c>
      <c r="J297" s="77">
        <v>0</v>
      </c>
      <c r="K297" s="77">
        <v>0</v>
      </c>
      <c r="L297" s="77">
        <v>0</v>
      </c>
      <c r="M297" s="77">
        <v>0</v>
      </c>
      <c r="N297" s="77">
        <v>0</v>
      </c>
      <c r="O297" s="77">
        <v>0</v>
      </c>
      <c r="P297" s="77">
        <v>0</v>
      </c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  <c r="AG297" s="77"/>
    </row>
    <row r="298" spans="1:33" x14ac:dyDescent="0.25">
      <c r="A298" s="77" t="s">
        <v>6</v>
      </c>
      <c r="B298" s="77">
        <v>0</v>
      </c>
      <c r="C298" s="77">
        <v>0</v>
      </c>
      <c r="D298" s="77">
        <v>0</v>
      </c>
      <c r="E298" s="77">
        <v>0</v>
      </c>
      <c r="F298" s="77">
        <v>0</v>
      </c>
      <c r="G298" s="77">
        <v>0</v>
      </c>
      <c r="H298" s="77">
        <v>0</v>
      </c>
      <c r="I298" s="77">
        <v>0</v>
      </c>
      <c r="J298" s="77">
        <v>0</v>
      </c>
      <c r="K298" s="77">
        <v>0</v>
      </c>
      <c r="L298" s="77">
        <v>0</v>
      </c>
      <c r="M298" s="77">
        <v>0</v>
      </c>
      <c r="N298" s="77">
        <v>0</v>
      </c>
      <c r="O298" s="77">
        <v>0</v>
      </c>
      <c r="P298" s="77">
        <v>0</v>
      </c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</row>
    <row r="299" spans="1:33" x14ac:dyDescent="0.25">
      <c r="A299" s="77" t="s">
        <v>7</v>
      </c>
      <c r="B299" s="77">
        <v>0</v>
      </c>
      <c r="C299" s="77">
        <v>0</v>
      </c>
      <c r="D299" s="77">
        <v>0</v>
      </c>
      <c r="E299" s="77">
        <v>0</v>
      </c>
      <c r="F299" s="77">
        <v>0</v>
      </c>
      <c r="G299" s="77">
        <v>0</v>
      </c>
      <c r="H299" s="77">
        <v>0</v>
      </c>
      <c r="I299" s="77">
        <v>0</v>
      </c>
      <c r="J299" s="77">
        <v>0</v>
      </c>
      <c r="K299" s="77">
        <v>0</v>
      </c>
      <c r="L299" s="77">
        <v>0</v>
      </c>
      <c r="M299" s="77">
        <v>0</v>
      </c>
      <c r="N299" s="77">
        <v>0</v>
      </c>
      <c r="O299" s="77">
        <v>0</v>
      </c>
      <c r="P299" s="77">
        <v>0</v>
      </c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</row>
    <row r="300" spans="1:33" x14ac:dyDescent="0.25">
      <c r="A300" s="77" t="s">
        <v>8</v>
      </c>
      <c r="B300" s="77">
        <v>0</v>
      </c>
      <c r="C300" s="77">
        <v>0</v>
      </c>
      <c r="D300" s="77">
        <v>0</v>
      </c>
      <c r="E300" s="77">
        <v>0</v>
      </c>
      <c r="F300" s="77">
        <v>0</v>
      </c>
      <c r="G300" s="77">
        <v>0</v>
      </c>
      <c r="H300" s="77">
        <v>0</v>
      </c>
      <c r="I300" s="77">
        <v>0</v>
      </c>
      <c r="J300" s="77">
        <v>0</v>
      </c>
      <c r="K300" s="77">
        <v>0</v>
      </c>
      <c r="L300" s="77">
        <v>0</v>
      </c>
      <c r="M300" s="77">
        <v>0</v>
      </c>
      <c r="N300" s="77">
        <v>0</v>
      </c>
      <c r="O300" s="77">
        <v>0</v>
      </c>
      <c r="P300" s="77">
        <v>0</v>
      </c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</row>
    <row r="301" spans="1:33" x14ac:dyDescent="0.25">
      <c r="A301" s="77" t="s">
        <v>9</v>
      </c>
      <c r="B301" s="77">
        <v>0</v>
      </c>
      <c r="C301" s="77">
        <v>0</v>
      </c>
      <c r="D301" s="77">
        <v>0</v>
      </c>
      <c r="E301" s="77">
        <v>0</v>
      </c>
      <c r="F301" s="77">
        <v>0</v>
      </c>
      <c r="G301" s="77">
        <v>0</v>
      </c>
      <c r="H301" s="77">
        <v>0</v>
      </c>
      <c r="I301" s="77">
        <v>0</v>
      </c>
      <c r="J301" s="77">
        <v>0</v>
      </c>
      <c r="K301" s="77">
        <v>0</v>
      </c>
      <c r="L301" s="77">
        <v>0</v>
      </c>
      <c r="M301" s="77">
        <v>0</v>
      </c>
      <c r="N301" s="77">
        <v>0</v>
      </c>
      <c r="O301" s="77">
        <v>0</v>
      </c>
      <c r="P301" s="77">
        <v>0</v>
      </c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</row>
    <row r="302" spans="1:33" x14ac:dyDescent="0.25">
      <c r="A302" s="77" t="s">
        <v>10</v>
      </c>
      <c r="B302" s="77">
        <v>0</v>
      </c>
      <c r="C302" s="77">
        <v>0</v>
      </c>
      <c r="D302" s="77">
        <v>0</v>
      </c>
      <c r="E302" s="77">
        <v>0</v>
      </c>
      <c r="F302" s="77">
        <v>0</v>
      </c>
      <c r="G302" s="77">
        <v>0</v>
      </c>
      <c r="H302" s="77">
        <v>0</v>
      </c>
      <c r="I302" s="77">
        <v>0</v>
      </c>
      <c r="J302" s="77">
        <v>0</v>
      </c>
      <c r="K302" s="77">
        <v>0</v>
      </c>
      <c r="L302" s="77">
        <v>0</v>
      </c>
      <c r="M302" s="77">
        <v>0</v>
      </c>
      <c r="N302" s="77">
        <v>0</v>
      </c>
      <c r="O302" s="77">
        <v>0</v>
      </c>
      <c r="P302" s="77">
        <v>0</v>
      </c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</row>
    <row r="303" spans="1:33" x14ac:dyDescent="0.25">
      <c r="A303" s="77" t="s">
        <v>11</v>
      </c>
      <c r="B303" s="77">
        <v>0</v>
      </c>
      <c r="C303" s="77">
        <v>0</v>
      </c>
      <c r="D303" s="77">
        <v>0</v>
      </c>
      <c r="E303" s="77">
        <v>0</v>
      </c>
      <c r="F303" s="77">
        <v>0</v>
      </c>
      <c r="G303" s="77">
        <v>0</v>
      </c>
      <c r="H303" s="77">
        <v>0</v>
      </c>
      <c r="I303" s="77">
        <v>0</v>
      </c>
      <c r="J303" s="77">
        <v>0</v>
      </c>
      <c r="K303" s="77">
        <v>0</v>
      </c>
      <c r="L303" s="77">
        <v>0</v>
      </c>
      <c r="M303" s="77">
        <v>0</v>
      </c>
      <c r="N303" s="77">
        <v>0</v>
      </c>
      <c r="O303" s="77">
        <v>0</v>
      </c>
      <c r="P303" s="77">
        <v>0</v>
      </c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</row>
    <row r="304" spans="1:33" x14ac:dyDescent="0.25">
      <c r="A304" s="77" t="s">
        <v>12</v>
      </c>
      <c r="B304" s="77">
        <v>0</v>
      </c>
      <c r="C304" s="77">
        <v>0</v>
      </c>
      <c r="D304" s="77">
        <v>0</v>
      </c>
      <c r="E304" s="77">
        <v>0</v>
      </c>
      <c r="F304" s="77">
        <v>0</v>
      </c>
      <c r="G304" s="77">
        <v>0</v>
      </c>
      <c r="H304" s="77">
        <v>0</v>
      </c>
      <c r="I304" s="77">
        <v>0</v>
      </c>
      <c r="J304" s="77">
        <v>0</v>
      </c>
      <c r="K304" s="77">
        <v>0</v>
      </c>
      <c r="L304" s="77">
        <v>0</v>
      </c>
      <c r="M304" s="77">
        <v>0</v>
      </c>
      <c r="N304" s="77">
        <v>0</v>
      </c>
      <c r="O304" s="77">
        <v>0</v>
      </c>
      <c r="P304" s="77">
        <v>0</v>
      </c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</row>
    <row r="305" spans="1:33" x14ac:dyDescent="0.25">
      <c r="A305" s="77" t="s">
        <v>13</v>
      </c>
      <c r="B305" s="77">
        <v>0</v>
      </c>
      <c r="C305" s="77">
        <v>0</v>
      </c>
      <c r="D305" s="77">
        <v>0</v>
      </c>
      <c r="E305" s="77">
        <v>0</v>
      </c>
      <c r="F305" s="77">
        <v>0</v>
      </c>
      <c r="G305" s="77">
        <v>0</v>
      </c>
      <c r="H305" s="77">
        <v>0</v>
      </c>
      <c r="I305" s="77">
        <v>0</v>
      </c>
      <c r="J305" s="77">
        <v>0</v>
      </c>
      <c r="K305" s="77">
        <v>0</v>
      </c>
      <c r="L305" s="77">
        <v>0</v>
      </c>
      <c r="M305" s="77">
        <v>0</v>
      </c>
      <c r="N305" s="77">
        <v>0</v>
      </c>
      <c r="O305" s="77">
        <v>0</v>
      </c>
      <c r="P305" s="77">
        <v>0</v>
      </c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</row>
    <row r="306" spans="1:33" x14ac:dyDescent="0.25">
      <c r="A306" s="77" t="s">
        <v>14</v>
      </c>
      <c r="B306" s="77">
        <v>0</v>
      </c>
      <c r="C306" s="77">
        <v>0</v>
      </c>
      <c r="D306" s="77">
        <v>0</v>
      </c>
      <c r="E306" s="77">
        <v>0</v>
      </c>
      <c r="F306" s="77">
        <v>0</v>
      </c>
      <c r="G306" s="77">
        <v>0</v>
      </c>
      <c r="H306" s="77">
        <v>0</v>
      </c>
      <c r="I306" s="77">
        <v>0</v>
      </c>
      <c r="J306" s="77">
        <v>0</v>
      </c>
      <c r="K306" s="77">
        <v>0</v>
      </c>
      <c r="L306" s="77">
        <v>0</v>
      </c>
      <c r="M306" s="77">
        <v>0</v>
      </c>
      <c r="N306" s="77">
        <v>0</v>
      </c>
      <c r="O306" s="77">
        <v>0</v>
      </c>
      <c r="P306" s="77">
        <v>0</v>
      </c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</row>
    <row r="307" spans="1:33" x14ac:dyDescent="0.25">
      <c r="A307" s="77" t="s">
        <v>425</v>
      </c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</row>
    <row r="308" spans="1:33" x14ac:dyDescent="0.25">
      <c r="A308" s="77" t="s">
        <v>360</v>
      </c>
      <c r="B308" s="77" t="s">
        <v>18</v>
      </c>
      <c r="C308" s="77" t="s">
        <v>19</v>
      </c>
      <c r="D308" s="77" t="s">
        <v>20</v>
      </c>
      <c r="E308" s="77" t="s">
        <v>21</v>
      </c>
      <c r="F308" s="77" t="s">
        <v>22</v>
      </c>
      <c r="G308" s="77" t="s">
        <v>23</v>
      </c>
      <c r="H308" s="77" t="s">
        <v>361</v>
      </c>
      <c r="I308" s="77" t="s">
        <v>25</v>
      </c>
      <c r="J308" s="77" t="s">
        <v>362</v>
      </c>
      <c r="K308" s="77" t="s">
        <v>5</v>
      </c>
      <c r="L308" s="77" t="s">
        <v>6</v>
      </c>
      <c r="M308" s="77" t="s">
        <v>7</v>
      </c>
      <c r="N308" s="77" t="s">
        <v>8</v>
      </c>
      <c r="O308" s="77" t="s">
        <v>9</v>
      </c>
      <c r="P308" s="77" t="s">
        <v>363</v>
      </c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  <c r="AG308" s="77"/>
    </row>
    <row r="309" spans="1:33" x14ac:dyDescent="0.25">
      <c r="A309" s="77" t="s">
        <v>364</v>
      </c>
      <c r="B309" s="77" t="s">
        <v>365</v>
      </c>
      <c r="C309" s="77" t="s">
        <v>365</v>
      </c>
      <c r="D309" s="77" t="s">
        <v>365</v>
      </c>
      <c r="E309" s="77" t="s">
        <v>365</v>
      </c>
      <c r="F309" s="77" t="s">
        <v>365</v>
      </c>
      <c r="G309" s="77" t="s">
        <v>365</v>
      </c>
      <c r="H309" s="77" t="s">
        <v>365</v>
      </c>
      <c r="I309" s="77" t="s">
        <v>365</v>
      </c>
      <c r="J309" s="77" t="s">
        <v>365</v>
      </c>
      <c r="K309" s="77" t="s">
        <v>365</v>
      </c>
      <c r="L309" s="77" t="s">
        <v>365</v>
      </c>
      <c r="M309" s="77" t="s">
        <v>365</v>
      </c>
      <c r="N309" s="77" t="s">
        <v>365</v>
      </c>
      <c r="O309" s="77" t="s">
        <v>365</v>
      </c>
      <c r="P309" s="77" t="s">
        <v>365</v>
      </c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</row>
    <row r="310" spans="1:33" x14ac:dyDescent="0.25">
      <c r="A310" s="77" t="s">
        <v>1</v>
      </c>
      <c r="B310" s="77">
        <v>0</v>
      </c>
      <c r="C310" s="77">
        <v>0</v>
      </c>
      <c r="D310" s="77">
        <v>0</v>
      </c>
      <c r="E310" s="77">
        <v>0</v>
      </c>
      <c r="F310" s="77">
        <v>0</v>
      </c>
      <c r="G310" s="77">
        <v>0</v>
      </c>
      <c r="H310" s="77">
        <v>0</v>
      </c>
      <c r="I310" s="77">
        <v>0</v>
      </c>
      <c r="J310" s="77">
        <v>0</v>
      </c>
      <c r="K310" s="77">
        <v>0</v>
      </c>
      <c r="L310" s="77">
        <v>0</v>
      </c>
      <c r="M310" s="77">
        <v>0</v>
      </c>
      <c r="N310" s="77">
        <v>0</v>
      </c>
      <c r="O310" s="77">
        <v>0</v>
      </c>
      <c r="P310" s="77">
        <v>0</v>
      </c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  <c r="AG310" s="77"/>
    </row>
    <row r="311" spans="1:33" x14ac:dyDescent="0.25">
      <c r="A311" s="77" t="s">
        <v>2</v>
      </c>
      <c r="B311" s="77">
        <v>0</v>
      </c>
      <c r="C311" s="77">
        <v>0</v>
      </c>
      <c r="D311" s="77">
        <v>0</v>
      </c>
      <c r="E311" s="77">
        <v>0</v>
      </c>
      <c r="F311" s="77">
        <v>0</v>
      </c>
      <c r="G311" s="77">
        <v>0</v>
      </c>
      <c r="H311" s="77">
        <v>0</v>
      </c>
      <c r="I311" s="77">
        <v>0</v>
      </c>
      <c r="J311" s="77">
        <v>0</v>
      </c>
      <c r="K311" s="77">
        <v>0</v>
      </c>
      <c r="L311" s="77">
        <v>0</v>
      </c>
      <c r="M311" s="77">
        <v>0</v>
      </c>
      <c r="N311" s="77">
        <v>0</v>
      </c>
      <c r="O311" s="77">
        <v>0</v>
      </c>
      <c r="P311" s="77">
        <v>0</v>
      </c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  <c r="AG311" s="77"/>
    </row>
    <row r="312" spans="1:33" x14ac:dyDescent="0.25">
      <c r="A312" s="77" t="s">
        <v>3</v>
      </c>
      <c r="B312" s="77">
        <v>184.847397</v>
      </c>
      <c r="C312" s="77">
        <v>0</v>
      </c>
      <c r="D312" s="77">
        <v>184.847397</v>
      </c>
      <c r="E312" s="77">
        <v>131.81196499999999</v>
      </c>
      <c r="F312" s="77">
        <v>0.52709315800000001</v>
      </c>
      <c r="G312" s="77">
        <v>29.7505855</v>
      </c>
      <c r="H312" s="77">
        <v>9.2276064599999999E-2</v>
      </c>
      <c r="I312" s="77">
        <v>0</v>
      </c>
      <c r="J312" s="77">
        <v>0</v>
      </c>
      <c r="K312" s="77">
        <v>22.6654774</v>
      </c>
      <c r="L312" s="77">
        <v>0</v>
      </c>
      <c r="M312" s="77">
        <v>0</v>
      </c>
      <c r="N312" s="77">
        <v>0</v>
      </c>
      <c r="O312" s="77">
        <v>0</v>
      </c>
      <c r="P312" s="77">
        <v>0</v>
      </c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</row>
    <row r="313" spans="1:33" x14ac:dyDescent="0.25">
      <c r="A313" s="77" t="s">
        <v>4</v>
      </c>
      <c r="B313" s="77">
        <v>179.30078900000001</v>
      </c>
      <c r="C313" s="77">
        <v>0</v>
      </c>
      <c r="D313" s="77">
        <v>179.30078900000001</v>
      </c>
      <c r="E313" s="77">
        <v>81.918568800000003</v>
      </c>
      <c r="F313" s="77">
        <v>12.2382241</v>
      </c>
      <c r="G313" s="77">
        <v>76.505990800000006</v>
      </c>
      <c r="H313" s="77">
        <v>3.8053738400000001</v>
      </c>
      <c r="I313" s="77">
        <v>0</v>
      </c>
      <c r="J313" s="77">
        <v>0</v>
      </c>
      <c r="K313" s="77">
        <v>0</v>
      </c>
      <c r="L313" s="77">
        <v>0</v>
      </c>
      <c r="M313" s="77">
        <v>4.8326311000000004</v>
      </c>
      <c r="N313" s="77">
        <v>0</v>
      </c>
      <c r="O313" s="77">
        <v>0</v>
      </c>
      <c r="P313" s="77">
        <v>0</v>
      </c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  <c r="AG313" s="77"/>
    </row>
    <row r="314" spans="1:33" x14ac:dyDescent="0.25">
      <c r="A314" s="77" t="s">
        <v>5</v>
      </c>
      <c r="B314" s="77">
        <v>22.6654774</v>
      </c>
      <c r="C314" s="77">
        <v>22.6654774</v>
      </c>
      <c r="D314" s="105">
        <v>0</v>
      </c>
      <c r="E314" s="77">
        <v>14.9950843</v>
      </c>
      <c r="F314" s="77">
        <v>2.7277068</v>
      </c>
      <c r="G314" s="77">
        <v>4.7476262</v>
      </c>
      <c r="H314" s="77">
        <v>0.19506011400000001</v>
      </c>
      <c r="I314" s="77">
        <v>0</v>
      </c>
      <c r="J314" s="77">
        <v>0</v>
      </c>
      <c r="K314" s="77">
        <v>0</v>
      </c>
      <c r="L314" s="77">
        <v>0</v>
      </c>
      <c r="M314" s="77">
        <v>0</v>
      </c>
      <c r="N314" s="77">
        <v>0</v>
      </c>
      <c r="O314" s="77">
        <v>0</v>
      </c>
      <c r="P314" s="77">
        <v>0</v>
      </c>
      <c r="R314" s="77"/>
      <c r="S314" s="77"/>
      <c r="T314" s="77"/>
      <c r="U314" s="105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</row>
    <row r="315" spans="1:33" x14ac:dyDescent="0.25">
      <c r="A315" s="77" t="s">
        <v>6</v>
      </c>
      <c r="B315" s="77">
        <v>0</v>
      </c>
      <c r="C315" s="77">
        <v>0</v>
      </c>
      <c r="D315" s="105">
        <v>0</v>
      </c>
      <c r="E315" s="77">
        <v>0</v>
      </c>
      <c r="F315" s="77">
        <v>0</v>
      </c>
      <c r="G315" s="77">
        <v>0</v>
      </c>
      <c r="H315" s="77">
        <v>0</v>
      </c>
      <c r="I315" s="77">
        <v>0</v>
      </c>
      <c r="J315" s="77">
        <v>0</v>
      </c>
      <c r="K315" s="77">
        <v>0</v>
      </c>
      <c r="L315" s="77">
        <v>0</v>
      </c>
      <c r="M315" s="77">
        <v>0</v>
      </c>
      <c r="N315" s="77">
        <v>0</v>
      </c>
      <c r="O315" s="77">
        <v>0</v>
      </c>
      <c r="P315" s="77">
        <v>0</v>
      </c>
      <c r="R315" s="77"/>
      <c r="S315" s="77"/>
      <c r="T315" s="77"/>
      <c r="U315" s="105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</row>
    <row r="316" spans="1:33" x14ac:dyDescent="0.25">
      <c r="A316" s="77" t="s">
        <v>7</v>
      </c>
      <c r="B316" s="77">
        <v>4.8326311000000004</v>
      </c>
      <c r="C316" s="77">
        <v>4.8326311000000004</v>
      </c>
      <c r="D316" s="77">
        <v>0</v>
      </c>
      <c r="E316" s="77">
        <v>0</v>
      </c>
      <c r="F316" s="77">
        <v>3.70304813</v>
      </c>
      <c r="G316" s="77">
        <v>0.79113996900000005</v>
      </c>
      <c r="H316" s="77">
        <v>0.33844300100000002</v>
      </c>
      <c r="I316" s="77">
        <v>0</v>
      </c>
      <c r="J316" s="77">
        <v>0</v>
      </c>
      <c r="K316" s="77">
        <v>0</v>
      </c>
      <c r="L316" s="77">
        <v>0</v>
      </c>
      <c r="M316" s="77">
        <v>0</v>
      </c>
      <c r="N316" s="77">
        <v>0</v>
      </c>
      <c r="O316" s="77">
        <v>0</v>
      </c>
      <c r="P316" s="77">
        <v>0</v>
      </c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  <c r="AG316" s="77"/>
    </row>
    <row r="317" spans="1:33" x14ac:dyDescent="0.25">
      <c r="A317" s="77" t="s">
        <v>8</v>
      </c>
      <c r="B317" s="77">
        <v>0</v>
      </c>
      <c r="C317" s="77">
        <v>0</v>
      </c>
      <c r="D317" s="77">
        <v>0</v>
      </c>
      <c r="E317" s="77">
        <v>0</v>
      </c>
      <c r="F317" s="77">
        <v>0</v>
      </c>
      <c r="G317" s="77">
        <v>0</v>
      </c>
      <c r="H317" s="77">
        <v>0</v>
      </c>
      <c r="I317" s="77">
        <v>0</v>
      </c>
      <c r="J317" s="77">
        <v>0</v>
      </c>
      <c r="K317" s="77">
        <v>0</v>
      </c>
      <c r="L317" s="77">
        <v>0</v>
      </c>
      <c r="M317" s="77">
        <v>0</v>
      </c>
      <c r="N317" s="77">
        <v>0</v>
      </c>
      <c r="O317" s="77">
        <v>0</v>
      </c>
      <c r="P317" s="77">
        <v>0</v>
      </c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  <c r="AG317" s="77"/>
    </row>
    <row r="318" spans="1:33" x14ac:dyDescent="0.25">
      <c r="A318" s="77" t="s">
        <v>9</v>
      </c>
      <c r="B318" s="77">
        <v>0</v>
      </c>
      <c r="C318" s="77">
        <v>0</v>
      </c>
      <c r="D318" s="105">
        <v>0</v>
      </c>
      <c r="E318" s="77">
        <v>0</v>
      </c>
      <c r="F318" s="77">
        <v>0</v>
      </c>
      <c r="G318" s="77">
        <v>0</v>
      </c>
      <c r="H318" s="77">
        <v>0</v>
      </c>
      <c r="I318" s="77">
        <v>0</v>
      </c>
      <c r="J318" s="77">
        <v>0</v>
      </c>
      <c r="K318" s="77">
        <v>0</v>
      </c>
      <c r="L318" s="77">
        <v>0</v>
      </c>
      <c r="M318" s="77">
        <v>0</v>
      </c>
      <c r="N318" s="77">
        <v>0</v>
      </c>
      <c r="O318" s="77">
        <v>0</v>
      </c>
      <c r="P318" s="77">
        <v>0</v>
      </c>
      <c r="R318" s="77"/>
      <c r="S318" s="77"/>
      <c r="T318" s="77"/>
      <c r="U318" s="105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  <c r="AG318" s="77"/>
    </row>
    <row r="319" spans="1:33" x14ac:dyDescent="0.25">
      <c r="A319" s="77" t="s">
        <v>10</v>
      </c>
      <c r="B319" s="77">
        <v>0</v>
      </c>
      <c r="C319" s="77">
        <v>0</v>
      </c>
      <c r="D319" s="77">
        <v>0</v>
      </c>
      <c r="E319" s="77">
        <v>0</v>
      </c>
      <c r="F319" s="77">
        <v>0</v>
      </c>
      <c r="G319" s="77">
        <v>0</v>
      </c>
      <c r="H319" s="77">
        <v>0</v>
      </c>
      <c r="I319" s="77">
        <v>0</v>
      </c>
      <c r="J319" s="77">
        <v>0</v>
      </c>
      <c r="K319" s="77">
        <v>0</v>
      </c>
      <c r="L319" s="77">
        <v>0</v>
      </c>
      <c r="M319" s="77">
        <v>0</v>
      </c>
      <c r="N319" s="77">
        <v>0</v>
      </c>
      <c r="O319" s="77">
        <v>0</v>
      </c>
      <c r="P319" s="77">
        <v>0</v>
      </c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  <c r="AG319" s="77"/>
    </row>
    <row r="320" spans="1:33" x14ac:dyDescent="0.25">
      <c r="A320" s="77" t="s">
        <v>11</v>
      </c>
      <c r="B320" s="77">
        <v>0</v>
      </c>
      <c r="C320" s="77">
        <v>0</v>
      </c>
      <c r="D320" s="77">
        <v>0</v>
      </c>
      <c r="E320" s="77">
        <v>0</v>
      </c>
      <c r="F320" s="77">
        <v>0</v>
      </c>
      <c r="G320" s="77">
        <v>0</v>
      </c>
      <c r="H320" s="77">
        <v>0</v>
      </c>
      <c r="I320" s="77">
        <v>0</v>
      </c>
      <c r="J320" s="77">
        <v>0</v>
      </c>
      <c r="K320" s="77">
        <v>0</v>
      </c>
      <c r="L320" s="77">
        <v>0</v>
      </c>
      <c r="M320" s="77">
        <v>0</v>
      </c>
      <c r="N320" s="77">
        <v>0</v>
      </c>
      <c r="O320" s="77">
        <v>0</v>
      </c>
      <c r="P320" s="77">
        <v>0</v>
      </c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  <c r="AG320" s="77"/>
    </row>
    <row r="321" spans="1:33" x14ac:dyDescent="0.25">
      <c r="A321" s="77" t="s">
        <v>12</v>
      </c>
      <c r="B321" s="77">
        <v>0</v>
      </c>
      <c r="C321" s="77">
        <v>0</v>
      </c>
      <c r="D321" s="77">
        <v>0</v>
      </c>
      <c r="E321" s="77">
        <v>0</v>
      </c>
      <c r="F321" s="77">
        <v>0</v>
      </c>
      <c r="G321" s="77">
        <v>0</v>
      </c>
      <c r="H321" s="77">
        <v>0</v>
      </c>
      <c r="I321" s="77">
        <v>0</v>
      </c>
      <c r="J321" s="77">
        <v>0</v>
      </c>
      <c r="K321" s="77">
        <v>0</v>
      </c>
      <c r="L321" s="77">
        <v>0</v>
      </c>
      <c r="M321" s="77">
        <v>0</v>
      </c>
      <c r="N321" s="77">
        <v>0</v>
      </c>
      <c r="O321" s="77">
        <v>0</v>
      </c>
      <c r="P321" s="77">
        <v>0</v>
      </c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  <c r="AG321" s="77"/>
    </row>
    <row r="322" spans="1:33" x14ac:dyDescent="0.25">
      <c r="A322" s="77" t="s">
        <v>13</v>
      </c>
      <c r="B322" s="77">
        <v>0</v>
      </c>
      <c r="C322" s="77">
        <v>0</v>
      </c>
      <c r="D322" s="77">
        <v>0</v>
      </c>
      <c r="E322" s="77">
        <v>0</v>
      </c>
      <c r="F322" s="77">
        <v>0</v>
      </c>
      <c r="G322" s="77">
        <v>0</v>
      </c>
      <c r="H322" s="77">
        <v>0</v>
      </c>
      <c r="I322" s="77">
        <v>0</v>
      </c>
      <c r="J322" s="77">
        <v>0</v>
      </c>
      <c r="K322" s="77">
        <v>0</v>
      </c>
      <c r="L322" s="77">
        <v>0</v>
      </c>
      <c r="M322" s="77">
        <v>0</v>
      </c>
      <c r="N322" s="77">
        <v>0</v>
      </c>
      <c r="O322" s="77">
        <v>0</v>
      </c>
      <c r="P322" s="77">
        <v>0</v>
      </c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  <c r="AG322" s="77"/>
    </row>
    <row r="323" spans="1:33" x14ac:dyDescent="0.25">
      <c r="A323" s="77" t="s">
        <v>14</v>
      </c>
      <c r="B323" s="77">
        <v>0</v>
      </c>
      <c r="C323" s="77">
        <v>0</v>
      </c>
      <c r="D323" s="77">
        <v>0</v>
      </c>
      <c r="E323" s="77">
        <v>0</v>
      </c>
      <c r="F323" s="77">
        <v>0</v>
      </c>
      <c r="G323" s="77">
        <v>0</v>
      </c>
      <c r="H323" s="77">
        <v>0</v>
      </c>
      <c r="I323" s="77">
        <v>0</v>
      </c>
      <c r="J323" s="77">
        <v>0</v>
      </c>
      <c r="K323" s="77">
        <v>0</v>
      </c>
      <c r="L323" s="77">
        <v>0</v>
      </c>
      <c r="M323" s="77">
        <v>0</v>
      </c>
      <c r="N323" s="77">
        <v>0</v>
      </c>
      <c r="O323" s="77">
        <v>0</v>
      </c>
      <c r="P323" s="77">
        <v>0</v>
      </c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</row>
    <row r="324" spans="1:33" x14ac:dyDescent="0.25">
      <c r="A324" s="77" t="s">
        <v>426</v>
      </c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7"/>
    </row>
    <row r="325" spans="1:33" x14ac:dyDescent="0.25">
      <c r="A325" s="77" t="s">
        <v>360</v>
      </c>
      <c r="B325" s="77" t="s">
        <v>366</v>
      </c>
      <c r="C325" s="77" t="s">
        <v>367</v>
      </c>
      <c r="D325" s="77" t="s">
        <v>368</v>
      </c>
      <c r="E325" s="77" t="s">
        <v>21</v>
      </c>
      <c r="F325" s="77" t="s">
        <v>22</v>
      </c>
      <c r="G325" s="77" t="s">
        <v>23</v>
      </c>
      <c r="H325" s="77" t="s">
        <v>361</v>
      </c>
      <c r="I325" s="77" t="s">
        <v>25</v>
      </c>
      <c r="J325" s="77" t="s">
        <v>362</v>
      </c>
      <c r="K325" s="77" t="s">
        <v>5</v>
      </c>
      <c r="L325" s="77" t="s">
        <v>6</v>
      </c>
      <c r="M325" s="77" t="s">
        <v>7</v>
      </c>
      <c r="N325" s="77" t="s">
        <v>8</v>
      </c>
      <c r="O325" s="77" t="s">
        <v>9</v>
      </c>
      <c r="P325" s="77" t="s">
        <v>363</v>
      </c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  <c r="AG325" s="77"/>
    </row>
    <row r="326" spans="1:33" x14ac:dyDescent="0.25">
      <c r="A326" s="77" t="s">
        <v>364</v>
      </c>
      <c r="B326" s="77" t="s">
        <v>369</v>
      </c>
      <c r="C326" s="77" t="s">
        <v>369</v>
      </c>
      <c r="D326" s="77" t="s">
        <v>369</v>
      </c>
      <c r="E326" s="77" t="s">
        <v>369</v>
      </c>
      <c r="F326" s="77" t="s">
        <v>369</v>
      </c>
      <c r="G326" s="77" t="s">
        <v>369</v>
      </c>
      <c r="H326" s="77" t="s">
        <v>369</v>
      </c>
      <c r="I326" s="77" t="s">
        <v>369</v>
      </c>
      <c r="J326" s="77" t="s">
        <v>369</v>
      </c>
      <c r="K326" s="77" t="s">
        <v>369</v>
      </c>
      <c r="L326" s="77" t="s">
        <v>369</v>
      </c>
      <c r="M326" s="77" t="s">
        <v>369</v>
      </c>
      <c r="N326" s="77" t="s">
        <v>369</v>
      </c>
      <c r="O326" s="77" t="s">
        <v>369</v>
      </c>
      <c r="P326" s="77" t="s">
        <v>369</v>
      </c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  <c r="AG326" s="77"/>
    </row>
    <row r="327" spans="1:33" x14ac:dyDescent="0.25">
      <c r="A327" s="77" t="s">
        <v>1</v>
      </c>
      <c r="B327" s="77">
        <v>63.627456500000001</v>
      </c>
      <c r="C327" s="77">
        <v>0</v>
      </c>
      <c r="D327" s="77">
        <v>63.627456500000001</v>
      </c>
      <c r="E327" s="77">
        <v>35.699894</v>
      </c>
      <c r="F327" s="77">
        <v>0</v>
      </c>
      <c r="G327" s="77">
        <v>24.6858124</v>
      </c>
      <c r="H327" s="77">
        <v>0</v>
      </c>
      <c r="I327" s="77">
        <v>0</v>
      </c>
      <c r="J327" s="77">
        <v>0</v>
      </c>
      <c r="K327" s="77">
        <v>0</v>
      </c>
      <c r="L327" s="77">
        <v>0</v>
      </c>
      <c r="M327" s="77">
        <v>3.2417500299999999</v>
      </c>
      <c r="N327" s="77">
        <v>0</v>
      </c>
      <c r="O327" s="77">
        <v>0</v>
      </c>
      <c r="P327" s="77">
        <v>0</v>
      </c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  <c r="AG327" s="77"/>
    </row>
    <row r="328" spans="1:33" x14ac:dyDescent="0.25">
      <c r="A328" s="77" t="s">
        <v>2</v>
      </c>
      <c r="B328" s="77">
        <v>9.3460234399999997</v>
      </c>
      <c r="C328" s="77">
        <v>0</v>
      </c>
      <c r="D328" s="77">
        <v>9.3460234399999997</v>
      </c>
      <c r="E328" s="77">
        <v>0</v>
      </c>
      <c r="F328" s="77">
        <v>0</v>
      </c>
      <c r="G328" s="77">
        <v>0</v>
      </c>
      <c r="H328" s="77">
        <v>0</v>
      </c>
      <c r="I328" s="77">
        <v>0</v>
      </c>
      <c r="J328" s="77">
        <v>0</v>
      </c>
      <c r="K328" s="77">
        <v>9.3460234399999997</v>
      </c>
      <c r="L328" s="77">
        <v>0</v>
      </c>
      <c r="M328" s="77">
        <v>0</v>
      </c>
      <c r="N328" s="77">
        <v>0</v>
      </c>
      <c r="O328" s="77">
        <v>0</v>
      </c>
      <c r="P328" s="77">
        <v>0</v>
      </c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  <c r="AG328" s="77"/>
    </row>
    <row r="329" spans="1:33" x14ac:dyDescent="0.25">
      <c r="A329" s="77" t="s">
        <v>3</v>
      </c>
      <c r="B329" s="77">
        <v>71.065970899999996</v>
      </c>
      <c r="C329" s="77">
        <v>0</v>
      </c>
      <c r="D329" s="77">
        <v>71.065970899999996</v>
      </c>
      <c r="E329" s="77">
        <v>45.364222300000002</v>
      </c>
      <c r="F329" s="77">
        <v>0.21152312100000001</v>
      </c>
      <c r="G329" s="77">
        <v>12.464607600000001</v>
      </c>
      <c r="H329" s="77">
        <v>4.3661204299999999E-2</v>
      </c>
      <c r="I329" s="77">
        <v>0</v>
      </c>
      <c r="J329" s="77">
        <v>0</v>
      </c>
      <c r="K329" s="77">
        <v>4.7113632799999996</v>
      </c>
      <c r="L329" s="77">
        <v>0</v>
      </c>
      <c r="M329" s="77">
        <v>0</v>
      </c>
      <c r="N329" s="77">
        <v>0</v>
      </c>
      <c r="O329" s="77">
        <v>0</v>
      </c>
      <c r="P329" s="77">
        <v>8.2705933199999997</v>
      </c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  <c r="AG329" s="77"/>
    </row>
    <row r="330" spans="1:33" x14ac:dyDescent="0.25">
      <c r="A330" s="77" t="s">
        <v>4</v>
      </c>
      <c r="B330" s="77">
        <v>114.705513</v>
      </c>
      <c r="C330" s="77">
        <v>0</v>
      </c>
      <c r="D330" s="77">
        <v>114.705513</v>
      </c>
      <c r="E330" s="77">
        <v>60.2235662</v>
      </c>
      <c r="F330" s="77">
        <v>9.8747818499999997</v>
      </c>
      <c r="G330" s="77">
        <v>46.678914200000001</v>
      </c>
      <c r="H330" s="77">
        <v>2.0765736700000001</v>
      </c>
      <c r="I330" s="77">
        <v>0</v>
      </c>
      <c r="J330" s="77">
        <v>0</v>
      </c>
      <c r="K330" s="77">
        <v>0</v>
      </c>
      <c r="L330" s="77">
        <v>0</v>
      </c>
      <c r="M330" s="77">
        <v>1.9725165600000001</v>
      </c>
      <c r="N330" s="77">
        <v>0</v>
      </c>
      <c r="O330" s="77">
        <v>0</v>
      </c>
      <c r="P330" s="77">
        <v>-6.1208394000000004</v>
      </c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  <c r="AG330" s="77"/>
    </row>
    <row r="331" spans="1:33" x14ac:dyDescent="0.25">
      <c r="A331" s="77" t="s">
        <v>5</v>
      </c>
      <c r="B331" s="77">
        <v>51.935199699999998</v>
      </c>
      <c r="C331" s="77">
        <v>56.378835299999999</v>
      </c>
      <c r="D331" s="77">
        <v>-4.4436355499999998</v>
      </c>
      <c r="E331" s="77">
        <v>30.2138226</v>
      </c>
      <c r="F331" s="77">
        <v>5.76060733</v>
      </c>
      <c r="G331" s="77">
        <v>15.515811100000001</v>
      </c>
      <c r="H331" s="77">
        <v>0.44495867700000002</v>
      </c>
      <c r="I331" s="77">
        <v>0</v>
      </c>
      <c r="J331" s="77">
        <v>0</v>
      </c>
      <c r="K331" s="77">
        <v>0</v>
      </c>
      <c r="L331" s="77">
        <v>0</v>
      </c>
      <c r="M331" s="77">
        <v>0</v>
      </c>
      <c r="N331" s="77">
        <v>0</v>
      </c>
      <c r="O331" s="77">
        <v>0</v>
      </c>
      <c r="P331" s="77">
        <v>0</v>
      </c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  <c r="AG331" s="77"/>
    </row>
    <row r="332" spans="1:33" x14ac:dyDescent="0.25">
      <c r="A332" s="77" t="s">
        <v>6</v>
      </c>
      <c r="B332" s="77">
        <v>0</v>
      </c>
      <c r="C332" s="77">
        <v>0</v>
      </c>
      <c r="D332" s="77">
        <v>0</v>
      </c>
      <c r="E332" s="77">
        <v>0</v>
      </c>
      <c r="F332" s="77">
        <v>0</v>
      </c>
      <c r="G332" s="77">
        <v>0</v>
      </c>
      <c r="H332" s="77">
        <v>0</v>
      </c>
      <c r="I332" s="77">
        <v>0</v>
      </c>
      <c r="J332" s="77">
        <v>0</v>
      </c>
      <c r="K332" s="77">
        <v>0</v>
      </c>
      <c r="L332" s="77">
        <v>0</v>
      </c>
      <c r="M332" s="77">
        <v>0</v>
      </c>
      <c r="N332" s="77">
        <v>0</v>
      </c>
      <c r="O332" s="77">
        <v>0</v>
      </c>
      <c r="P332" s="77">
        <v>0</v>
      </c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  <c r="AG332" s="77"/>
    </row>
    <row r="333" spans="1:33" x14ac:dyDescent="0.25">
      <c r="A333" s="77" t="s">
        <v>7</v>
      </c>
      <c r="B333" s="77">
        <v>10.8804313</v>
      </c>
      <c r="C333" s="77">
        <v>6.5530627199999998</v>
      </c>
      <c r="D333" s="77">
        <v>4.32736857</v>
      </c>
      <c r="E333" s="77">
        <v>0</v>
      </c>
      <c r="F333" s="77">
        <v>8.6716113900000007</v>
      </c>
      <c r="G333" s="77">
        <v>1.4918145199999999</v>
      </c>
      <c r="H333" s="77">
        <v>0.71700538400000002</v>
      </c>
      <c r="I333" s="77">
        <v>0</v>
      </c>
      <c r="J333" s="77">
        <v>0</v>
      </c>
      <c r="K333" s="77">
        <v>0</v>
      </c>
      <c r="L333" s="77">
        <v>0</v>
      </c>
      <c r="M333" s="77">
        <v>0</v>
      </c>
      <c r="N333" s="77">
        <v>0</v>
      </c>
      <c r="O333" s="77">
        <v>0</v>
      </c>
      <c r="P333" s="77">
        <v>0</v>
      </c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</row>
    <row r="334" spans="1:33" x14ac:dyDescent="0.25">
      <c r="A334" s="77" t="s">
        <v>8</v>
      </c>
      <c r="B334" s="77">
        <v>0</v>
      </c>
      <c r="C334" s="77">
        <v>0</v>
      </c>
      <c r="D334" s="77">
        <v>0</v>
      </c>
      <c r="E334" s="77">
        <v>0</v>
      </c>
      <c r="F334" s="77">
        <v>0</v>
      </c>
      <c r="G334" s="77">
        <v>0</v>
      </c>
      <c r="H334" s="77">
        <v>0</v>
      </c>
      <c r="I334" s="77">
        <v>0</v>
      </c>
      <c r="J334" s="77">
        <v>0</v>
      </c>
      <c r="K334" s="77">
        <v>0</v>
      </c>
      <c r="L334" s="77">
        <v>0</v>
      </c>
      <c r="M334" s="77">
        <v>0</v>
      </c>
      <c r="N334" s="77">
        <v>0</v>
      </c>
      <c r="O334" s="77">
        <v>0</v>
      </c>
      <c r="P334" s="77">
        <v>0</v>
      </c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  <c r="AG334" s="77"/>
    </row>
    <row r="335" spans="1:33" x14ac:dyDescent="0.25">
      <c r="A335" s="77" t="s">
        <v>9</v>
      </c>
      <c r="B335" s="77">
        <v>0</v>
      </c>
      <c r="C335" s="77">
        <v>0</v>
      </c>
      <c r="D335" s="77">
        <v>0</v>
      </c>
      <c r="E335" s="77">
        <v>0</v>
      </c>
      <c r="F335" s="77">
        <v>0</v>
      </c>
      <c r="G335" s="77">
        <v>0</v>
      </c>
      <c r="H335" s="77">
        <v>0</v>
      </c>
      <c r="I335" s="77">
        <v>0</v>
      </c>
      <c r="J335" s="77">
        <v>0</v>
      </c>
      <c r="K335" s="77">
        <v>0</v>
      </c>
      <c r="L335" s="77">
        <v>0</v>
      </c>
      <c r="M335" s="77">
        <v>0</v>
      </c>
      <c r="N335" s="77">
        <v>0</v>
      </c>
      <c r="O335" s="77">
        <v>0</v>
      </c>
      <c r="P335" s="77">
        <v>0</v>
      </c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  <c r="AG335" s="77"/>
    </row>
    <row r="336" spans="1:33" x14ac:dyDescent="0.25">
      <c r="A336" s="77" t="s">
        <v>10</v>
      </c>
      <c r="B336" s="77">
        <v>25.467942499999999</v>
      </c>
      <c r="C336" s="77">
        <v>0</v>
      </c>
      <c r="D336" s="77">
        <v>25.467942499999999</v>
      </c>
      <c r="E336" s="77">
        <v>0</v>
      </c>
      <c r="F336" s="77">
        <v>-1.9257500000000001</v>
      </c>
      <c r="G336" s="77">
        <v>0</v>
      </c>
      <c r="H336" s="77">
        <v>0</v>
      </c>
      <c r="I336" s="77">
        <v>0</v>
      </c>
      <c r="J336" s="77">
        <v>0</v>
      </c>
      <c r="K336" s="77">
        <v>27.3478016</v>
      </c>
      <c r="L336" s="77">
        <v>0</v>
      </c>
      <c r="M336" s="77">
        <v>4.5890958400000001E-2</v>
      </c>
      <c r="N336" s="77">
        <v>0</v>
      </c>
      <c r="O336" s="77">
        <v>0</v>
      </c>
      <c r="P336" s="77">
        <v>0</v>
      </c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  <c r="AG336" s="77"/>
    </row>
    <row r="337" spans="1:33" x14ac:dyDescent="0.25">
      <c r="A337" s="77" t="s">
        <v>11</v>
      </c>
      <c r="B337" s="77">
        <v>0.87039217800000002</v>
      </c>
      <c r="C337" s="77">
        <v>0</v>
      </c>
      <c r="D337" s="77">
        <v>0.87039217800000002</v>
      </c>
      <c r="E337" s="77">
        <v>0.39766295600000001</v>
      </c>
      <c r="F337" s="77">
        <v>5.9408854800000001E-2</v>
      </c>
      <c r="G337" s="77">
        <v>0.37138830499999997</v>
      </c>
      <c r="H337" s="77">
        <v>1.8472688599999999E-2</v>
      </c>
      <c r="I337" s="77">
        <v>0</v>
      </c>
      <c r="J337" s="77">
        <v>0</v>
      </c>
      <c r="K337" s="77">
        <v>0</v>
      </c>
      <c r="L337" s="77">
        <v>0</v>
      </c>
      <c r="M337" s="77">
        <v>2.3459374299999999E-2</v>
      </c>
      <c r="N337" s="77">
        <v>0</v>
      </c>
      <c r="O337" s="77">
        <v>0</v>
      </c>
      <c r="P337" s="77">
        <v>0</v>
      </c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  <c r="AG337" s="77"/>
    </row>
    <row r="338" spans="1:33" x14ac:dyDescent="0.25">
      <c r="A338" s="77" t="s">
        <v>12</v>
      </c>
      <c r="B338" s="77">
        <v>71.531020400000003</v>
      </c>
      <c r="C338" s="77">
        <v>2.1497539300000001</v>
      </c>
      <c r="D338" s="77">
        <v>69.381266499999995</v>
      </c>
      <c r="E338" s="77">
        <v>55.4270268</v>
      </c>
      <c r="F338" s="77">
        <v>0.82033443100000003</v>
      </c>
      <c r="G338" s="77">
        <v>11.458250899999999</v>
      </c>
      <c r="H338" s="77">
        <v>0.23486278599999999</v>
      </c>
      <c r="I338" s="77">
        <v>0</v>
      </c>
      <c r="J338" s="77">
        <v>0</v>
      </c>
      <c r="K338" s="77">
        <v>3.2399465200000002</v>
      </c>
      <c r="L338" s="77">
        <v>0</v>
      </c>
      <c r="M338" s="77">
        <v>0.35059892500000001</v>
      </c>
      <c r="N338" s="77">
        <v>0</v>
      </c>
      <c r="O338" s="77">
        <v>0</v>
      </c>
      <c r="P338" s="77">
        <v>0</v>
      </c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  <c r="AG338" s="77"/>
    </row>
    <row r="339" spans="1:33" x14ac:dyDescent="0.25">
      <c r="A339" s="77" t="s">
        <v>13</v>
      </c>
      <c r="B339" s="77">
        <v>62.636927900000003</v>
      </c>
      <c r="C339" s="77">
        <v>0</v>
      </c>
      <c r="D339" s="77">
        <v>62.636927900000003</v>
      </c>
      <c r="E339" s="77">
        <v>45.061008899999997</v>
      </c>
      <c r="F339" s="77">
        <v>5.3336360699999998</v>
      </c>
      <c r="G339" s="77">
        <v>0</v>
      </c>
      <c r="H339" s="77">
        <v>0</v>
      </c>
      <c r="I339" s="77">
        <v>0</v>
      </c>
      <c r="J339" s="77">
        <v>0</v>
      </c>
      <c r="K339" s="77">
        <v>11.7337004</v>
      </c>
      <c r="L339" s="77">
        <v>0</v>
      </c>
      <c r="M339" s="77">
        <v>0.50858250000000005</v>
      </c>
      <c r="N339" s="77">
        <v>0</v>
      </c>
      <c r="O339" s="77">
        <v>0</v>
      </c>
      <c r="P339" s="77">
        <v>0</v>
      </c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  <c r="AG339" s="77"/>
    </row>
    <row r="340" spans="1:33" x14ac:dyDescent="0.25">
      <c r="A340" s="77" t="s">
        <v>14</v>
      </c>
      <c r="B340" s="77">
        <v>22.0515851</v>
      </c>
      <c r="C340" s="77">
        <v>0</v>
      </c>
      <c r="D340" s="77">
        <v>22.0515851</v>
      </c>
      <c r="E340" s="77">
        <v>7.6899741099999996</v>
      </c>
      <c r="F340" s="77">
        <v>0.61066669200000001</v>
      </c>
      <c r="G340" s="77">
        <v>13.276413099999999</v>
      </c>
      <c r="H340" s="77">
        <v>6.4266829799999994E-2</v>
      </c>
      <c r="I340" s="105">
        <v>0</v>
      </c>
      <c r="J340" s="77">
        <v>0</v>
      </c>
      <c r="K340" s="77">
        <v>0</v>
      </c>
      <c r="L340" s="77">
        <v>0</v>
      </c>
      <c r="M340" s="77">
        <v>0.41026438100000001</v>
      </c>
      <c r="N340" s="77">
        <v>0</v>
      </c>
      <c r="O340" s="77">
        <v>0</v>
      </c>
      <c r="P340" s="77">
        <v>0</v>
      </c>
      <c r="R340" s="77"/>
      <c r="S340" s="77"/>
      <c r="T340" s="77"/>
      <c r="U340" s="77"/>
      <c r="V340" s="77"/>
      <c r="W340" s="77"/>
      <c r="X340" s="77"/>
      <c r="Y340" s="77"/>
      <c r="Z340" s="105"/>
      <c r="AA340" s="77"/>
      <c r="AB340" s="77"/>
      <c r="AC340" s="77"/>
      <c r="AD340" s="77"/>
      <c r="AE340" s="77"/>
      <c r="AF340" s="77"/>
      <c r="AG340" s="77"/>
    </row>
    <row r="341" spans="1:33" x14ac:dyDescent="0.25">
      <c r="A341" s="77" t="s">
        <v>427</v>
      </c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  <c r="AG341" s="77"/>
    </row>
    <row r="342" spans="1:33" x14ac:dyDescent="0.25">
      <c r="A342" s="77" t="s">
        <v>360</v>
      </c>
      <c r="B342" s="77" t="s">
        <v>18</v>
      </c>
      <c r="C342" s="77" t="s">
        <v>19</v>
      </c>
      <c r="D342" s="77" t="s">
        <v>20</v>
      </c>
      <c r="E342" s="77" t="s">
        <v>21</v>
      </c>
      <c r="F342" s="77" t="s">
        <v>22</v>
      </c>
      <c r="G342" s="77" t="s">
        <v>23</v>
      </c>
      <c r="H342" s="77" t="s">
        <v>361</v>
      </c>
      <c r="I342" s="77" t="s">
        <v>25</v>
      </c>
      <c r="J342" s="77" t="s">
        <v>362</v>
      </c>
      <c r="K342" s="77" t="s">
        <v>5</v>
      </c>
      <c r="L342" s="77" t="s">
        <v>6</v>
      </c>
      <c r="M342" s="77" t="s">
        <v>7</v>
      </c>
      <c r="N342" s="77" t="s">
        <v>8</v>
      </c>
      <c r="O342" s="77" t="s">
        <v>9</v>
      </c>
      <c r="P342" s="77" t="s">
        <v>363</v>
      </c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  <c r="AG342" s="77"/>
    </row>
    <row r="343" spans="1:33" x14ac:dyDescent="0.25">
      <c r="A343" s="77" t="s">
        <v>364</v>
      </c>
      <c r="B343" s="77" t="s">
        <v>370</v>
      </c>
      <c r="C343" s="77" t="s">
        <v>370</v>
      </c>
      <c r="D343" s="77" t="s">
        <v>370</v>
      </c>
      <c r="E343" s="77" t="s">
        <v>370</v>
      </c>
      <c r="F343" s="77" t="s">
        <v>370</v>
      </c>
      <c r="G343" s="77" t="s">
        <v>370</v>
      </c>
      <c r="H343" s="77" t="s">
        <v>370</v>
      </c>
      <c r="I343" s="77" t="s">
        <v>370</v>
      </c>
      <c r="J343" s="77" t="s">
        <v>370</v>
      </c>
      <c r="K343" s="77" t="s">
        <v>370</v>
      </c>
      <c r="L343" s="77" t="s">
        <v>370</v>
      </c>
      <c r="M343" s="77" t="s">
        <v>370</v>
      </c>
      <c r="N343" s="77" t="s">
        <v>370</v>
      </c>
      <c r="O343" s="77" t="s">
        <v>370</v>
      </c>
      <c r="P343" s="77" t="s">
        <v>370</v>
      </c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  <c r="AG343" s="77"/>
    </row>
    <row r="344" spans="1:33" x14ac:dyDescent="0.25">
      <c r="A344" s="77" t="s">
        <v>1</v>
      </c>
      <c r="B344" s="77">
        <v>0</v>
      </c>
      <c r="C344" s="77">
        <v>0</v>
      </c>
      <c r="D344" s="77">
        <v>0</v>
      </c>
      <c r="E344" s="77">
        <v>0</v>
      </c>
      <c r="F344" s="77">
        <v>0</v>
      </c>
      <c r="G344" s="77">
        <v>0</v>
      </c>
      <c r="H344" s="77">
        <v>0</v>
      </c>
      <c r="I344" s="77">
        <v>0</v>
      </c>
      <c r="J344" s="77">
        <v>0</v>
      </c>
      <c r="K344" s="77">
        <v>0</v>
      </c>
      <c r="L344" s="77">
        <v>0</v>
      </c>
      <c r="M344" s="77">
        <v>0</v>
      </c>
      <c r="N344" s="77">
        <v>0</v>
      </c>
      <c r="O344" s="77">
        <v>0</v>
      </c>
      <c r="P344" s="77">
        <v>0</v>
      </c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  <c r="AG344" s="77"/>
    </row>
    <row r="345" spans="1:33" x14ac:dyDescent="0.25">
      <c r="A345" s="77" t="s">
        <v>2</v>
      </c>
      <c r="B345" s="77">
        <v>1.65682942</v>
      </c>
      <c r="C345" s="77">
        <v>0</v>
      </c>
      <c r="D345" s="77">
        <v>1.65682942</v>
      </c>
      <c r="E345" s="77">
        <v>0</v>
      </c>
      <c r="F345" s="77">
        <v>0</v>
      </c>
      <c r="G345" s="77">
        <v>0</v>
      </c>
      <c r="H345" s="77">
        <v>0</v>
      </c>
      <c r="I345" s="77">
        <v>0</v>
      </c>
      <c r="J345" s="77">
        <v>0</v>
      </c>
      <c r="K345" s="77">
        <v>1.65682942</v>
      </c>
      <c r="L345" s="77">
        <v>0</v>
      </c>
      <c r="M345" s="77">
        <v>0</v>
      </c>
      <c r="N345" s="77">
        <v>0</v>
      </c>
      <c r="O345" s="77">
        <v>0</v>
      </c>
      <c r="P345" s="77">
        <v>0</v>
      </c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  <c r="AG345" s="77"/>
    </row>
    <row r="346" spans="1:33" x14ac:dyDescent="0.25">
      <c r="A346" s="77" t="s">
        <v>3</v>
      </c>
      <c r="B346" s="77">
        <v>3.6519476399999999</v>
      </c>
      <c r="C346" s="77">
        <v>0</v>
      </c>
      <c r="D346" s="77">
        <v>3.6519476399999999</v>
      </c>
      <c r="E346" s="77">
        <v>2.6041502400000001</v>
      </c>
      <c r="F346" s="77">
        <v>1.04135446E-2</v>
      </c>
      <c r="G346" s="77">
        <v>0.58776905899999998</v>
      </c>
      <c r="H346" s="77">
        <v>1.82305708E-3</v>
      </c>
      <c r="I346" s="77">
        <v>0</v>
      </c>
      <c r="J346" s="77">
        <v>0</v>
      </c>
      <c r="K346" s="77">
        <v>0.44779173500000002</v>
      </c>
      <c r="L346" s="77">
        <v>0</v>
      </c>
      <c r="M346" s="77">
        <v>0</v>
      </c>
      <c r="N346" s="77">
        <v>0</v>
      </c>
      <c r="O346" s="77">
        <v>0</v>
      </c>
      <c r="P346" s="77">
        <v>0</v>
      </c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  <c r="AG346" s="77"/>
    </row>
    <row r="347" spans="1:33" x14ac:dyDescent="0.25">
      <c r="A347" s="77" t="s">
        <v>4</v>
      </c>
      <c r="B347" s="77">
        <v>3.1334118399999999</v>
      </c>
      <c r="C347" s="77">
        <v>0</v>
      </c>
      <c r="D347" s="77">
        <v>3.1334118399999999</v>
      </c>
      <c r="E347" s="77">
        <v>1.4315866399999999</v>
      </c>
      <c r="F347" s="77">
        <v>0.21387187699999999</v>
      </c>
      <c r="G347" s="77">
        <v>1.3369979000000001</v>
      </c>
      <c r="H347" s="77">
        <v>6.6501678800000005E-2</v>
      </c>
      <c r="I347" s="77">
        <v>0</v>
      </c>
      <c r="J347" s="77">
        <v>0</v>
      </c>
      <c r="K347" s="77">
        <v>0</v>
      </c>
      <c r="L347" s="77">
        <v>0</v>
      </c>
      <c r="M347" s="77">
        <v>8.4453747300000007E-2</v>
      </c>
      <c r="N347" s="77">
        <v>0</v>
      </c>
      <c r="O347" s="77">
        <v>0</v>
      </c>
      <c r="P347" s="77">
        <v>0</v>
      </c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  <c r="AG347" s="77"/>
    </row>
    <row r="348" spans="1:33" x14ac:dyDescent="0.25">
      <c r="A348" s="77" t="s">
        <v>5</v>
      </c>
      <c r="B348" s="77">
        <v>1.65682942</v>
      </c>
      <c r="C348" s="77">
        <v>2.1046211499999998</v>
      </c>
      <c r="D348" s="77">
        <v>-0.44779173500000002</v>
      </c>
      <c r="E348" s="77">
        <v>1.09612943</v>
      </c>
      <c r="F348" s="77">
        <v>0.19939332400000001</v>
      </c>
      <c r="G348" s="77">
        <v>0.34704791899999998</v>
      </c>
      <c r="H348" s="77">
        <v>1.4258748200000001E-2</v>
      </c>
      <c r="I348" s="77">
        <v>0</v>
      </c>
      <c r="J348" s="77">
        <v>0</v>
      </c>
      <c r="K348" s="77">
        <v>0</v>
      </c>
      <c r="L348" s="77">
        <v>0</v>
      </c>
      <c r="M348" s="77">
        <v>0</v>
      </c>
      <c r="N348" s="77">
        <v>0</v>
      </c>
      <c r="O348" s="77">
        <v>0</v>
      </c>
      <c r="P348" s="77">
        <v>0</v>
      </c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  <c r="AG348" s="77"/>
    </row>
    <row r="349" spans="1:33" x14ac:dyDescent="0.25">
      <c r="A349" s="77" t="s">
        <v>6</v>
      </c>
      <c r="B349" s="77">
        <v>0</v>
      </c>
      <c r="C349" s="77">
        <v>0</v>
      </c>
      <c r="D349" s="77">
        <v>0</v>
      </c>
      <c r="E349" s="77">
        <v>0</v>
      </c>
      <c r="F349" s="77">
        <v>0</v>
      </c>
      <c r="G349" s="77">
        <v>0</v>
      </c>
      <c r="H349" s="77">
        <v>0</v>
      </c>
      <c r="I349" s="77">
        <v>0</v>
      </c>
      <c r="J349" s="77">
        <v>0</v>
      </c>
      <c r="K349" s="77">
        <v>0</v>
      </c>
      <c r="L349" s="77">
        <v>0</v>
      </c>
      <c r="M349" s="77">
        <v>0</v>
      </c>
      <c r="N349" s="77">
        <v>0</v>
      </c>
      <c r="O349" s="77">
        <v>0</v>
      </c>
      <c r="P349" s="77">
        <v>0</v>
      </c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  <c r="AG349" s="77"/>
    </row>
    <row r="350" spans="1:33" x14ac:dyDescent="0.25">
      <c r="A350" s="77" t="s">
        <v>7</v>
      </c>
      <c r="B350" s="77">
        <v>0.217389836</v>
      </c>
      <c r="C350" s="77">
        <v>8.4453747300000007E-2</v>
      </c>
      <c r="D350" s="77">
        <v>0.13293608900000001</v>
      </c>
      <c r="E350" s="77">
        <v>0</v>
      </c>
      <c r="F350" s="77">
        <v>0.16657696599999999</v>
      </c>
      <c r="G350" s="77">
        <v>3.5588437200000003E-2</v>
      </c>
      <c r="H350" s="77">
        <v>1.52244331E-2</v>
      </c>
      <c r="I350" s="77">
        <v>0</v>
      </c>
      <c r="J350" s="77">
        <v>0</v>
      </c>
      <c r="K350" s="77">
        <v>0</v>
      </c>
      <c r="L350" s="77">
        <v>0</v>
      </c>
      <c r="M350" s="77">
        <v>0</v>
      </c>
      <c r="N350" s="77">
        <v>0</v>
      </c>
      <c r="O350" s="77">
        <v>0</v>
      </c>
      <c r="P350" s="77">
        <v>0</v>
      </c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  <c r="AG350" s="77"/>
    </row>
    <row r="351" spans="1:33" x14ac:dyDescent="0.25">
      <c r="A351" s="77" t="s">
        <v>8</v>
      </c>
      <c r="B351" s="77">
        <v>0</v>
      </c>
      <c r="C351" s="77">
        <v>0</v>
      </c>
      <c r="D351" s="77">
        <v>0</v>
      </c>
      <c r="E351" s="77">
        <v>0</v>
      </c>
      <c r="F351" s="77">
        <v>0</v>
      </c>
      <c r="G351" s="77">
        <v>0</v>
      </c>
      <c r="H351" s="77">
        <v>0</v>
      </c>
      <c r="I351" s="77">
        <v>0</v>
      </c>
      <c r="J351" s="77">
        <v>0</v>
      </c>
      <c r="K351" s="77">
        <v>0</v>
      </c>
      <c r="L351" s="77">
        <v>0</v>
      </c>
      <c r="M351" s="77">
        <v>0</v>
      </c>
      <c r="N351" s="77">
        <v>0</v>
      </c>
      <c r="O351" s="77">
        <v>0</v>
      </c>
      <c r="P351" s="77">
        <v>0</v>
      </c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  <c r="AG351" s="77"/>
    </row>
    <row r="352" spans="1:33" x14ac:dyDescent="0.25">
      <c r="A352" s="77" t="s">
        <v>9</v>
      </c>
      <c r="B352" s="77">
        <v>0</v>
      </c>
      <c r="C352" s="77">
        <v>0</v>
      </c>
      <c r="D352" s="77">
        <v>0</v>
      </c>
      <c r="E352" s="77">
        <v>0</v>
      </c>
      <c r="F352" s="77">
        <v>0</v>
      </c>
      <c r="G352" s="77">
        <v>0</v>
      </c>
      <c r="H352" s="77">
        <v>0</v>
      </c>
      <c r="I352" s="77">
        <v>0</v>
      </c>
      <c r="J352" s="77">
        <v>0</v>
      </c>
      <c r="K352" s="77">
        <v>0</v>
      </c>
      <c r="L352" s="77">
        <v>0</v>
      </c>
      <c r="M352" s="77">
        <v>0</v>
      </c>
      <c r="N352" s="77">
        <v>0</v>
      </c>
      <c r="O352" s="77">
        <v>0</v>
      </c>
      <c r="P352" s="77">
        <v>0</v>
      </c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  <c r="AG352" s="77"/>
    </row>
    <row r="353" spans="1:33" x14ac:dyDescent="0.25">
      <c r="A353" s="77" t="s">
        <v>10</v>
      </c>
      <c r="B353" s="77">
        <v>0</v>
      </c>
      <c r="C353" s="77">
        <v>0</v>
      </c>
      <c r="D353" s="77">
        <v>0</v>
      </c>
      <c r="E353" s="77">
        <v>0</v>
      </c>
      <c r="F353" s="77">
        <v>0</v>
      </c>
      <c r="G353" s="77">
        <v>0</v>
      </c>
      <c r="H353" s="77">
        <v>0</v>
      </c>
      <c r="I353" s="77">
        <v>0</v>
      </c>
      <c r="J353" s="77">
        <v>0</v>
      </c>
      <c r="K353" s="77">
        <v>0</v>
      </c>
      <c r="L353" s="77">
        <v>0</v>
      </c>
      <c r="M353" s="77">
        <v>0</v>
      </c>
      <c r="N353" s="77">
        <v>0</v>
      </c>
      <c r="O353" s="77">
        <v>0</v>
      </c>
      <c r="P353" s="77">
        <v>0</v>
      </c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</row>
    <row r="354" spans="1:33" x14ac:dyDescent="0.25">
      <c r="A354" s="77" t="s">
        <v>11</v>
      </c>
      <c r="B354" s="77">
        <v>0</v>
      </c>
      <c r="C354" s="77">
        <v>0</v>
      </c>
      <c r="D354" s="77">
        <v>0</v>
      </c>
      <c r="E354" s="77">
        <v>0</v>
      </c>
      <c r="F354" s="77">
        <v>0</v>
      </c>
      <c r="G354" s="77">
        <v>0</v>
      </c>
      <c r="H354" s="77">
        <v>0</v>
      </c>
      <c r="I354" s="77">
        <v>0</v>
      </c>
      <c r="J354" s="77">
        <v>0</v>
      </c>
      <c r="K354" s="77">
        <v>0</v>
      </c>
      <c r="L354" s="77">
        <v>0</v>
      </c>
      <c r="M354" s="77">
        <v>0</v>
      </c>
      <c r="N354" s="77">
        <v>0</v>
      </c>
      <c r="O354" s="77">
        <v>0</v>
      </c>
      <c r="P354" s="77">
        <v>0</v>
      </c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  <c r="AG354" s="77"/>
    </row>
    <row r="355" spans="1:33" x14ac:dyDescent="0.25">
      <c r="A355" s="77" t="s">
        <v>12</v>
      </c>
      <c r="B355" s="77">
        <v>0</v>
      </c>
      <c r="C355" s="77">
        <v>0</v>
      </c>
      <c r="D355" s="77">
        <v>0</v>
      </c>
      <c r="E355" s="77">
        <v>0</v>
      </c>
      <c r="F355" s="77">
        <v>0</v>
      </c>
      <c r="G355" s="77">
        <v>0</v>
      </c>
      <c r="H355" s="77">
        <v>0</v>
      </c>
      <c r="I355" s="77">
        <v>0</v>
      </c>
      <c r="J355" s="77">
        <v>0</v>
      </c>
      <c r="K355" s="77">
        <v>0</v>
      </c>
      <c r="L355" s="77">
        <v>0</v>
      </c>
      <c r="M355" s="77">
        <v>0</v>
      </c>
      <c r="N355" s="77">
        <v>0</v>
      </c>
      <c r="O355" s="77">
        <v>0</v>
      </c>
      <c r="P355" s="77">
        <v>0</v>
      </c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  <c r="AG355" s="77"/>
    </row>
    <row r="356" spans="1:33" x14ac:dyDescent="0.25">
      <c r="A356" s="77" t="s">
        <v>13</v>
      </c>
      <c r="B356" s="77">
        <v>0</v>
      </c>
      <c r="C356" s="77">
        <v>0</v>
      </c>
      <c r="D356" s="77">
        <v>0</v>
      </c>
      <c r="E356" s="77">
        <v>0</v>
      </c>
      <c r="F356" s="77">
        <v>0</v>
      </c>
      <c r="G356" s="77">
        <v>0</v>
      </c>
      <c r="H356" s="77">
        <v>0</v>
      </c>
      <c r="I356" s="77">
        <v>0</v>
      </c>
      <c r="J356" s="77">
        <v>0</v>
      </c>
      <c r="K356" s="77">
        <v>0</v>
      </c>
      <c r="L356" s="77">
        <v>0</v>
      </c>
      <c r="M356" s="77">
        <v>0</v>
      </c>
      <c r="N356" s="77">
        <v>0</v>
      </c>
      <c r="O356" s="77">
        <v>0</v>
      </c>
      <c r="P356" s="77">
        <v>0</v>
      </c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  <c r="AG356" s="77"/>
    </row>
    <row r="357" spans="1:33" x14ac:dyDescent="0.25">
      <c r="A357" s="77" t="s">
        <v>14</v>
      </c>
      <c r="B357" s="77">
        <v>0</v>
      </c>
      <c r="C357" s="77">
        <v>0</v>
      </c>
      <c r="D357" s="77">
        <v>0</v>
      </c>
      <c r="E357" s="77">
        <v>0</v>
      </c>
      <c r="F357" s="77">
        <v>0</v>
      </c>
      <c r="G357" s="77">
        <v>0</v>
      </c>
      <c r="H357" s="77">
        <v>0</v>
      </c>
      <c r="I357" s="77">
        <v>0</v>
      </c>
      <c r="J357" s="77">
        <v>0</v>
      </c>
      <c r="K357" s="77">
        <v>0</v>
      </c>
      <c r="L357" s="77">
        <v>0</v>
      </c>
      <c r="M357" s="77">
        <v>0</v>
      </c>
      <c r="N357" s="77">
        <v>0</v>
      </c>
      <c r="O357" s="77">
        <v>0</v>
      </c>
      <c r="P357" s="77">
        <v>0</v>
      </c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  <c r="AG357" s="77"/>
    </row>
    <row r="358" spans="1:33" x14ac:dyDescent="0.25">
      <c r="A358" s="77" t="s">
        <v>428</v>
      </c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  <c r="AG358" s="77"/>
    </row>
    <row r="359" spans="1:33" x14ac:dyDescent="0.25">
      <c r="A359" s="77" t="s">
        <v>360</v>
      </c>
      <c r="B359" s="77" t="s">
        <v>18</v>
      </c>
      <c r="C359" s="77" t="s">
        <v>19</v>
      </c>
      <c r="D359" s="77" t="s">
        <v>20</v>
      </c>
      <c r="E359" s="77" t="s">
        <v>21</v>
      </c>
      <c r="F359" s="77" t="s">
        <v>22</v>
      </c>
      <c r="G359" s="77" t="s">
        <v>23</v>
      </c>
      <c r="H359" s="77" t="s">
        <v>361</v>
      </c>
      <c r="I359" s="77" t="s">
        <v>25</v>
      </c>
      <c r="J359" s="77" t="s">
        <v>362</v>
      </c>
      <c r="K359" s="77" t="s">
        <v>5</v>
      </c>
      <c r="L359" s="77" t="s">
        <v>6</v>
      </c>
      <c r="M359" s="77" t="s">
        <v>7</v>
      </c>
      <c r="N359" s="77" t="s">
        <v>8</v>
      </c>
      <c r="O359" s="77" t="s">
        <v>9</v>
      </c>
      <c r="P359" s="77" t="s">
        <v>363</v>
      </c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  <c r="AG359" s="77"/>
    </row>
    <row r="360" spans="1:33" x14ac:dyDescent="0.25">
      <c r="A360" s="77" t="s">
        <v>364</v>
      </c>
      <c r="B360" s="77" t="s">
        <v>365</v>
      </c>
      <c r="C360" s="77" t="s">
        <v>365</v>
      </c>
      <c r="D360" s="77" t="s">
        <v>365</v>
      </c>
      <c r="E360" s="77" t="s">
        <v>365</v>
      </c>
      <c r="F360" s="77" t="s">
        <v>365</v>
      </c>
      <c r="G360" s="77" t="s">
        <v>365</v>
      </c>
      <c r="H360" s="77" t="s">
        <v>365</v>
      </c>
      <c r="I360" s="77" t="s">
        <v>365</v>
      </c>
      <c r="J360" s="77" t="s">
        <v>365</v>
      </c>
      <c r="K360" s="77" t="s">
        <v>365</v>
      </c>
      <c r="L360" s="77" t="s">
        <v>365</v>
      </c>
      <c r="M360" s="77" t="s">
        <v>365</v>
      </c>
      <c r="N360" s="77" t="s">
        <v>365</v>
      </c>
      <c r="O360" s="77" t="s">
        <v>365</v>
      </c>
      <c r="P360" s="77" t="s">
        <v>365</v>
      </c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  <c r="AG360" s="77"/>
    </row>
    <row r="361" spans="1:33" x14ac:dyDescent="0.25">
      <c r="A361" s="77" t="s">
        <v>1</v>
      </c>
      <c r="B361" s="77">
        <v>0</v>
      </c>
      <c r="C361" s="77">
        <v>0</v>
      </c>
      <c r="D361" s="77">
        <v>0</v>
      </c>
      <c r="E361" s="77">
        <v>0</v>
      </c>
      <c r="F361" s="77">
        <v>0</v>
      </c>
      <c r="G361" s="77">
        <v>0</v>
      </c>
      <c r="H361" s="77">
        <v>0</v>
      </c>
      <c r="I361" s="77">
        <v>0</v>
      </c>
      <c r="J361" s="77">
        <v>0</v>
      </c>
      <c r="K361" s="77">
        <v>0</v>
      </c>
      <c r="L361" s="77">
        <v>0</v>
      </c>
      <c r="M361" s="77">
        <v>0</v>
      </c>
      <c r="N361" s="77">
        <v>0</v>
      </c>
      <c r="O361" s="77">
        <v>0</v>
      </c>
      <c r="P361" s="77">
        <v>0</v>
      </c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  <c r="AG361" s="77"/>
    </row>
    <row r="362" spans="1:33" x14ac:dyDescent="0.25">
      <c r="A362" s="77" t="s">
        <v>2</v>
      </c>
      <c r="B362" s="77">
        <v>0</v>
      </c>
      <c r="C362" s="77">
        <v>0</v>
      </c>
      <c r="D362" s="77">
        <v>0</v>
      </c>
      <c r="E362" s="77">
        <v>0</v>
      </c>
      <c r="F362" s="77">
        <v>0</v>
      </c>
      <c r="G362" s="77">
        <v>0</v>
      </c>
      <c r="H362" s="77">
        <v>0</v>
      </c>
      <c r="I362" s="77">
        <v>0</v>
      </c>
      <c r="J362" s="77">
        <v>0</v>
      </c>
      <c r="K362" s="77">
        <v>0</v>
      </c>
      <c r="L362" s="77">
        <v>0</v>
      </c>
      <c r="M362" s="77">
        <v>0</v>
      </c>
      <c r="N362" s="77">
        <v>0</v>
      </c>
      <c r="O362" s="77">
        <v>0</v>
      </c>
      <c r="P362" s="77">
        <v>0</v>
      </c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  <c r="AG362" s="77"/>
    </row>
    <row r="363" spans="1:33" x14ac:dyDescent="0.25">
      <c r="A363" s="77" t="s">
        <v>3</v>
      </c>
      <c r="B363" s="77">
        <v>180.82405499999999</v>
      </c>
      <c r="C363" s="77">
        <v>0</v>
      </c>
      <c r="D363" s="77">
        <v>180.82405499999999</v>
      </c>
      <c r="E363" s="77">
        <v>129.19873999999999</v>
      </c>
      <c r="F363" s="77">
        <v>0.51687463899999997</v>
      </c>
      <c r="G363" s="77">
        <v>28.875367499999999</v>
      </c>
      <c r="H363" s="77">
        <v>8.9976255699999994E-2</v>
      </c>
      <c r="I363" s="77">
        <v>0</v>
      </c>
      <c r="J363" s="77">
        <v>0</v>
      </c>
      <c r="K363" s="77">
        <v>22.1430969</v>
      </c>
      <c r="L363" s="77">
        <v>0</v>
      </c>
      <c r="M363" s="77">
        <v>0</v>
      </c>
      <c r="N363" s="77">
        <v>0</v>
      </c>
      <c r="O363" s="77">
        <v>0</v>
      </c>
      <c r="P363" s="77">
        <v>0</v>
      </c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  <c r="AG363" s="77"/>
    </row>
    <row r="364" spans="1:33" x14ac:dyDescent="0.25">
      <c r="A364" s="77" t="s">
        <v>4</v>
      </c>
      <c r="B364" s="77">
        <v>53.0734298</v>
      </c>
      <c r="C364" s="77">
        <v>0</v>
      </c>
      <c r="D364" s="77">
        <v>53.0734298</v>
      </c>
      <c r="E364" s="77">
        <v>24.257440299999999</v>
      </c>
      <c r="F364" s="77">
        <v>3.6239401400000002</v>
      </c>
      <c r="G364" s="77">
        <v>22.6583167</v>
      </c>
      <c r="H364" s="77">
        <v>1.1268339999999999</v>
      </c>
      <c r="I364" s="77">
        <v>0</v>
      </c>
      <c r="J364" s="77">
        <v>0</v>
      </c>
      <c r="K364" s="77">
        <v>0</v>
      </c>
      <c r="L364" s="77">
        <v>0</v>
      </c>
      <c r="M364" s="77">
        <v>1.4068987100000001</v>
      </c>
      <c r="N364" s="77">
        <v>0</v>
      </c>
      <c r="O364" s="77">
        <v>0</v>
      </c>
      <c r="P364" s="77">
        <v>0</v>
      </c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  <c r="AG364" s="77"/>
    </row>
    <row r="365" spans="1:33" x14ac:dyDescent="0.25">
      <c r="A365" s="77" t="s">
        <v>5</v>
      </c>
      <c r="B365" s="77">
        <v>22.1430969</v>
      </c>
      <c r="C365" s="77">
        <v>22.1430969</v>
      </c>
      <c r="D365" s="105">
        <v>0</v>
      </c>
      <c r="E365" s="77">
        <v>14.6649008</v>
      </c>
      <c r="F365" s="77">
        <v>2.66810495</v>
      </c>
      <c r="G365" s="77">
        <v>4.6202207499999997</v>
      </c>
      <c r="H365" s="77">
        <v>0.18987043000000001</v>
      </c>
      <c r="I365" s="77">
        <v>0</v>
      </c>
      <c r="J365" s="77">
        <v>0</v>
      </c>
      <c r="K365" s="77">
        <v>0</v>
      </c>
      <c r="L365" s="77">
        <v>0</v>
      </c>
      <c r="M365" s="77">
        <v>0</v>
      </c>
      <c r="N365" s="77">
        <v>0</v>
      </c>
      <c r="O365" s="77">
        <v>0</v>
      </c>
      <c r="P365" s="77">
        <v>0</v>
      </c>
      <c r="R365" s="77"/>
      <c r="S365" s="77"/>
      <c r="T365" s="77"/>
      <c r="U365" s="105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  <c r="AG365" s="77"/>
    </row>
    <row r="366" spans="1:33" x14ac:dyDescent="0.25">
      <c r="A366" s="77" t="s">
        <v>6</v>
      </c>
      <c r="B366" s="77">
        <v>0</v>
      </c>
      <c r="C366" s="77">
        <v>0</v>
      </c>
      <c r="D366" s="77">
        <v>0</v>
      </c>
      <c r="E366" s="77">
        <v>0</v>
      </c>
      <c r="F366" s="77">
        <v>0</v>
      </c>
      <c r="G366" s="77">
        <v>0</v>
      </c>
      <c r="H366" s="77">
        <v>0</v>
      </c>
      <c r="I366" s="77">
        <v>0</v>
      </c>
      <c r="J366" s="77">
        <v>0</v>
      </c>
      <c r="K366" s="77">
        <v>0</v>
      </c>
      <c r="L366" s="77">
        <v>0</v>
      </c>
      <c r="M366" s="77">
        <v>0</v>
      </c>
      <c r="N366" s="77">
        <v>0</v>
      </c>
      <c r="O366" s="77">
        <v>0</v>
      </c>
      <c r="P366" s="77">
        <v>0</v>
      </c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  <c r="AG366" s="77"/>
    </row>
    <row r="367" spans="1:33" x14ac:dyDescent="0.25">
      <c r="A367" s="77" t="s">
        <v>7</v>
      </c>
      <c r="B367" s="77">
        <v>1.4068987100000001</v>
      </c>
      <c r="C367" s="77">
        <v>1.4068987100000001</v>
      </c>
      <c r="D367" s="77">
        <v>0</v>
      </c>
      <c r="E367" s="77">
        <v>0</v>
      </c>
      <c r="F367" s="77">
        <v>1.0790677099999999</v>
      </c>
      <c r="G367" s="77">
        <v>0.22938649799999999</v>
      </c>
      <c r="H367" s="77">
        <v>9.8444492600000003E-2</v>
      </c>
      <c r="I367" s="77">
        <v>0</v>
      </c>
      <c r="J367" s="77">
        <v>0</v>
      </c>
      <c r="K367" s="77">
        <v>0</v>
      </c>
      <c r="L367" s="77">
        <v>0</v>
      </c>
      <c r="M367" s="77">
        <v>0</v>
      </c>
      <c r="N367" s="77">
        <v>0</v>
      </c>
      <c r="O367" s="77">
        <v>0</v>
      </c>
      <c r="P367" s="77">
        <v>0</v>
      </c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  <c r="AG367" s="77"/>
    </row>
    <row r="368" spans="1:33" x14ac:dyDescent="0.25">
      <c r="A368" s="77" t="s">
        <v>8</v>
      </c>
      <c r="B368" s="77">
        <v>0</v>
      </c>
      <c r="C368" s="77">
        <v>0</v>
      </c>
      <c r="D368" s="77">
        <v>0</v>
      </c>
      <c r="E368" s="77">
        <v>0</v>
      </c>
      <c r="F368" s="77">
        <v>0</v>
      </c>
      <c r="G368" s="77">
        <v>0</v>
      </c>
      <c r="H368" s="77">
        <v>0</v>
      </c>
      <c r="I368" s="77">
        <v>0</v>
      </c>
      <c r="J368" s="77">
        <v>0</v>
      </c>
      <c r="K368" s="77">
        <v>0</v>
      </c>
      <c r="L368" s="77">
        <v>0</v>
      </c>
      <c r="M368" s="77">
        <v>0</v>
      </c>
      <c r="N368" s="77">
        <v>0</v>
      </c>
      <c r="O368" s="77">
        <v>0</v>
      </c>
      <c r="P368" s="77">
        <v>0</v>
      </c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  <c r="AG368" s="77"/>
    </row>
    <row r="369" spans="1:33" x14ac:dyDescent="0.25">
      <c r="A369" s="77" t="s">
        <v>9</v>
      </c>
      <c r="B369" s="77">
        <v>0</v>
      </c>
      <c r="C369" s="77">
        <v>0</v>
      </c>
      <c r="D369" s="105">
        <v>0</v>
      </c>
      <c r="E369" s="77">
        <v>0</v>
      </c>
      <c r="F369" s="77">
        <v>0</v>
      </c>
      <c r="G369" s="77">
        <v>0</v>
      </c>
      <c r="H369" s="77">
        <v>0</v>
      </c>
      <c r="I369" s="77">
        <v>0</v>
      </c>
      <c r="J369" s="77">
        <v>0</v>
      </c>
      <c r="K369" s="77">
        <v>0</v>
      </c>
      <c r="L369" s="77">
        <v>0</v>
      </c>
      <c r="M369" s="77">
        <v>0</v>
      </c>
      <c r="N369" s="77">
        <v>0</v>
      </c>
      <c r="O369" s="77">
        <v>0</v>
      </c>
      <c r="P369" s="77">
        <v>0</v>
      </c>
      <c r="R369" s="77"/>
      <c r="S369" s="77"/>
      <c r="T369" s="77"/>
      <c r="U369" s="105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  <c r="AG369" s="77"/>
    </row>
    <row r="370" spans="1:33" x14ac:dyDescent="0.25">
      <c r="A370" s="77" t="s">
        <v>10</v>
      </c>
      <c r="B370" s="77">
        <v>0</v>
      </c>
      <c r="C370" s="77">
        <v>0</v>
      </c>
      <c r="D370" s="77">
        <v>0</v>
      </c>
      <c r="E370" s="77">
        <v>0</v>
      </c>
      <c r="F370" s="77">
        <v>0</v>
      </c>
      <c r="G370" s="77">
        <v>0</v>
      </c>
      <c r="H370" s="77">
        <v>0</v>
      </c>
      <c r="I370" s="77">
        <v>0</v>
      </c>
      <c r="J370" s="77">
        <v>0</v>
      </c>
      <c r="K370" s="77">
        <v>0</v>
      </c>
      <c r="L370" s="77">
        <v>0</v>
      </c>
      <c r="M370" s="77">
        <v>0</v>
      </c>
      <c r="N370" s="77">
        <v>0</v>
      </c>
      <c r="O370" s="77">
        <v>0</v>
      </c>
      <c r="P370" s="77">
        <v>0</v>
      </c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  <c r="AG370" s="77"/>
    </row>
    <row r="371" spans="1:33" x14ac:dyDescent="0.25">
      <c r="A371" s="77" t="s">
        <v>11</v>
      </c>
      <c r="B371" s="77">
        <v>0</v>
      </c>
      <c r="C371" s="77">
        <v>0</v>
      </c>
      <c r="D371" s="77">
        <v>0</v>
      </c>
      <c r="E371" s="77">
        <v>0</v>
      </c>
      <c r="F371" s="77">
        <v>0</v>
      </c>
      <c r="G371" s="77">
        <v>0</v>
      </c>
      <c r="H371" s="77">
        <v>0</v>
      </c>
      <c r="I371" s="77">
        <v>0</v>
      </c>
      <c r="J371" s="77">
        <v>0</v>
      </c>
      <c r="K371" s="77">
        <v>0</v>
      </c>
      <c r="L371" s="77">
        <v>0</v>
      </c>
      <c r="M371" s="77">
        <v>0</v>
      </c>
      <c r="N371" s="77">
        <v>0</v>
      </c>
      <c r="O371" s="77">
        <v>0</v>
      </c>
      <c r="P371" s="77">
        <v>0</v>
      </c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  <c r="AG371" s="77"/>
    </row>
    <row r="372" spans="1:33" x14ac:dyDescent="0.25">
      <c r="A372" s="77" t="s">
        <v>12</v>
      </c>
      <c r="B372" s="77">
        <v>0</v>
      </c>
      <c r="C372" s="77">
        <v>0</v>
      </c>
      <c r="D372" s="77">
        <v>0</v>
      </c>
      <c r="E372" s="77">
        <v>0</v>
      </c>
      <c r="F372" s="77">
        <v>0</v>
      </c>
      <c r="G372" s="77">
        <v>0</v>
      </c>
      <c r="H372" s="77">
        <v>0</v>
      </c>
      <c r="I372" s="77">
        <v>0</v>
      </c>
      <c r="J372" s="77">
        <v>0</v>
      </c>
      <c r="K372" s="77">
        <v>0</v>
      </c>
      <c r="L372" s="77">
        <v>0</v>
      </c>
      <c r="M372" s="77">
        <v>0</v>
      </c>
      <c r="N372" s="77">
        <v>0</v>
      </c>
      <c r="O372" s="77">
        <v>0</v>
      </c>
      <c r="P372" s="77">
        <v>0</v>
      </c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  <c r="AG372" s="77"/>
    </row>
    <row r="373" spans="1:33" x14ac:dyDescent="0.25">
      <c r="A373" s="77" t="s">
        <v>13</v>
      </c>
      <c r="B373" s="77">
        <v>0</v>
      </c>
      <c r="C373" s="77">
        <v>0</v>
      </c>
      <c r="D373" s="77">
        <v>0</v>
      </c>
      <c r="E373" s="77">
        <v>0</v>
      </c>
      <c r="F373" s="77">
        <v>0</v>
      </c>
      <c r="G373" s="77">
        <v>0</v>
      </c>
      <c r="H373" s="77">
        <v>0</v>
      </c>
      <c r="I373" s="77">
        <v>0</v>
      </c>
      <c r="J373" s="77">
        <v>0</v>
      </c>
      <c r="K373" s="77">
        <v>0</v>
      </c>
      <c r="L373" s="77">
        <v>0</v>
      </c>
      <c r="M373" s="77">
        <v>0</v>
      </c>
      <c r="N373" s="77">
        <v>0</v>
      </c>
      <c r="O373" s="77">
        <v>0</v>
      </c>
      <c r="P373" s="77">
        <v>0</v>
      </c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  <c r="AG373" s="77"/>
    </row>
    <row r="374" spans="1:33" x14ac:dyDescent="0.25">
      <c r="A374" s="77" t="s">
        <v>14</v>
      </c>
      <c r="B374" s="77">
        <v>0</v>
      </c>
      <c r="C374" s="77">
        <v>0</v>
      </c>
      <c r="D374" s="77">
        <v>0</v>
      </c>
      <c r="E374" s="77">
        <v>0</v>
      </c>
      <c r="F374" s="77">
        <v>0</v>
      </c>
      <c r="G374" s="77">
        <v>0</v>
      </c>
      <c r="H374" s="77">
        <v>0</v>
      </c>
      <c r="I374" s="77">
        <v>0</v>
      </c>
      <c r="J374" s="77">
        <v>0</v>
      </c>
      <c r="K374" s="77">
        <v>0</v>
      </c>
      <c r="L374" s="77">
        <v>0</v>
      </c>
      <c r="M374" s="77">
        <v>0</v>
      </c>
      <c r="N374" s="77">
        <v>0</v>
      </c>
      <c r="O374" s="77">
        <v>0</v>
      </c>
      <c r="P374" s="77">
        <v>0</v>
      </c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  <c r="AG374" s="77"/>
    </row>
    <row r="375" spans="1:33" x14ac:dyDescent="0.25">
      <c r="A375" s="77" t="s">
        <v>429</v>
      </c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  <c r="AG375" s="77"/>
    </row>
    <row r="376" spans="1:33" x14ac:dyDescent="0.25">
      <c r="A376" s="77" t="s">
        <v>360</v>
      </c>
      <c r="B376" s="77" t="s">
        <v>366</v>
      </c>
      <c r="C376" s="77" t="s">
        <v>367</v>
      </c>
      <c r="D376" s="77" t="s">
        <v>368</v>
      </c>
      <c r="E376" s="77" t="s">
        <v>21</v>
      </c>
      <c r="F376" s="77" t="s">
        <v>22</v>
      </c>
      <c r="G376" s="77" t="s">
        <v>23</v>
      </c>
      <c r="H376" s="77" t="s">
        <v>361</v>
      </c>
      <c r="I376" s="77" t="s">
        <v>25</v>
      </c>
      <c r="J376" s="77" t="s">
        <v>362</v>
      </c>
      <c r="K376" s="77" t="s">
        <v>5</v>
      </c>
      <c r="L376" s="77" t="s">
        <v>6</v>
      </c>
      <c r="M376" s="77" t="s">
        <v>7</v>
      </c>
      <c r="N376" s="77" t="s">
        <v>8</v>
      </c>
      <c r="O376" s="77" t="s">
        <v>9</v>
      </c>
      <c r="P376" s="77" t="s">
        <v>363</v>
      </c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  <c r="AG376" s="77"/>
    </row>
    <row r="377" spans="1:33" x14ac:dyDescent="0.25">
      <c r="A377" s="77" t="s">
        <v>364</v>
      </c>
      <c r="B377" s="77" t="s">
        <v>369</v>
      </c>
      <c r="C377" s="77" t="s">
        <v>369</v>
      </c>
      <c r="D377" s="77" t="s">
        <v>369</v>
      </c>
      <c r="E377" s="77" t="s">
        <v>369</v>
      </c>
      <c r="F377" s="77" t="s">
        <v>369</v>
      </c>
      <c r="G377" s="77" t="s">
        <v>369</v>
      </c>
      <c r="H377" s="77" t="s">
        <v>369</v>
      </c>
      <c r="I377" s="77" t="s">
        <v>369</v>
      </c>
      <c r="J377" s="77" t="s">
        <v>369</v>
      </c>
      <c r="K377" s="77" t="s">
        <v>369</v>
      </c>
      <c r="L377" s="77" t="s">
        <v>369</v>
      </c>
      <c r="M377" s="77" t="s">
        <v>369</v>
      </c>
      <c r="N377" s="77" t="s">
        <v>369</v>
      </c>
      <c r="O377" s="77" t="s">
        <v>369</v>
      </c>
      <c r="P377" s="77" t="s">
        <v>369</v>
      </c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  <c r="AG377" s="77"/>
    </row>
    <row r="378" spans="1:33" x14ac:dyDescent="0.25">
      <c r="A378" s="77" t="s">
        <v>1</v>
      </c>
      <c r="B378" s="77">
        <v>65.527071699999993</v>
      </c>
      <c r="C378" s="77">
        <v>0</v>
      </c>
      <c r="D378" s="77">
        <v>65.527071699999993</v>
      </c>
      <c r="E378" s="77">
        <v>35.699894</v>
      </c>
      <c r="F378" s="77">
        <v>0</v>
      </c>
      <c r="G378" s="77">
        <v>24.716579100000001</v>
      </c>
      <c r="H378" s="77">
        <v>0</v>
      </c>
      <c r="I378" s="77">
        <v>0</v>
      </c>
      <c r="J378" s="77">
        <v>0</v>
      </c>
      <c r="K378" s="77">
        <v>0</v>
      </c>
      <c r="L378" s="77">
        <v>0</v>
      </c>
      <c r="M378" s="77">
        <v>5.11059851</v>
      </c>
      <c r="N378" s="77">
        <v>0</v>
      </c>
      <c r="O378" s="77">
        <v>0</v>
      </c>
      <c r="P378" s="77">
        <v>0</v>
      </c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  <c r="AG378" s="77"/>
    </row>
    <row r="379" spans="1:33" x14ac:dyDescent="0.25">
      <c r="A379" s="77" t="s">
        <v>2</v>
      </c>
      <c r="B379" s="77">
        <v>7.41310745</v>
      </c>
      <c r="C379" s="77">
        <v>0</v>
      </c>
      <c r="D379" s="77">
        <v>7.41310745</v>
      </c>
      <c r="E379" s="77">
        <v>0</v>
      </c>
      <c r="F379" s="77">
        <v>0</v>
      </c>
      <c r="G379" s="77">
        <v>4.9566830899999997E-2</v>
      </c>
      <c r="H379" s="77">
        <v>0</v>
      </c>
      <c r="I379" s="77">
        <v>0</v>
      </c>
      <c r="J379" s="77">
        <v>0</v>
      </c>
      <c r="K379" s="77">
        <v>7.3635406100000003</v>
      </c>
      <c r="L379" s="77">
        <v>0</v>
      </c>
      <c r="M379" s="77">
        <v>0</v>
      </c>
      <c r="N379" s="77">
        <v>0</v>
      </c>
      <c r="O379" s="77">
        <v>0</v>
      </c>
      <c r="P379" s="77">
        <v>0</v>
      </c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  <c r="AG379" s="77"/>
    </row>
    <row r="380" spans="1:33" x14ac:dyDescent="0.25">
      <c r="A380" s="77" t="s">
        <v>3</v>
      </c>
      <c r="B380" s="77">
        <v>62.8845855</v>
      </c>
      <c r="C380" s="77">
        <v>0</v>
      </c>
      <c r="D380" s="77">
        <v>62.8845855</v>
      </c>
      <c r="E380" s="77">
        <v>39.472129700000004</v>
      </c>
      <c r="F380" s="77">
        <v>0.18809509599999999</v>
      </c>
      <c r="G380" s="77">
        <v>11.0668013</v>
      </c>
      <c r="H380" s="77">
        <v>3.94714782E-2</v>
      </c>
      <c r="I380" s="77">
        <v>0</v>
      </c>
      <c r="J380" s="77">
        <v>0</v>
      </c>
      <c r="K380" s="77">
        <v>3.69051616</v>
      </c>
      <c r="L380" s="77">
        <v>0</v>
      </c>
      <c r="M380" s="77">
        <v>0</v>
      </c>
      <c r="N380" s="77">
        <v>0</v>
      </c>
      <c r="O380" s="77">
        <v>0</v>
      </c>
      <c r="P380" s="77">
        <v>8.4275718499999996</v>
      </c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  <c r="AG380" s="77"/>
    </row>
    <row r="381" spans="1:33" x14ac:dyDescent="0.25">
      <c r="A381" s="77" t="s">
        <v>4</v>
      </c>
      <c r="B381" s="77">
        <v>132.077744</v>
      </c>
      <c r="C381" s="77">
        <v>0</v>
      </c>
      <c r="D381" s="77">
        <v>132.077744</v>
      </c>
      <c r="E381" s="77">
        <v>68.176825300000004</v>
      </c>
      <c r="F381" s="77">
        <v>11.062958999999999</v>
      </c>
      <c r="G381" s="77">
        <v>54.1122272</v>
      </c>
      <c r="H381" s="77">
        <v>2.4460274399999999</v>
      </c>
      <c r="I381" s="77">
        <v>0</v>
      </c>
      <c r="J381" s="77">
        <v>0</v>
      </c>
      <c r="K381" s="77">
        <v>0</v>
      </c>
      <c r="L381" s="77">
        <v>0</v>
      </c>
      <c r="M381" s="77">
        <v>2.4005575000000001</v>
      </c>
      <c r="N381" s="77">
        <v>0</v>
      </c>
      <c r="O381" s="77">
        <v>0</v>
      </c>
      <c r="P381" s="77">
        <v>-6.1208522399999996</v>
      </c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  <c r="AG381" s="77"/>
    </row>
    <row r="382" spans="1:33" x14ac:dyDescent="0.25">
      <c r="A382" s="77" t="s">
        <v>5</v>
      </c>
      <c r="B382" s="77">
        <v>46.7656931</v>
      </c>
      <c r="C382" s="77">
        <v>51.507523599999999</v>
      </c>
      <c r="D382" s="77">
        <v>-4.7418305099999998</v>
      </c>
      <c r="E382" s="77">
        <v>26.631374999999998</v>
      </c>
      <c r="F382" s="77">
        <v>5.0873697900000003</v>
      </c>
      <c r="G382" s="77">
        <v>14.6380015</v>
      </c>
      <c r="H382" s="77">
        <v>0.40894679299999998</v>
      </c>
      <c r="I382" s="77">
        <v>0</v>
      </c>
      <c r="J382" s="77">
        <v>0</v>
      </c>
      <c r="K382" s="77">
        <v>0</v>
      </c>
      <c r="L382" s="77">
        <v>0</v>
      </c>
      <c r="M382" s="77">
        <v>0</v>
      </c>
      <c r="N382" s="77">
        <v>0</v>
      </c>
      <c r="O382" s="77">
        <v>0</v>
      </c>
      <c r="P382" s="77">
        <v>0</v>
      </c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  <c r="AG382" s="77"/>
    </row>
    <row r="383" spans="1:33" x14ac:dyDescent="0.25">
      <c r="A383" s="77" t="s">
        <v>6</v>
      </c>
      <c r="B383" s="77">
        <v>0</v>
      </c>
      <c r="C383" s="77">
        <v>0</v>
      </c>
      <c r="D383" s="77">
        <v>0</v>
      </c>
      <c r="E383" s="77">
        <v>0</v>
      </c>
      <c r="F383" s="77">
        <v>0</v>
      </c>
      <c r="G383" s="77">
        <v>0</v>
      </c>
      <c r="H383" s="77">
        <v>0</v>
      </c>
      <c r="I383" s="77">
        <v>0</v>
      </c>
      <c r="J383" s="77">
        <v>0</v>
      </c>
      <c r="K383" s="77">
        <v>0</v>
      </c>
      <c r="L383" s="77">
        <v>0</v>
      </c>
      <c r="M383" s="77">
        <v>0</v>
      </c>
      <c r="N383" s="77">
        <v>0</v>
      </c>
      <c r="O383" s="77">
        <v>0</v>
      </c>
      <c r="P383" s="77">
        <v>0</v>
      </c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  <c r="AG383" s="77"/>
    </row>
    <row r="384" spans="1:33" x14ac:dyDescent="0.25">
      <c r="A384" s="77" t="s">
        <v>7</v>
      </c>
      <c r="B384" s="77">
        <v>12.2990707</v>
      </c>
      <c r="C384" s="77">
        <v>8.9144510100000005</v>
      </c>
      <c r="D384" s="77">
        <v>3.3846196800000001</v>
      </c>
      <c r="E384" s="77">
        <v>0</v>
      </c>
      <c r="F384" s="77">
        <v>10.015430200000001</v>
      </c>
      <c r="G384" s="77">
        <v>1.51770169</v>
      </c>
      <c r="H384" s="77">
        <v>0.76593881600000002</v>
      </c>
      <c r="I384" s="77">
        <v>0</v>
      </c>
      <c r="J384" s="77">
        <v>0</v>
      </c>
      <c r="K384" s="77">
        <v>0</v>
      </c>
      <c r="L384" s="77">
        <v>0</v>
      </c>
      <c r="M384" s="77">
        <v>0</v>
      </c>
      <c r="N384" s="77">
        <v>0</v>
      </c>
      <c r="O384" s="77">
        <v>0</v>
      </c>
      <c r="P384" s="77">
        <v>0</v>
      </c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  <c r="AG384" s="77"/>
    </row>
    <row r="385" spans="1:33" x14ac:dyDescent="0.25">
      <c r="A385" s="77" t="s">
        <v>8</v>
      </c>
      <c r="B385" s="77">
        <v>0</v>
      </c>
      <c r="C385" s="77">
        <v>0</v>
      </c>
      <c r="D385" s="77">
        <v>0</v>
      </c>
      <c r="E385" s="77">
        <v>0</v>
      </c>
      <c r="F385" s="77">
        <v>0</v>
      </c>
      <c r="G385" s="77">
        <v>0</v>
      </c>
      <c r="H385" s="77">
        <v>0</v>
      </c>
      <c r="I385" s="77">
        <v>0</v>
      </c>
      <c r="J385" s="77">
        <v>0</v>
      </c>
      <c r="K385" s="77">
        <v>0</v>
      </c>
      <c r="L385" s="77">
        <v>0</v>
      </c>
      <c r="M385" s="77">
        <v>0</v>
      </c>
      <c r="N385" s="77">
        <v>0</v>
      </c>
      <c r="O385" s="77">
        <v>0</v>
      </c>
      <c r="P385" s="77">
        <v>0</v>
      </c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  <c r="AG385" s="77"/>
    </row>
    <row r="386" spans="1:33" x14ac:dyDescent="0.25">
      <c r="A386" s="77" t="s">
        <v>9</v>
      </c>
      <c r="B386" s="77">
        <v>0</v>
      </c>
      <c r="C386" s="77">
        <v>0</v>
      </c>
      <c r="D386" s="77">
        <v>0</v>
      </c>
      <c r="E386" s="77">
        <v>0</v>
      </c>
      <c r="F386" s="77">
        <v>0</v>
      </c>
      <c r="G386" s="77">
        <v>0</v>
      </c>
      <c r="H386" s="77">
        <v>0</v>
      </c>
      <c r="I386" s="77">
        <v>0</v>
      </c>
      <c r="J386" s="77">
        <v>0</v>
      </c>
      <c r="K386" s="77">
        <v>0</v>
      </c>
      <c r="L386" s="77">
        <v>0</v>
      </c>
      <c r="M386" s="77">
        <v>0</v>
      </c>
      <c r="N386" s="77">
        <v>0</v>
      </c>
      <c r="O386" s="77">
        <v>0</v>
      </c>
      <c r="P386" s="77">
        <v>0</v>
      </c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  <c r="AG386" s="77"/>
    </row>
    <row r="387" spans="1:33" x14ac:dyDescent="0.25">
      <c r="A387" s="77" t="s">
        <v>10</v>
      </c>
      <c r="B387" s="77">
        <v>23.694942399999999</v>
      </c>
      <c r="C387" s="77">
        <v>0</v>
      </c>
      <c r="D387" s="77">
        <v>23.694942399999999</v>
      </c>
      <c r="E387" s="77">
        <v>0</v>
      </c>
      <c r="F387" s="77">
        <v>-1.9257500000000001</v>
      </c>
      <c r="G387" s="77">
        <v>2.7555161500000001E-2</v>
      </c>
      <c r="H387" s="77">
        <v>0</v>
      </c>
      <c r="I387" s="77">
        <v>0</v>
      </c>
      <c r="J387" s="77">
        <v>0</v>
      </c>
      <c r="K387" s="77">
        <v>25.5544923</v>
      </c>
      <c r="L387" s="77">
        <v>0</v>
      </c>
      <c r="M387" s="77">
        <v>3.8645017599999998E-2</v>
      </c>
      <c r="N387" s="77">
        <v>0</v>
      </c>
      <c r="O387" s="77">
        <v>0</v>
      </c>
      <c r="P387" s="77">
        <v>0</v>
      </c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  <c r="AG387" s="77"/>
    </row>
    <row r="388" spans="1:33" x14ac:dyDescent="0.25">
      <c r="A388" s="77" t="s">
        <v>11</v>
      </c>
      <c r="B388" s="77">
        <v>1.74011245</v>
      </c>
      <c r="C388" s="77">
        <v>0</v>
      </c>
      <c r="D388" s="77">
        <v>1.74011245</v>
      </c>
      <c r="E388" s="77">
        <v>0.79532591100000005</v>
      </c>
      <c r="F388" s="77">
        <v>0.11881771000000001</v>
      </c>
      <c r="G388" s="77">
        <v>0.74289562799999997</v>
      </c>
      <c r="H388" s="77">
        <v>3.6945377100000003E-2</v>
      </c>
      <c r="I388" s="77">
        <v>0</v>
      </c>
      <c r="J388" s="77">
        <v>0</v>
      </c>
      <c r="K388" s="77">
        <v>0</v>
      </c>
      <c r="L388" s="77">
        <v>0</v>
      </c>
      <c r="M388" s="77">
        <v>4.6127826400000002E-2</v>
      </c>
      <c r="N388" s="77">
        <v>0</v>
      </c>
      <c r="O388" s="77">
        <v>0</v>
      </c>
      <c r="P388" s="77">
        <v>0</v>
      </c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  <c r="AG388" s="77"/>
    </row>
    <row r="389" spans="1:33" x14ac:dyDescent="0.25">
      <c r="A389" s="77" t="s">
        <v>12</v>
      </c>
      <c r="B389" s="77">
        <v>70.971345999999997</v>
      </c>
      <c r="C389" s="77">
        <v>2.30671961</v>
      </c>
      <c r="D389" s="77">
        <v>68.664626299999995</v>
      </c>
      <c r="E389" s="77">
        <v>55.053475900000002</v>
      </c>
      <c r="F389" s="77">
        <v>0.81887373100000005</v>
      </c>
      <c r="G389" s="77">
        <v>11.354708499999999</v>
      </c>
      <c r="H389" s="77">
        <v>0.234534037</v>
      </c>
      <c r="I389" s="77">
        <v>0</v>
      </c>
      <c r="J389" s="77">
        <v>0</v>
      </c>
      <c r="K389" s="77">
        <v>3.1652741600000001</v>
      </c>
      <c r="L389" s="77">
        <v>0</v>
      </c>
      <c r="M389" s="77">
        <v>0.34447958699999998</v>
      </c>
      <c r="N389" s="77">
        <v>0</v>
      </c>
      <c r="O389" s="77">
        <v>0</v>
      </c>
      <c r="P389" s="77">
        <v>0</v>
      </c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  <c r="AG389" s="77"/>
    </row>
    <row r="390" spans="1:33" x14ac:dyDescent="0.25">
      <c r="A390" s="77" t="s">
        <v>13</v>
      </c>
      <c r="B390" s="77">
        <v>62.720110900000002</v>
      </c>
      <c r="C390" s="77">
        <v>0</v>
      </c>
      <c r="D390" s="77">
        <v>62.720110900000002</v>
      </c>
      <c r="E390" s="77">
        <v>44.746603399999998</v>
      </c>
      <c r="F390" s="77">
        <v>5.7312245500000003</v>
      </c>
      <c r="G390" s="77">
        <v>0</v>
      </c>
      <c r="H390" s="77">
        <v>0</v>
      </c>
      <c r="I390" s="77">
        <v>0</v>
      </c>
      <c r="J390" s="77">
        <v>0</v>
      </c>
      <c r="K390" s="77">
        <v>11.7337004</v>
      </c>
      <c r="L390" s="77">
        <v>0</v>
      </c>
      <c r="M390" s="77">
        <v>0.50858250000000005</v>
      </c>
      <c r="N390" s="77">
        <v>0</v>
      </c>
      <c r="O390" s="77">
        <v>0</v>
      </c>
      <c r="P390" s="77">
        <v>0</v>
      </c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  <c r="AG390" s="77"/>
    </row>
    <row r="391" spans="1:33" x14ac:dyDescent="0.25">
      <c r="A391" s="77" t="s">
        <v>14</v>
      </c>
      <c r="B391" s="77">
        <v>22.610575600000001</v>
      </c>
      <c r="C391" s="77">
        <v>0</v>
      </c>
      <c r="D391" s="77">
        <v>22.610575600000001</v>
      </c>
      <c r="E391" s="77">
        <v>7.6899741099999996</v>
      </c>
      <c r="F391" s="77">
        <v>1.0234386200000001</v>
      </c>
      <c r="G391" s="77">
        <v>13.3486277</v>
      </c>
      <c r="H391" s="77">
        <v>8.3075126499999999E-2</v>
      </c>
      <c r="I391" s="105">
        <v>0</v>
      </c>
      <c r="J391" s="77">
        <v>0</v>
      </c>
      <c r="K391" s="77">
        <v>0</v>
      </c>
      <c r="L391" s="77">
        <v>0</v>
      </c>
      <c r="M391" s="77">
        <v>0.46546005899999998</v>
      </c>
      <c r="N391" s="77">
        <v>0</v>
      </c>
      <c r="O391" s="77">
        <v>0</v>
      </c>
      <c r="P391" s="77">
        <v>0</v>
      </c>
      <c r="R391" s="77"/>
      <c r="S391" s="77"/>
      <c r="T391" s="77"/>
      <c r="U391" s="77"/>
      <c r="V391" s="77"/>
      <c r="W391" s="77"/>
      <c r="X391" s="77"/>
      <c r="Y391" s="77"/>
      <c r="Z391" s="105"/>
      <c r="AA391" s="77"/>
      <c r="AB391" s="77"/>
      <c r="AC391" s="77"/>
      <c r="AD391" s="77"/>
      <c r="AE391" s="77"/>
      <c r="AF391" s="77"/>
      <c r="AG391" s="77"/>
    </row>
    <row r="392" spans="1:33" x14ac:dyDescent="0.25">
      <c r="A392" s="77" t="s">
        <v>430</v>
      </c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  <c r="AG392" s="77"/>
    </row>
    <row r="393" spans="1:33" x14ac:dyDescent="0.25">
      <c r="A393" s="77" t="s">
        <v>360</v>
      </c>
      <c r="B393" s="77" t="s">
        <v>18</v>
      </c>
      <c r="C393" s="77" t="s">
        <v>19</v>
      </c>
      <c r="D393" s="77" t="s">
        <v>20</v>
      </c>
      <c r="E393" s="77" t="s">
        <v>21</v>
      </c>
      <c r="F393" s="77" t="s">
        <v>22</v>
      </c>
      <c r="G393" s="77" t="s">
        <v>23</v>
      </c>
      <c r="H393" s="77" t="s">
        <v>361</v>
      </c>
      <c r="I393" s="77" t="s">
        <v>25</v>
      </c>
      <c r="J393" s="77" t="s">
        <v>362</v>
      </c>
      <c r="K393" s="77" t="s">
        <v>5</v>
      </c>
      <c r="L393" s="77" t="s">
        <v>6</v>
      </c>
      <c r="M393" s="77" t="s">
        <v>7</v>
      </c>
      <c r="N393" s="77" t="s">
        <v>8</v>
      </c>
      <c r="O393" s="77" t="s">
        <v>9</v>
      </c>
      <c r="P393" s="77" t="s">
        <v>363</v>
      </c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</row>
    <row r="394" spans="1:33" x14ac:dyDescent="0.25">
      <c r="A394" s="77" t="s">
        <v>364</v>
      </c>
      <c r="B394" s="77" t="s">
        <v>370</v>
      </c>
      <c r="C394" s="77" t="s">
        <v>370</v>
      </c>
      <c r="D394" s="77" t="s">
        <v>370</v>
      </c>
      <c r="E394" s="77" t="s">
        <v>370</v>
      </c>
      <c r="F394" s="77" t="s">
        <v>370</v>
      </c>
      <c r="G394" s="77" t="s">
        <v>370</v>
      </c>
      <c r="H394" s="77" t="s">
        <v>370</v>
      </c>
      <c r="I394" s="77" t="s">
        <v>370</v>
      </c>
      <c r="J394" s="77" t="s">
        <v>370</v>
      </c>
      <c r="K394" s="77" t="s">
        <v>370</v>
      </c>
      <c r="L394" s="77" t="s">
        <v>370</v>
      </c>
      <c r="M394" s="77" t="s">
        <v>370</v>
      </c>
      <c r="N394" s="77" t="s">
        <v>370</v>
      </c>
      <c r="O394" s="77" t="s">
        <v>370</v>
      </c>
      <c r="P394" s="77" t="s">
        <v>370</v>
      </c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  <c r="AG394" s="77"/>
    </row>
    <row r="395" spans="1:33" x14ac:dyDescent="0.25">
      <c r="A395" s="77" t="s">
        <v>1</v>
      </c>
      <c r="B395" s="77">
        <v>0</v>
      </c>
      <c r="C395" s="77">
        <v>0</v>
      </c>
      <c r="D395" s="77">
        <v>0</v>
      </c>
      <c r="E395" s="77">
        <v>0</v>
      </c>
      <c r="F395" s="77">
        <v>0</v>
      </c>
      <c r="G395" s="77">
        <v>0</v>
      </c>
      <c r="H395" s="77">
        <v>0</v>
      </c>
      <c r="I395" s="77">
        <v>0</v>
      </c>
      <c r="J395" s="77">
        <v>0</v>
      </c>
      <c r="K395" s="77">
        <v>0</v>
      </c>
      <c r="L395" s="77">
        <v>0</v>
      </c>
      <c r="M395" s="77">
        <v>0</v>
      </c>
      <c r="N395" s="77">
        <v>0</v>
      </c>
      <c r="O395" s="77">
        <v>0</v>
      </c>
      <c r="P395" s="77">
        <v>0</v>
      </c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  <c r="AG395" s="77"/>
    </row>
    <row r="396" spans="1:33" x14ac:dyDescent="0.25">
      <c r="A396" s="77" t="s">
        <v>2</v>
      </c>
      <c r="B396" s="77">
        <v>1.6186438000000001</v>
      </c>
      <c r="C396" s="77">
        <v>0</v>
      </c>
      <c r="D396" s="77">
        <v>1.6186438000000001</v>
      </c>
      <c r="E396" s="77">
        <v>0</v>
      </c>
      <c r="F396" s="77">
        <v>0</v>
      </c>
      <c r="G396" s="77">
        <v>0</v>
      </c>
      <c r="H396" s="77">
        <v>0</v>
      </c>
      <c r="I396" s="77">
        <v>0</v>
      </c>
      <c r="J396" s="77">
        <v>0</v>
      </c>
      <c r="K396" s="77">
        <v>1.6186438000000001</v>
      </c>
      <c r="L396" s="77">
        <v>0</v>
      </c>
      <c r="M396" s="77">
        <v>0</v>
      </c>
      <c r="N396" s="77">
        <v>0</v>
      </c>
      <c r="O396" s="77">
        <v>0</v>
      </c>
      <c r="P396" s="77">
        <v>0</v>
      </c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  <c r="AG396" s="77"/>
    </row>
    <row r="397" spans="1:33" x14ac:dyDescent="0.25">
      <c r="A397" s="77" t="s">
        <v>3</v>
      </c>
      <c r="B397" s="77">
        <v>3.5724602600000002</v>
      </c>
      <c r="C397" s="77">
        <v>0</v>
      </c>
      <c r="D397" s="77">
        <v>3.5724602600000002</v>
      </c>
      <c r="E397" s="77">
        <v>2.5525219099999998</v>
      </c>
      <c r="F397" s="77">
        <v>1.02116619E-2</v>
      </c>
      <c r="G397" s="77">
        <v>0.570477766</v>
      </c>
      <c r="H397" s="77">
        <v>1.7776207800000001E-3</v>
      </c>
      <c r="I397" s="77">
        <v>0</v>
      </c>
      <c r="J397" s="77">
        <v>0</v>
      </c>
      <c r="K397" s="77">
        <v>0.43747129699999998</v>
      </c>
      <c r="L397" s="77">
        <v>0</v>
      </c>
      <c r="M397" s="77">
        <v>0</v>
      </c>
      <c r="N397" s="77">
        <v>0</v>
      </c>
      <c r="O397" s="77">
        <v>0</v>
      </c>
      <c r="P397" s="77">
        <v>0</v>
      </c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  <c r="AG397" s="77"/>
    </row>
    <row r="398" spans="1:33" x14ac:dyDescent="0.25">
      <c r="A398" s="77" t="s">
        <v>4</v>
      </c>
      <c r="B398" s="77">
        <v>3.1322024100000001</v>
      </c>
      <c r="C398" s="77">
        <v>0</v>
      </c>
      <c r="D398" s="77">
        <v>3.1322024100000001</v>
      </c>
      <c r="E398" s="77">
        <v>1.4315866399999999</v>
      </c>
      <c r="F398" s="77">
        <v>0.21387187699999999</v>
      </c>
      <c r="G398" s="77">
        <v>1.3372121299999999</v>
      </c>
      <c r="H398" s="77">
        <v>6.6501678800000005E-2</v>
      </c>
      <c r="I398" s="77">
        <v>0</v>
      </c>
      <c r="J398" s="77">
        <v>0</v>
      </c>
      <c r="K398" s="77">
        <v>0</v>
      </c>
      <c r="L398" s="77">
        <v>0</v>
      </c>
      <c r="M398" s="77">
        <v>8.3030087500000002E-2</v>
      </c>
      <c r="N398" s="77">
        <v>0</v>
      </c>
      <c r="O398" s="77">
        <v>0</v>
      </c>
      <c r="P398" s="77">
        <v>0</v>
      </c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  <c r="AG398" s="77"/>
    </row>
    <row r="399" spans="1:33" x14ac:dyDescent="0.25">
      <c r="A399" s="77" t="s">
        <v>5</v>
      </c>
      <c r="B399" s="77">
        <v>1.6186438000000001</v>
      </c>
      <c r="C399" s="77">
        <v>2.0561151</v>
      </c>
      <c r="D399" s="77">
        <v>-0.43747129699999998</v>
      </c>
      <c r="E399" s="77">
        <v>1.0719932599999999</v>
      </c>
      <c r="F399" s="77">
        <v>0.19503647299999999</v>
      </c>
      <c r="G399" s="77">
        <v>0.33773467600000001</v>
      </c>
      <c r="H399" s="77">
        <v>1.38793862E-2</v>
      </c>
      <c r="I399" s="77">
        <v>0</v>
      </c>
      <c r="J399" s="77">
        <v>0</v>
      </c>
      <c r="K399" s="77">
        <v>0</v>
      </c>
      <c r="L399" s="77">
        <v>0</v>
      </c>
      <c r="M399" s="77">
        <v>0</v>
      </c>
      <c r="N399" s="77">
        <v>0</v>
      </c>
      <c r="O399" s="77">
        <v>0</v>
      </c>
      <c r="P399" s="77">
        <v>0</v>
      </c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  <c r="AG399" s="77"/>
    </row>
    <row r="400" spans="1:33" x14ac:dyDescent="0.25">
      <c r="A400" s="77" t="s">
        <v>6</v>
      </c>
      <c r="B400" s="77">
        <v>0</v>
      </c>
      <c r="C400" s="77">
        <v>0</v>
      </c>
      <c r="D400" s="77">
        <v>0</v>
      </c>
      <c r="E400" s="77">
        <v>0</v>
      </c>
      <c r="F400" s="77">
        <v>0</v>
      </c>
      <c r="G400" s="77">
        <v>0</v>
      </c>
      <c r="H400" s="77">
        <v>0</v>
      </c>
      <c r="I400" s="77">
        <v>0</v>
      </c>
      <c r="J400" s="77">
        <v>0</v>
      </c>
      <c r="K400" s="77">
        <v>0</v>
      </c>
      <c r="L400" s="77">
        <v>0</v>
      </c>
      <c r="M400" s="77">
        <v>0</v>
      </c>
      <c r="N400" s="77">
        <v>0</v>
      </c>
      <c r="O400" s="77">
        <v>0</v>
      </c>
      <c r="P400" s="77">
        <v>0</v>
      </c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  <c r="AG400" s="77"/>
    </row>
    <row r="401" spans="1:33" x14ac:dyDescent="0.25">
      <c r="A401" s="77" t="s">
        <v>7</v>
      </c>
      <c r="B401" s="77">
        <v>0.212407027</v>
      </c>
      <c r="C401" s="77">
        <v>8.3030087500000002E-2</v>
      </c>
      <c r="D401" s="77">
        <v>0.129376939</v>
      </c>
      <c r="E401" s="77">
        <v>0</v>
      </c>
      <c r="F401" s="77">
        <v>0.162912628</v>
      </c>
      <c r="G401" s="77">
        <v>3.46317072E-2</v>
      </c>
      <c r="H401" s="77">
        <v>1.4862691900000001E-2</v>
      </c>
      <c r="I401" s="77">
        <v>0</v>
      </c>
      <c r="J401" s="77">
        <v>0</v>
      </c>
      <c r="K401" s="77">
        <v>0</v>
      </c>
      <c r="L401" s="77">
        <v>0</v>
      </c>
      <c r="M401" s="77">
        <v>0</v>
      </c>
      <c r="N401" s="77">
        <v>0</v>
      </c>
      <c r="O401" s="77">
        <v>0</v>
      </c>
      <c r="P401" s="77">
        <v>0</v>
      </c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  <c r="AG401" s="77"/>
    </row>
    <row r="402" spans="1:33" x14ac:dyDescent="0.25">
      <c r="A402" s="77" t="s">
        <v>8</v>
      </c>
      <c r="B402" s="77">
        <v>0</v>
      </c>
      <c r="C402" s="77">
        <v>0</v>
      </c>
      <c r="D402" s="77">
        <v>0</v>
      </c>
      <c r="E402" s="77">
        <v>0</v>
      </c>
      <c r="F402" s="77">
        <v>0</v>
      </c>
      <c r="G402" s="77">
        <v>0</v>
      </c>
      <c r="H402" s="77">
        <v>0</v>
      </c>
      <c r="I402" s="77">
        <v>0</v>
      </c>
      <c r="J402" s="77">
        <v>0</v>
      </c>
      <c r="K402" s="77">
        <v>0</v>
      </c>
      <c r="L402" s="77">
        <v>0</v>
      </c>
      <c r="M402" s="77">
        <v>0</v>
      </c>
      <c r="N402" s="77">
        <v>0</v>
      </c>
      <c r="O402" s="77">
        <v>0</v>
      </c>
      <c r="P402" s="77">
        <v>0</v>
      </c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  <c r="AG402" s="77"/>
    </row>
    <row r="403" spans="1:33" x14ac:dyDescent="0.25">
      <c r="A403" s="77" t="s">
        <v>9</v>
      </c>
      <c r="B403" s="77">
        <v>0</v>
      </c>
      <c r="C403" s="77">
        <v>0</v>
      </c>
      <c r="D403" s="77">
        <v>0</v>
      </c>
      <c r="E403" s="77">
        <v>0</v>
      </c>
      <c r="F403" s="77">
        <v>0</v>
      </c>
      <c r="G403" s="77">
        <v>0</v>
      </c>
      <c r="H403" s="77">
        <v>0</v>
      </c>
      <c r="I403" s="77">
        <v>0</v>
      </c>
      <c r="J403" s="77">
        <v>0</v>
      </c>
      <c r="K403" s="77">
        <v>0</v>
      </c>
      <c r="L403" s="77">
        <v>0</v>
      </c>
      <c r="M403" s="77">
        <v>0</v>
      </c>
      <c r="N403" s="77">
        <v>0</v>
      </c>
      <c r="O403" s="77">
        <v>0</v>
      </c>
      <c r="P403" s="77">
        <v>0</v>
      </c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</row>
    <row r="404" spans="1:33" x14ac:dyDescent="0.25">
      <c r="A404" s="77" t="s">
        <v>10</v>
      </c>
      <c r="B404" s="77">
        <v>0</v>
      </c>
      <c r="C404" s="77">
        <v>0</v>
      </c>
      <c r="D404" s="77">
        <v>0</v>
      </c>
      <c r="E404" s="77">
        <v>0</v>
      </c>
      <c r="F404" s="77">
        <v>0</v>
      </c>
      <c r="G404" s="77">
        <v>0</v>
      </c>
      <c r="H404" s="77">
        <v>0</v>
      </c>
      <c r="I404" s="77">
        <v>0</v>
      </c>
      <c r="J404" s="77">
        <v>0</v>
      </c>
      <c r="K404" s="77">
        <v>0</v>
      </c>
      <c r="L404" s="77">
        <v>0</v>
      </c>
      <c r="M404" s="77">
        <v>0</v>
      </c>
      <c r="N404" s="77">
        <v>0</v>
      </c>
      <c r="O404" s="77">
        <v>0</v>
      </c>
      <c r="P404" s="77">
        <v>0</v>
      </c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</row>
    <row r="405" spans="1:33" x14ac:dyDescent="0.25">
      <c r="A405" s="77" t="s">
        <v>11</v>
      </c>
      <c r="B405" s="77">
        <v>0</v>
      </c>
      <c r="C405" s="77">
        <v>0</v>
      </c>
      <c r="D405" s="77">
        <v>0</v>
      </c>
      <c r="E405" s="77">
        <v>0</v>
      </c>
      <c r="F405" s="77">
        <v>0</v>
      </c>
      <c r="G405" s="77">
        <v>0</v>
      </c>
      <c r="H405" s="77">
        <v>0</v>
      </c>
      <c r="I405" s="77">
        <v>0</v>
      </c>
      <c r="J405" s="77">
        <v>0</v>
      </c>
      <c r="K405" s="77">
        <v>0</v>
      </c>
      <c r="L405" s="77">
        <v>0</v>
      </c>
      <c r="M405" s="77">
        <v>0</v>
      </c>
      <c r="N405" s="77">
        <v>0</v>
      </c>
      <c r="O405" s="77">
        <v>0</v>
      </c>
      <c r="P405" s="77">
        <v>0</v>
      </c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  <c r="AG405" s="77"/>
    </row>
    <row r="406" spans="1:33" x14ac:dyDescent="0.25">
      <c r="A406" s="77" t="s">
        <v>12</v>
      </c>
      <c r="B406" s="77">
        <v>0</v>
      </c>
      <c r="C406" s="77">
        <v>0</v>
      </c>
      <c r="D406" s="77">
        <v>0</v>
      </c>
      <c r="E406" s="77">
        <v>0</v>
      </c>
      <c r="F406" s="77">
        <v>0</v>
      </c>
      <c r="G406" s="77">
        <v>0</v>
      </c>
      <c r="H406" s="77">
        <v>0</v>
      </c>
      <c r="I406" s="77">
        <v>0</v>
      </c>
      <c r="J406" s="77">
        <v>0</v>
      </c>
      <c r="K406" s="77">
        <v>0</v>
      </c>
      <c r="L406" s="77">
        <v>0</v>
      </c>
      <c r="M406" s="77">
        <v>0</v>
      </c>
      <c r="N406" s="77">
        <v>0</v>
      </c>
      <c r="O406" s="77">
        <v>0</v>
      </c>
      <c r="P406" s="77">
        <v>0</v>
      </c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  <c r="AG406" s="77"/>
    </row>
    <row r="407" spans="1:33" x14ac:dyDescent="0.25">
      <c r="A407" s="77" t="s">
        <v>13</v>
      </c>
      <c r="B407" s="77">
        <v>0</v>
      </c>
      <c r="C407" s="77">
        <v>0</v>
      </c>
      <c r="D407" s="77">
        <v>0</v>
      </c>
      <c r="E407" s="77">
        <v>0</v>
      </c>
      <c r="F407" s="77">
        <v>0</v>
      </c>
      <c r="G407" s="77">
        <v>0</v>
      </c>
      <c r="H407" s="77">
        <v>0</v>
      </c>
      <c r="I407" s="77">
        <v>0</v>
      </c>
      <c r="J407" s="77">
        <v>0</v>
      </c>
      <c r="K407" s="77">
        <v>0</v>
      </c>
      <c r="L407" s="77">
        <v>0</v>
      </c>
      <c r="M407" s="77">
        <v>0</v>
      </c>
      <c r="N407" s="77">
        <v>0</v>
      </c>
      <c r="O407" s="77">
        <v>0</v>
      </c>
      <c r="P407" s="77">
        <v>0</v>
      </c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  <c r="AG407" s="77"/>
    </row>
    <row r="408" spans="1:33" x14ac:dyDescent="0.25">
      <c r="A408" s="77" t="s">
        <v>14</v>
      </c>
      <c r="B408" s="77">
        <v>0</v>
      </c>
      <c r="C408" s="77">
        <v>0</v>
      </c>
      <c r="D408" s="77">
        <v>0</v>
      </c>
      <c r="E408" s="77">
        <v>0</v>
      </c>
      <c r="F408" s="77">
        <v>0</v>
      </c>
      <c r="G408" s="77">
        <v>0</v>
      </c>
      <c r="H408" s="77">
        <v>0</v>
      </c>
      <c r="I408" s="77">
        <v>0</v>
      </c>
      <c r="J408" s="77">
        <v>0</v>
      </c>
      <c r="K408" s="77">
        <v>0</v>
      </c>
      <c r="L408" s="77">
        <v>0</v>
      </c>
      <c r="M408" s="77">
        <v>0</v>
      </c>
      <c r="N408" s="77">
        <v>0</v>
      </c>
      <c r="O408" s="77">
        <v>0</v>
      </c>
      <c r="P408" s="77">
        <v>0</v>
      </c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  <c r="AG408" s="77"/>
    </row>
    <row r="409" spans="1:33" x14ac:dyDescent="0.25">
      <c r="A409" s="77" t="s">
        <v>431</v>
      </c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  <c r="AG409" s="77"/>
    </row>
    <row r="410" spans="1:33" x14ac:dyDescent="0.25">
      <c r="A410" s="77" t="s">
        <v>360</v>
      </c>
      <c r="B410" s="77" t="s">
        <v>18</v>
      </c>
      <c r="C410" s="77" t="s">
        <v>19</v>
      </c>
      <c r="D410" s="77" t="s">
        <v>20</v>
      </c>
      <c r="E410" s="77" t="s">
        <v>21</v>
      </c>
      <c r="F410" s="77" t="s">
        <v>22</v>
      </c>
      <c r="G410" s="77" t="s">
        <v>23</v>
      </c>
      <c r="H410" s="77" t="s">
        <v>361</v>
      </c>
      <c r="I410" s="77" t="s">
        <v>25</v>
      </c>
      <c r="J410" s="77" t="s">
        <v>362</v>
      </c>
      <c r="K410" s="77" t="s">
        <v>5</v>
      </c>
      <c r="L410" s="77" t="s">
        <v>6</v>
      </c>
      <c r="M410" s="77" t="s">
        <v>7</v>
      </c>
      <c r="N410" s="77" t="s">
        <v>8</v>
      </c>
      <c r="O410" s="77" t="s">
        <v>9</v>
      </c>
      <c r="P410" s="77" t="s">
        <v>363</v>
      </c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  <c r="AG410" s="77"/>
    </row>
    <row r="411" spans="1:33" x14ac:dyDescent="0.25">
      <c r="A411" s="77" t="s">
        <v>364</v>
      </c>
      <c r="B411" s="77" t="s">
        <v>365</v>
      </c>
      <c r="C411" s="77" t="s">
        <v>365</v>
      </c>
      <c r="D411" s="77" t="s">
        <v>365</v>
      </c>
      <c r="E411" s="77" t="s">
        <v>365</v>
      </c>
      <c r="F411" s="77" t="s">
        <v>365</v>
      </c>
      <c r="G411" s="77" t="s">
        <v>365</v>
      </c>
      <c r="H411" s="77" t="s">
        <v>365</v>
      </c>
      <c r="I411" s="77" t="s">
        <v>365</v>
      </c>
      <c r="J411" s="77" t="s">
        <v>365</v>
      </c>
      <c r="K411" s="77" t="s">
        <v>365</v>
      </c>
      <c r="L411" s="77" t="s">
        <v>365</v>
      </c>
      <c r="M411" s="77" t="s">
        <v>365</v>
      </c>
      <c r="N411" s="77" t="s">
        <v>365</v>
      </c>
      <c r="O411" s="77" t="s">
        <v>365</v>
      </c>
      <c r="P411" s="77" t="s">
        <v>365</v>
      </c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  <c r="AG411" s="77"/>
    </row>
    <row r="412" spans="1:33" x14ac:dyDescent="0.25">
      <c r="A412" s="77" t="s">
        <v>1</v>
      </c>
      <c r="B412" s="77">
        <v>0</v>
      </c>
      <c r="C412" s="77">
        <v>0</v>
      </c>
      <c r="D412" s="77">
        <v>0</v>
      </c>
      <c r="E412" s="77">
        <v>0</v>
      </c>
      <c r="F412" s="77">
        <v>0</v>
      </c>
      <c r="G412" s="77">
        <v>0</v>
      </c>
      <c r="H412" s="77">
        <v>0</v>
      </c>
      <c r="I412" s="77">
        <v>0</v>
      </c>
      <c r="J412" s="77">
        <v>0</v>
      </c>
      <c r="K412" s="77">
        <v>0</v>
      </c>
      <c r="L412" s="77">
        <v>0</v>
      </c>
      <c r="M412" s="77">
        <v>0</v>
      </c>
      <c r="N412" s="77">
        <v>0</v>
      </c>
      <c r="O412" s="77">
        <v>0</v>
      </c>
      <c r="P412" s="77">
        <v>0</v>
      </c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  <c r="AG412" s="77"/>
    </row>
    <row r="413" spans="1:33" x14ac:dyDescent="0.25">
      <c r="A413" s="77" t="s">
        <v>2</v>
      </c>
      <c r="B413" s="77">
        <v>0</v>
      </c>
      <c r="C413" s="77">
        <v>0</v>
      </c>
      <c r="D413" s="77">
        <v>0</v>
      </c>
      <c r="E413" s="77">
        <v>0</v>
      </c>
      <c r="F413" s="77">
        <v>0</v>
      </c>
      <c r="G413" s="77">
        <v>0</v>
      </c>
      <c r="H413" s="77">
        <v>0</v>
      </c>
      <c r="I413" s="77">
        <v>0</v>
      </c>
      <c r="J413" s="77">
        <v>0</v>
      </c>
      <c r="K413" s="77">
        <v>0</v>
      </c>
      <c r="L413" s="77">
        <v>0</v>
      </c>
      <c r="M413" s="77">
        <v>0</v>
      </c>
      <c r="N413" s="77">
        <v>0</v>
      </c>
      <c r="O413" s="77">
        <v>0</v>
      </c>
      <c r="P413" s="77">
        <v>0</v>
      </c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  <c r="AG413" s="77"/>
    </row>
    <row r="414" spans="1:33" x14ac:dyDescent="0.25">
      <c r="A414" s="77" t="s">
        <v>3</v>
      </c>
      <c r="B414" s="77">
        <v>176.48585</v>
      </c>
      <c r="C414" s="77">
        <v>0</v>
      </c>
      <c r="D414" s="77">
        <v>176.48585</v>
      </c>
      <c r="E414" s="77">
        <v>126.59074200000001</v>
      </c>
      <c r="F414" s="77">
        <v>0.50668152099999997</v>
      </c>
      <c r="G414" s="77">
        <v>27.679166200000001</v>
      </c>
      <c r="H414" s="77">
        <v>8.7682340400000003E-2</v>
      </c>
      <c r="I414" s="77">
        <v>0</v>
      </c>
      <c r="J414" s="77">
        <v>0</v>
      </c>
      <c r="K414" s="77">
        <v>21.621577500000001</v>
      </c>
      <c r="L414" s="77">
        <v>0</v>
      </c>
      <c r="M414" s="77">
        <v>0</v>
      </c>
      <c r="N414" s="77">
        <v>0</v>
      </c>
      <c r="O414" s="77">
        <v>0</v>
      </c>
      <c r="P414" s="77">
        <v>0</v>
      </c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  <c r="AG414" s="77"/>
    </row>
    <row r="415" spans="1:33" x14ac:dyDescent="0.25">
      <c r="A415" s="77" t="s">
        <v>4</v>
      </c>
      <c r="B415" s="77">
        <v>41.751145800000003</v>
      </c>
      <c r="C415" s="77">
        <v>0</v>
      </c>
      <c r="D415" s="77">
        <v>41.751145800000003</v>
      </c>
      <c r="E415" s="77">
        <v>19.087821900000002</v>
      </c>
      <c r="F415" s="77">
        <v>2.8516250300000001</v>
      </c>
      <c r="G415" s="77">
        <v>17.836886400000001</v>
      </c>
      <c r="H415" s="77">
        <v>0.88668905099999995</v>
      </c>
      <c r="I415" s="77">
        <v>0</v>
      </c>
      <c r="J415" s="77">
        <v>0</v>
      </c>
      <c r="K415" s="77">
        <v>0</v>
      </c>
      <c r="L415" s="77">
        <v>0</v>
      </c>
      <c r="M415" s="77">
        <v>1.0881235199999999</v>
      </c>
      <c r="N415" s="77">
        <v>0</v>
      </c>
      <c r="O415" s="77">
        <v>0</v>
      </c>
      <c r="P415" s="77">
        <v>0</v>
      </c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  <c r="AG415" s="77"/>
    </row>
    <row r="416" spans="1:33" x14ac:dyDescent="0.25">
      <c r="A416" s="77" t="s">
        <v>5</v>
      </c>
      <c r="B416" s="77">
        <v>21.621577500000001</v>
      </c>
      <c r="C416" s="77">
        <v>21.621577500000001</v>
      </c>
      <c r="D416" s="105">
        <v>3.5527136800000002E-15</v>
      </c>
      <c r="E416" s="77">
        <v>14.335310399999999</v>
      </c>
      <c r="F416" s="77">
        <v>2.6085984199999999</v>
      </c>
      <c r="G416" s="77">
        <v>4.4929773400000004</v>
      </c>
      <c r="H416" s="77">
        <v>0.18469131699999999</v>
      </c>
      <c r="I416" s="77">
        <v>0</v>
      </c>
      <c r="J416" s="77">
        <v>0</v>
      </c>
      <c r="K416" s="77">
        <v>0</v>
      </c>
      <c r="L416" s="77">
        <v>0</v>
      </c>
      <c r="M416" s="77">
        <v>0</v>
      </c>
      <c r="N416" s="77">
        <v>0</v>
      </c>
      <c r="O416" s="77">
        <v>0</v>
      </c>
      <c r="P416" s="77">
        <v>0</v>
      </c>
      <c r="R416" s="77"/>
      <c r="S416" s="77"/>
      <c r="T416" s="77"/>
      <c r="U416" s="105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</row>
    <row r="417" spans="1:33" x14ac:dyDescent="0.25">
      <c r="A417" s="77" t="s">
        <v>6</v>
      </c>
      <c r="B417" s="77">
        <v>0</v>
      </c>
      <c r="C417" s="77">
        <v>0</v>
      </c>
      <c r="D417" s="77">
        <v>0</v>
      </c>
      <c r="E417" s="77">
        <v>0</v>
      </c>
      <c r="F417" s="77">
        <v>0</v>
      </c>
      <c r="G417" s="77">
        <v>0</v>
      </c>
      <c r="H417" s="77">
        <v>0</v>
      </c>
      <c r="I417" s="77">
        <v>0</v>
      </c>
      <c r="J417" s="77">
        <v>0</v>
      </c>
      <c r="K417" s="77">
        <v>0</v>
      </c>
      <c r="L417" s="77">
        <v>0</v>
      </c>
      <c r="M417" s="77">
        <v>0</v>
      </c>
      <c r="N417" s="77">
        <v>0</v>
      </c>
      <c r="O417" s="77">
        <v>0</v>
      </c>
      <c r="P417" s="77">
        <v>0</v>
      </c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  <c r="AG417" s="77"/>
    </row>
    <row r="418" spans="1:33" x14ac:dyDescent="0.25">
      <c r="A418" s="77" t="s">
        <v>7</v>
      </c>
      <c r="B418" s="77">
        <v>1.0881235199999999</v>
      </c>
      <c r="C418" s="77">
        <v>1.0881235199999999</v>
      </c>
      <c r="D418" s="77">
        <v>0</v>
      </c>
      <c r="E418" s="77">
        <v>0</v>
      </c>
      <c r="F418" s="77">
        <v>0.835395161</v>
      </c>
      <c r="G418" s="77">
        <v>0.176657025</v>
      </c>
      <c r="H418" s="77">
        <v>7.6071335800000001E-2</v>
      </c>
      <c r="I418" s="77">
        <v>0</v>
      </c>
      <c r="J418" s="77">
        <v>0</v>
      </c>
      <c r="K418" s="77">
        <v>0</v>
      </c>
      <c r="L418" s="77">
        <v>0</v>
      </c>
      <c r="M418" s="77">
        <v>0</v>
      </c>
      <c r="N418" s="77">
        <v>0</v>
      </c>
      <c r="O418" s="77">
        <v>0</v>
      </c>
      <c r="P418" s="77">
        <v>0</v>
      </c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  <c r="AG418" s="77"/>
    </row>
    <row r="419" spans="1:33" x14ac:dyDescent="0.25">
      <c r="A419" s="77" t="s">
        <v>8</v>
      </c>
      <c r="B419" s="77">
        <v>0</v>
      </c>
      <c r="C419" s="77">
        <v>0</v>
      </c>
      <c r="D419" s="77">
        <v>0</v>
      </c>
      <c r="E419" s="77">
        <v>0</v>
      </c>
      <c r="F419" s="77">
        <v>0</v>
      </c>
      <c r="G419" s="77">
        <v>0</v>
      </c>
      <c r="H419" s="77">
        <v>0</v>
      </c>
      <c r="I419" s="77">
        <v>0</v>
      </c>
      <c r="J419" s="77">
        <v>0</v>
      </c>
      <c r="K419" s="77">
        <v>0</v>
      </c>
      <c r="L419" s="77">
        <v>0</v>
      </c>
      <c r="M419" s="77">
        <v>0</v>
      </c>
      <c r="N419" s="77">
        <v>0</v>
      </c>
      <c r="O419" s="77">
        <v>0</v>
      </c>
      <c r="P419" s="77">
        <v>0</v>
      </c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  <c r="AG419" s="77"/>
    </row>
    <row r="420" spans="1:33" x14ac:dyDescent="0.25">
      <c r="A420" s="77" t="s">
        <v>9</v>
      </c>
      <c r="B420" s="77">
        <v>0</v>
      </c>
      <c r="C420" s="77">
        <v>0</v>
      </c>
      <c r="D420" s="77">
        <v>0</v>
      </c>
      <c r="E420" s="77">
        <v>0</v>
      </c>
      <c r="F420" s="77">
        <v>0</v>
      </c>
      <c r="G420" s="77">
        <v>0</v>
      </c>
      <c r="H420" s="77">
        <v>0</v>
      </c>
      <c r="I420" s="77">
        <v>0</v>
      </c>
      <c r="J420" s="77">
        <v>0</v>
      </c>
      <c r="K420" s="77">
        <v>0</v>
      </c>
      <c r="L420" s="77">
        <v>0</v>
      </c>
      <c r="M420" s="77">
        <v>0</v>
      </c>
      <c r="N420" s="77">
        <v>0</v>
      </c>
      <c r="O420" s="77">
        <v>0</v>
      </c>
      <c r="P420" s="77">
        <v>0</v>
      </c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  <c r="AG420" s="77"/>
    </row>
    <row r="421" spans="1:33" x14ac:dyDescent="0.25">
      <c r="A421" s="77" t="s">
        <v>10</v>
      </c>
      <c r="B421" s="77">
        <v>0</v>
      </c>
      <c r="C421" s="77">
        <v>0</v>
      </c>
      <c r="D421" s="77">
        <v>0</v>
      </c>
      <c r="E421" s="77">
        <v>0</v>
      </c>
      <c r="F421" s="77">
        <v>0</v>
      </c>
      <c r="G421" s="77">
        <v>0</v>
      </c>
      <c r="H421" s="77">
        <v>0</v>
      </c>
      <c r="I421" s="77">
        <v>0</v>
      </c>
      <c r="J421" s="77">
        <v>0</v>
      </c>
      <c r="K421" s="77">
        <v>0</v>
      </c>
      <c r="L421" s="77">
        <v>0</v>
      </c>
      <c r="M421" s="77">
        <v>0</v>
      </c>
      <c r="N421" s="77">
        <v>0</v>
      </c>
      <c r="O421" s="77">
        <v>0</v>
      </c>
      <c r="P421" s="77">
        <v>0</v>
      </c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  <c r="AG421" s="77"/>
    </row>
    <row r="422" spans="1:33" x14ac:dyDescent="0.25">
      <c r="A422" s="77" t="s">
        <v>11</v>
      </c>
      <c r="B422" s="77">
        <v>0</v>
      </c>
      <c r="C422" s="77">
        <v>0</v>
      </c>
      <c r="D422" s="77">
        <v>0</v>
      </c>
      <c r="E422" s="77">
        <v>0</v>
      </c>
      <c r="F422" s="77">
        <v>0</v>
      </c>
      <c r="G422" s="77">
        <v>0</v>
      </c>
      <c r="H422" s="77">
        <v>0</v>
      </c>
      <c r="I422" s="77">
        <v>0</v>
      </c>
      <c r="J422" s="77">
        <v>0</v>
      </c>
      <c r="K422" s="77">
        <v>0</v>
      </c>
      <c r="L422" s="77">
        <v>0</v>
      </c>
      <c r="M422" s="77">
        <v>0</v>
      </c>
      <c r="N422" s="77">
        <v>0</v>
      </c>
      <c r="O422" s="77">
        <v>0</v>
      </c>
      <c r="P422" s="77">
        <v>0</v>
      </c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  <c r="AG422" s="77"/>
    </row>
    <row r="423" spans="1:33" x14ac:dyDescent="0.25">
      <c r="A423" s="77" t="s">
        <v>12</v>
      </c>
      <c r="B423" s="77">
        <v>0</v>
      </c>
      <c r="C423" s="77">
        <v>0</v>
      </c>
      <c r="D423" s="77">
        <v>0</v>
      </c>
      <c r="E423" s="77">
        <v>0</v>
      </c>
      <c r="F423" s="77">
        <v>0</v>
      </c>
      <c r="G423" s="77">
        <v>0</v>
      </c>
      <c r="H423" s="77">
        <v>0</v>
      </c>
      <c r="I423" s="77">
        <v>0</v>
      </c>
      <c r="J423" s="77">
        <v>0</v>
      </c>
      <c r="K423" s="77">
        <v>0</v>
      </c>
      <c r="L423" s="77">
        <v>0</v>
      </c>
      <c r="M423" s="77">
        <v>0</v>
      </c>
      <c r="N423" s="77">
        <v>0</v>
      </c>
      <c r="O423" s="77">
        <v>0</v>
      </c>
      <c r="P423" s="77">
        <v>0</v>
      </c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  <c r="AG423" s="77"/>
    </row>
    <row r="424" spans="1:33" x14ac:dyDescent="0.25">
      <c r="A424" s="77" t="s">
        <v>13</v>
      </c>
      <c r="B424" s="77">
        <v>0</v>
      </c>
      <c r="C424" s="77">
        <v>0</v>
      </c>
      <c r="D424" s="77">
        <v>0</v>
      </c>
      <c r="E424" s="77">
        <v>0</v>
      </c>
      <c r="F424" s="77">
        <v>0</v>
      </c>
      <c r="G424" s="77">
        <v>0</v>
      </c>
      <c r="H424" s="77">
        <v>0</v>
      </c>
      <c r="I424" s="77">
        <v>0</v>
      </c>
      <c r="J424" s="77">
        <v>0</v>
      </c>
      <c r="K424" s="77">
        <v>0</v>
      </c>
      <c r="L424" s="77">
        <v>0</v>
      </c>
      <c r="M424" s="77">
        <v>0</v>
      </c>
      <c r="N424" s="77">
        <v>0</v>
      </c>
      <c r="O424" s="77">
        <v>0</v>
      </c>
      <c r="P424" s="77">
        <v>0</v>
      </c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  <c r="AG424" s="77"/>
    </row>
    <row r="425" spans="1:33" x14ac:dyDescent="0.25">
      <c r="A425" s="77" t="s">
        <v>14</v>
      </c>
      <c r="B425" s="77">
        <v>0</v>
      </c>
      <c r="C425" s="77">
        <v>0</v>
      </c>
      <c r="D425" s="77">
        <v>0</v>
      </c>
      <c r="E425" s="77">
        <v>0</v>
      </c>
      <c r="F425" s="77">
        <v>0</v>
      </c>
      <c r="G425" s="77">
        <v>0</v>
      </c>
      <c r="H425" s="77">
        <v>0</v>
      </c>
      <c r="I425" s="77">
        <v>0</v>
      </c>
      <c r="J425" s="77">
        <v>0</v>
      </c>
      <c r="K425" s="77">
        <v>0</v>
      </c>
      <c r="L425" s="77">
        <v>0</v>
      </c>
      <c r="M425" s="77">
        <v>0</v>
      </c>
      <c r="N425" s="77">
        <v>0</v>
      </c>
      <c r="O425" s="77">
        <v>0</v>
      </c>
      <c r="P425" s="77">
        <v>0</v>
      </c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</row>
    <row r="426" spans="1:33" x14ac:dyDescent="0.25">
      <c r="A426" s="77" t="s">
        <v>432</v>
      </c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  <c r="AG426" s="77"/>
    </row>
    <row r="427" spans="1:33" x14ac:dyDescent="0.25">
      <c r="A427" s="77" t="s">
        <v>360</v>
      </c>
      <c r="B427" s="77" t="s">
        <v>366</v>
      </c>
      <c r="C427" s="77" t="s">
        <v>367</v>
      </c>
      <c r="D427" s="77" t="s">
        <v>368</v>
      </c>
      <c r="E427" s="77" t="s">
        <v>21</v>
      </c>
      <c r="F427" s="77" t="s">
        <v>22</v>
      </c>
      <c r="G427" s="77" t="s">
        <v>23</v>
      </c>
      <c r="H427" s="77" t="s">
        <v>361</v>
      </c>
      <c r="I427" s="77" t="s">
        <v>25</v>
      </c>
      <c r="J427" s="77" t="s">
        <v>362</v>
      </c>
      <c r="K427" s="77" t="s">
        <v>5</v>
      </c>
      <c r="L427" s="77" t="s">
        <v>6</v>
      </c>
      <c r="M427" s="77" t="s">
        <v>7</v>
      </c>
      <c r="N427" s="77" t="s">
        <v>8</v>
      </c>
      <c r="O427" s="77" t="s">
        <v>9</v>
      </c>
      <c r="P427" s="77" t="s">
        <v>363</v>
      </c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  <c r="AG427" s="77"/>
    </row>
    <row r="428" spans="1:33" x14ac:dyDescent="0.25">
      <c r="A428" s="77" t="s">
        <v>364</v>
      </c>
      <c r="B428" s="77" t="s">
        <v>369</v>
      </c>
      <c r="C428" s="77" t="s">
        <v>369</v>
      </c>
      <c r="D428" s="77" t="s">
        <v>369</v>
      </c>
      <c r="E428" s="77" t="s">
        <v>369</v>
      </c>
      <c r="F428" s="77" t="s">
        <v>369</v>
      </c>
      <c r="G428" s="77" t="s">
        <v>369</v>
      </c>
      <c r="H428" s="77" t="s">
        <v>369</v>
      </c>
      <c r="I428" s="77" t="s">
        <v>369</v>
      </c>
      <c r="J428" s="77" t="s">
        <v>369</v>
      </c>
      <c r="K428" s="77" t="s">
        <v>369</v>
      </c>
      <c r="L428" s="77" t="s">
        <v>369</v>
      </c>
      <c r="M428" s="77" t="s">
        <v>369</v>
      </c>
      <c r="N428" s="77" t="s">
        <v>369</v>
      </c>
      <c r="O428" s="77" t="s">
        <v>369</v>
      </c>
      <c r="P428" s="77" t="s">
        <v>369</v>
      </c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  <c r="AG428" s="77"/>
    </row>
    <row r="429" spans="1:33" x14ac:dyDescent="0.25">
      <c r="A429" s="77" t="s">
        <v>1</v>
      </c>
      <c r="B429" s="77">
        <v>67.631787099999997</v>
      </c>
      <c r="C429" s="77">
        <v>0</v>
      </c>
      <c r="D429" s="77">
        <v>67.631787099999997</v>
      </c>
      <c r="E429" s="77">
        <v>35.699894</v>
      </c>
      <c r="F429" s="77">
        <v>0</v>
      </c>
      <c r="G429" s="77">
        <v>24.882240800000002</v>
      </c>
      <c r="H429" s="77">
        <v>0</v>
      </c>
      <c r="I429" s="77">
        <v>0</v>
      </c>
      <c r="J429" s="77">
        <v>0</v>
      </c>
      <c r="K429" s="77">
        <v>0</v>
      </c>
      <c r="L429" s="77">
        <v>0</v>
      </c>
      <c r="M429" s="77">
        <v>7.0496521899999998</v>
      </c>
      <c r="N429" s="77">
        <v>0</v>
      </c>
      <c r="O429" s="77">
        <v>0</v>
      </c>
      <c r="P429" s="77">
        <v>0</v>
      </c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</row>
    <row r="430" spans="1:33" x14ac:dyDescent="0.25">
      <c r="A430" s="77" t="s">
        <v>2</v>
      </c>
      <c r="B430" s="77">
        <v>9.0834468299999997</v>
      </c>
      <c r="C430" s="77">
        <v>0</v>
      </c>
      <c r="D430" s="77">
        <v>9.0834468299999997</v>
      </c>
      <c r="E430" s="77">
        <v>0</v>
      </c>
      <c r="F430" s="77">
        <v>0</v>
      </c>
      <c r="G430" s="77">
        <v>0.28204183199999999</v>
      </c>
      <c r="H430" s="77">
        <v>0</v>
      </c>
      <c r="I430" s="77">
        <v>0</v>
      </c>
      <c r="J430" s="77">
        <v>0</v>
      </c>
      <c r="K430" s="77">
        <v>8.8014050000000008</v>
      </c>
      <c r="L430" s="77">
        <v>0</v>
      </c>
      <c r="M430" s="77">
        <v>0</v>
      </c>
      <c r="N430" s="77">
        <v>0</v>
      </c>
      <c r="O430" s="77">
        <v>0</v>
      </c>
      <c r="P430" s="77">
        <v>0</v>
      </c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  <c r="AG430" s="77"/>
    </row>
    <row r="431" spans="1:33" x14ac:dyDescent="0.25">
      <c r="A431" s="77" t="s">
        <v>3</v>
      </c>
      <c r="B431" s="77">
        <v>62.663851800000003</v>
      </c>
      <c r="C431" s="77">
        <v>0</v>
      </c>
      <c r="D431" s="77">
        <v>62.663851800000003</v>
      </c>
      <c r="E431" s="77">
        <v>39.7226</v>
      </c>
      <c r="F431" s="77">
        <v>0.189233295</v>
      </c>
      <c r="G431" s="77">
        <v>10.8632919</v>
      </c>
      <c r="H431" s="77">
        <v>3.9576973199999997E-2</v>
      </c>
      <c r="I431" s="77">
        <v>0</v>
      </c>
      <c r="J431" s="77">
        <v>0</v>
      </c>
      <c r="K431" s="77">
        <v>3.7250657899999999</v>
      </c>
      <c r="L431" s="77">
        <v>0</v>
      </c>
      <c r="M431" s="77">
        <v>0</v>
      </c>
      <c r="N431" s="77">
        <v>0</v>
      </c>
      <c r="O431" s="77">
        <v>0</v>
      </c>
      <c r="P431" s="77">
        <v>8.1240837999999993</v>
      </c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  <c r="AG431" s="77"/>
    </row>
    <row r="432" spans="1:33" x14ac:dyDescent="0.25">
      <c r="A432" s="77" t="s">
        <v>4</v>
      </c>
      <c r="B432" s="77">
        <v>136.402243</v>
      </c>
      <c r="C432" s="77">
        <v>0</v>
      </c>
      <c r="D432" s="77">
        <v>136.402243</v>
      </c>
      <c r="E432" s="77">
        <v>70.165140100000002</v>
      </c>
      <c r="F432" s="77">
        <v>11.3600032</v>
      </c>
      <c r="G432" s="77">
        <v>55.988255299999999</v>
      </c>
      <c r="H432" s="77">
        <v>2.5383908800000001</v>
      </c>
      <c r="I432" s="77">
        <v>0</v>
      </c>
      <c r="J432" s="77">
        <v>0</v>
      </c>
      <c r="K432" s="77">
        <v>0</v>
      </c>
      <c r="L432" s="77">
        <v>0</v>
      </c>
      <c r="M432" s="77">
        <v>2.4731846700000002</v>
      </c>
      <c r="N432" s="77">
        <v>0</v>
      </c>
      <c r="O432" s="77">
        <v>0</v>
      </c>
      <c r="P432" s="77">
        <v>-6.1227315000000004</v>
      </c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  <c r="AG432" s="77"/>
    </row>
    <row r="433" spans="1:33" x14ac:dyDescent="0.25">
      <c r="A433" s="77" t="s">
        <v>5</v>
      </c>
      <c r="B433" s="77">
        <v>46.0320246</v>
      </c>
      <c r="C433" s="77">
        <v>50.508915199999997</v>
      </c>
      <c r="D433" s="77">
        <v>-4.4768905500000002</v>
      </c>
      <c r="E433" s="77">
        <v>26.071112800000002</v>
      </c>
      <c r="F433" s="77">
        <v>4.9698063699999997</v>
      </c>
      <c r="G433" s="77">
        <v>14.584304400000001</v>
      </c>
      <c r="H433" s="77">
        <v>0.40680097799999998</v>
      </c>
      <c r="I433" s="77">
        <v>0</v>
      </c>
      <c r="J433" s="77">
        <v>0</v>
      </c>
      <c r="K433" s="77">
        <v>0</v>
      </c>
      <c r="L433" s="77">
        <v>0</v>
      </c>
      <c r="M433" s="77">
        <v>0</v>
      </c>
      <c r="N433" s="77">
        <v>0</v>
      </c>
      <c r="O433" s="77">
        <v>0</v>
      </c>
      <c r="P433" s="77">
        <v>0</v>
      </c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  <c r="AG433" s="77"/>
    </row>
    <row r="434" spans="1:33" x14ac:dyDescent="0.25">
      <c r="A434" s="77" t="s">
        <v>6</v>
      </c>
      <c r="B434" s="77">
        <v>0</v>
      </c>
      <c r="C434" s="77">
        <v>0</v>
      </c>
      <c r="D434" s="77">
        <v>0</v>
      </c>
      <c r="E434" s="77">
        <v>0</v>
      </c>
      <c r="F434" s="77">
        <v>0</v>
      </c>
      <c r="G434" s="77">
        <v>0</v>
      </c>
      <c r="H434" s="77">
        <v>0</v>
      </c>
      <c r="I434" s="77">
        <v>0</v>
      </c>
      <c r="J434" s="77">
        <v>0</v>
      </c>
      <c r="K434" s="77">
        <v>0</v>
      </c>
      <c r="L434" s="77">
        <v>0</v>
      </c>
      <c r="M434" s="77">
        <v>0</v>
      </c>
      <c r="N434" s="77">
        <v>0</v>
      </c>
      <c r="O434" s="77">
        <v>0</v>
      </c>
      <c r="P434" s="77">
        <v>0</v>
      </c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  <c r="AG434" s="77"/>
    </row>
    <row r="435" spans="1:33" x14ac:dyDescent="0.25">
      <c r="A435" s="77" t="s">
        <v>7</v>
      </c>
      <c r="B435" s="77">
        <v>14.108052000000001</v>
      </c>
      <c r="C435" s="77">
        <v>11.0701649</v>
      </c>
      <c r="D435" s="77">
        <v>3.0378871200000002</v>
      </c>
      <c r="E435" s="77">
        <v>0</v>
      </c>
      <c r="F435" s="77">
        <v>11.6933226</v>
      </c>
      <c r="G435" s="77">
        <v>1.5992471699999999</v>
      </c>
      <c r="H435" s="77">
        <v>0.815482241</v>
      </c>
      <c r="I435" s="77">
        <v>0</v>
      </c>
      <c r="J435" s="77">
        <v>0</v>
      </c>
      <c r="K435" s="77">
        <v>0</v>
      </c>
      <c r="L435" s="77">
        <v>0</v>
      </c>
      <c r="M435" s="77">
        <v>0</v>
      </c>
      <c r="N435" s="77">
        <v>0</v>
      </c>
      <c r="O435" s="77">
        <v>0</v>
      </c>
      <c r="P435" s="77">
        <v>0</v>
      </c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  <c r="AG435" s="77"/>
    </row>
    <row r="436" spans="1:33" x14ac:dyDescent="0.25">
      <c r="A436" s="77" t="s">
        <v>8</v>
      </c>
      <c r="B436" s="77">
        <v>0</v>
      </c>
      <c r="C436" s="77">
        <v>0</v>
      </c>
      <c r="D436" s="77">
        <v>0</v>
      </c>
      <c r="E436" s="77">
        <v>0</v>
      </c>
      <c r="F436" s="77">
        <v>0</v>
      </c>
      <c r="G436" s="77">
        <v>0</v>
      </c>
      <c r="H436" s="77">
        <v>0</v>
      </c>
      <c r="I436" s="77">
        <v>0</v>
      </c>
      <c r="J436" s="77">
        <v>0</v>
      </c>
      <c r="K436" s="77">
        <v>0</v>
      </c>
      <c r="L436" s="77">
        <v>0</v>
      </c>
      <c r="M436" s="77">
        <v>0</v>
      </c>
      <c r="N436" s="77">
        <v>0</v>
      </c>
      <c r="O436" s="77">
        <v>0</v>
      </c>
      <c r="P436" s="77">
        <v>0</v>
      </c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  <c r="AG436" s="77"/>
    </row>
    <row r="437" spans="1:33" x14ac:dyDescent="0.25">
      <c r="A437" s="77" t="s">
        <v>9</v>
      </c>
      <c r="B437" s="77">
        <v>0</v>
      </c>
      <c r="C437" s="77">
        <v>0</v>
      </c>
      <c r="D437" s="77">
        <v>0</v>
      </c>
      <c r="E437" s="77">
        <v>0</v>
      </c>
      <c r="F437" s="77">
        <v>0</v>
      </c>
      <c r="G437" s="77">
        <v>0</v>
      </c>
      <c r="H437" s="77">
        <v>0</v>
      </c>
      <c r="I437" s="77">
        <v>0</v>
      </c>
      <c r="J437" s="77">
        <v>0</v>
      </c>
      <c r="K437" s="77">
        <v>0</v>
      </c>
      <c r="L437" s="77">
        <v>0</v>
      </c>
      <c r="M437" s="77">
        <v>0</v>
      </c>
      <c r="N437" s="77">
        <v>0</v>
      </c>
      <c r="O437" s="77">
        <v>0</v>
      </c>
      <c r="P437" s="77">
        <v>0</v>
      </c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  <c r="AG437" s="77"/>
    </row>
    <row r="438" spans="1:33" x14ac:dyDescent="0.25">
      <c r="A438" s="77" t="s">
        <v>10</v>
      </c>
      <c r="B438" s="77">
        <v>21.663261200000001</v>
      </c>
      <c r="C438" s="77">
        <v>0</v>
      </c>
      <c r="D438" s="77">
        <v>21.663261200000001</v>
      </c>
      <c r="E438" s="77">
        <v>0</v>
      </c>
      <c r="F438" s="77">
        <v>-1.9257500000000001</v>
      </c>
      <c r="G438" s="77">
        <v>0.15679251799999999</v>
      </c>
      <c r="H438" s="77">
        <v>0</v>
      </c>
      <c r="I438" s="77">
        <v>0</v>
      </c>
      <c r="J438" s="77">
        <v>0</v>
      </c>
      <c r="K438" s="77">
        <v>23.398102399999999</v>
      </c>
      <c r="L438" s="77">
        <v>0</v>
      </c>
      <c r="M438" s="77">
        <v>3.4116304600000001E-2</v>
      </c>
      <c r="N438" s="77">
        <v>0</v>
      </c>
      <c r="O438" s="77">
        <v>0</v>
      </c>
      <c r="P438" s="77">
        <v>0</v>
      </c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  <c r="AG438" s="77"/>
    </row>
    <row r="439" spans="1:33" x14ac:dyDescent="0.25">
      <c r="A439" s="77" t="s">
        <v>11</v>
      </c>
      <c r="B439" s="77">
        <v>3.4792621499999998</v>
      </c>
      <c r="C439" s="77">
        <v>0</v>
      </c>
      <c r="D439" s="77">
        <v>3.4792621499999998</v>
      </c>
      <c r="E439" s="77">
        <v>1.5906518199999999</v>
      </c>
      <c r="F439" s="77">
        <v>0.23763541899999999</v>
      </c>
      <c r="G439" s="77">
        <v>1.4864071999999999</v>
      </c>
      <c r="H439" s="77">
        <v>7.38907543E-2</v>
      </c>
      <c r="I439" s="77">
        <v>0</v>
      </c>
      <c r="J439" s="77">
        <v>0</v>
      </c>
      <c r="K439" s="77">
        <v>0</v>
      </c>
      <c r="L439" s="77">
        <v>0</v>
      </c>
      <c r="M439" s="77">
        <v>9.0676960200000004E-2</v>
      </c>
      <c r="N439" s="77">
        <v>0</v>
      </c>
      <c r="O439" s="77">
        <v>0</v>
      </c>
      <c r="P439" s="77">
        <v>0</v>
      </c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  <c r="AG439" s="77"/>
    </row>
    <row r="440" spans="1:33" x14ac:dyDescent="0.25">
      <c r="A440" s="77" t="s">
        <v>12</v>
      </c>
      <c r="B440" s="77">
        <v>70.369427799999997</v>
      </c>
      <c r="C440" s="77">
        <v>2.0013522899999998</v>
      </c>
      <c r="D440" s="77">
        <v>68.368075500000003</v>
      </c>
      <c r="E440" s="77">
        <v>54.680672299999998</v>
      </c>
      <c r="F440" s="77">
        <v>0.81741666300000004</v>
      </c>
      <c r="G440" s="77">
        <v>11.206355800000001</v>
      </c>
      <c r="H440" s="77">
        <v>0.23420613000000001</v>
      </c>
      <c r="I440" s="77">
        <v>0</v>
      </c>
      <c r="J440" s="77">
        <v>0</v>
      </c>
      <c r="K440" s="77">
        <v>3.0907248799999998</v>
      </c>
      <c r="L440" s="77">
        <v>0</v>
      </c>
      <c r="M440" s="77">
        <v>0.34005203000000001</v>
      </c>
      <c r="N440" s="77">
        <v>0</v>
      </c>
      <c r="O440" s="77">
        <v>0</v>
      </c>
      <c r="P440" s="77">
        <v>0</v>
      </c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  <c r="AG440" s="77"/>
    </row>
    <row r="441" spans="1:33" x14ac:dyDescent="0.25">
      <c r="A441" s="77" t="s">
        <v>13</v>
      </c>
      <c r="B441" s="77">
        <v>63.336180200000001</v>
      </c>
      <c r="C441" s="77">
        <v>0</v>
      </c>
      <c r="D441" s="77">
        <v>63.336180200000001</v>
      </c>
      <c r="E441" s="77">
        <v>45.1878229</v>
      </c>
      <c r="F441" s="77">
        <v>6.1461576899999999</v>
      </c>
      <c r="G441" s="77">
        <v>0</v>
      </c>
      <c r="H441" s="77">
        <v>0</v>
      </c>
      <c r="I441" s="77">
        <v>0</v>
      </c>
      <c r="J441" s="77">
        <v>0</v>
      </c>
      <c r="K441" s="77">
        <v>11.4936171</v>
      </c>
      <c r="L441" s="77">
        <v>0</v>
      </c>
      <c r="M441" s="77">
        <v>0.50858250000000005</v>
      </c>
      <c r="N441" s="77">
        <v>0</v>
      </c>
      <c r="O441" s="77">
        <v>0</v>
      </c>
      <c r="P441" s="77">
        <v>0</v>
      </c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  <c r="AG441" s="77"/>
    </row>
    <row r="442" spans="1:33" x14ac:dyDescent="0.25">
      <c r="A442" s="77" t="s">
        <v>14</v>
      </c>
      <c r="B442" s="77">
        <v>23.318105599999999</v>
      </c>
      <c r="C442" s="77">
        <v>0</v>
      </c>
      <c r="D442" s="77">
        <v>23.318105599999999</v>
      </c>
      <c r="E442" s="77">
        <v>7.6899741099999996</v>
      </c>
      <c r="F442" s="77">
        <v>1.4085246199999999</v>
      </c>
      <c r="G442" s="77">
        <v>13.5450848</v>
      </c>
      <c r="H442" s="77">
        <v>0.100621891</v>
      </c>
      <c r="I442" s="105">
        <v>0</v>
      </c>
      <c r="J442" s="77">
        <v>0</v>
      </c>
      <c r="K442" s="77">
        <v>0</v>
      </c>
      <c r="L442" s="77">
        <v>0</v>
      </c>
      <c r="M442" s="77">
        <v>0.57390021099999999</v>
      </c>
      <c r="N442" s="77">
        <v>0</v>
      </c>
      <c r="O442" s="77">
        <v>0</v>
      </c>
      <c r="P442" s="77">
        <v>0</v>
      </c>
      <c r="R442" s="77"/>
      <c r="S442" s="77"/>
      <c r="T442" s="77"/>
      <c r="U442" s="77"/>
      <c r="V442" s="77"/>
      <c r="W442" s="77"/>
      <c r="X442" s="77"/>
      <c r="Y442" s="77"/>
      <c r="Z442" s="105"/>
      <c r="AA442" s="77"/>
      <c r="AB442" s="77"/>
      <c r="AC442" s="77"/>
      <c r="AD442" s="77"/>
      <c r="AE442" s="77"/>
      <c r="AF442" s="77"/>
      <c r="AG442" s="77"/>
    </row>
    <row r="443" spans="1:33" x14ac:dyDescent="0.25">
      <c r="A443" s="77" t="s">
        <v>433</v>
      </c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  <c r="AG443" s="77"/>
    </row>
    <row r="444" spans="1:33" x14ac:dyDescent="0.25">
      <c r="A444" s="77" t="s">
        <v>360</v>
      </c>
      <c r="B444" s="77" t="s">
        <v>18</v>
      </c>
      <c r="C444" s="77" t="s">
        <v>19</v>
      </c>
      <c r="D444" s="77" t="s">
        <v>20</v>
      </c>
      <c r="E444" s="77" t="s">
        <v>21</v>
      </c>
      <c r="F444" s="77" t="s">
        <v>22</v>
      </c>
      <c r="G444" s="77" t="s">
        <v>23</v>
      </c>
      <c r="H444" s="77" t="s">
        <v>361</v>
      </c>
      <c r="I444" s="77" t="s">
        <v>25</v>
      </c>
      <c r="J444" s="77" t="s">
        <v>362</v>
      </c>
      <c r="K444" s="77" t="s">
        <v>5</v>
      </c>
      <c r="L444" s="77" t="s">
        <v>6</v>
      </c>
      <c r="M444" s="77" t="s">
        <v>7</v>
      </c>
      <c r="N444" s="77" t="s">
        <v>8</v>
      </c>
      <c r="O444" s="77" t="s">
        <v>9</v>
      </c>
      <c r="P444" s="77" t="s">
        <v>363</v>
      </c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  <c r="AG444" s="77"/>
    </row>
    <row r="445" spans="1:33" x14ac:dyDescent="0.25">
      <c r="A445" s="77" t="s">
        <v>364</v>
      </c>
      <c r="B445" s="77" t="s">
        <v>370</v>
      </c>
      <c r="C445" s="77" t="s">
        <v>370</v>
      </c>
      <c r="D445" s="77" t="s">
        <v>370</v>
      </c>
      <c r="E445" s="77" t="s">
        <v>370</v>
      </c>
      <c r="F445" s="77" t="s">
        <v>370</v>
      </c>
      <c r="G445" s="77" t="s">
        <v>370</v>
      </c>
      <c r="H445" s="77" t="s">
        <v>370</v>
      </c>
      <c r="I445" s="77" t="s">
        <v>370</v>
      </c>
      <c r="J445" s="77" t="s">
        <v>370</v>
      </c>
      <c r="K445" s="77" t="s">
        <v>370</v>
      </c>
      <c r="L445" s="77" t="s">
        <v>370</v>
      </c>
      <c r="M445" s="77" t="s">
        <v>370</v>
      </c>
      <c r="N445" s="77" t="s">
        <v>370</v>
      </c>
      <c r="O445" s="77" t="s">
        <v>370</v>
      </c>
      <c r="P445" s="77" t="s">
        <v>370</v>
      </c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  <c r="AG445" s="77"/>
    </row>
    <row r="446" spans="1:33" x14ac:dyDescent="0.25">
      <c r="A446" s="77" t="s">
        <v>1</v>
      </c>
      <c r="B446" s="77">
        <v>0</v>
      </c>
      <c r="C446" s="77">
        <v>0</v>
      </c>
      <c r="D446" s="77">
        <v>0</v>
      </c>
      <c r="E446" s="77">
        <v>0</v>
      </c>
      <c r="F446" s="77">
        <v>0</v>
      </c>
      <c r="G446" s="77">
        <v>0</v>
      </c>
      <c r="H446" s="77">
        <v>0</v>
      </c>
      <c r="I446" s="77">
        <v>0</v>
      </c>
      <c r="J446" s="77">
        <v>0</v>
      </c>
      <c r="K446" s="77">
        <v>0</v>
      </c>
      <c r="L446" s="77">
        <v>0</v>
      </c>
      <c r="M446" s="77">
        <v>0</v>
      </c>
      <c r="N446" s="77">
        <v>0</v>
      </c>
      <c r="O446" s="77">
        <v>0</v>
      </c>
      <c r="P446" s="77">
        <v>0</v>
      </c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  <c r="AG446" s="77"/>
    </row>
    <row r="447" spans="1:33" x14ac:dyDescent="0.25">
      <c r="A447" s="77" t="s">
        <v>2</v>
      </c>
      <c r="B447" s="77">
        <v>1.58052112</v>
      </c>
      <c r="C447" s="77">
        <v>0</v>
      </c>
      <c r="D447" s="77">
        <v>1.58052112</v>
      </c>
      <c r="E447" s="77">
        <v>0</v>
      </c>
      <c r="F447" s="77">
        <v>0</v>
      </c>
      <c r="G447" s="77">
        <v>0</v>
      </c>
      <c r="H447" s="77">
        <v>0</v>
      </c>
      <c r="I447" s="77">
        <v>0</v>
      </c>
      <c r="J447" s="77">
        <v>0</v>
      </c>
      <c r="K447" s="77">
        <v>1.58052112</v>
      </c>
      <c r="L447" s="77">
        <v>0</v>
      </c>
      <c r="M447" s="77">
        <v>0</v>
      </c>
      <c r="N447" s="77">
        <v>0</v>
      </c>
      <c r="O447" s="77">
        <v>0</v>
      </c>
      <c r="P447" s="77">
        <v>0</v>
      </c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  <c r="AG447" s="77"/>
    </row>
    <row r="448" spans="1:33" x14ac:dyDescent="0.25">
      <c r="A448" s="77" t="s">
        <v>3</v>
      </c>
      <c r="B448" s="77">
        <v>3.4867522800000001</v>
      </c>
      <c r="C448" s="77">
        <v>0</v>
      </c>
      <c r="D448" s="77">
        <v>3.4867522800000001</v>
      </c>
      <c r="E448" s="77">
        <v>2.5009968800000002</v>
      </c>
      <c r="F448" s="77">
        <v>1.0010280999999999E-2</v>
      </c>
      <c r="G448" s="77">
        <v>0.54684495099999997</v>
      </c>
      <c r="H448" s="77">
        <v>1.73230092E-3</v>
      </c>
      <c r="I448" s="77">
        <v>0</v>
      </c>
      <c r="J448" s="77">
        <v>0</v>
      </c>
      <c r="K448" s="77">
        <v>0.42716787099999998</v>
      </c>
      <c r="L448" s="77">
        <v>0</v>
      </c>
      <c r="M448" s="77">
        <v>0</v>
      </c>
      <c r="N448" s="77">
        <v>0</v>
      </c>
      <c r="O448" s="77">
        <v>0</v>
      </c>
      <c r="P448" s="77">
        <v>0</v>
      </c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  <c r="AG448" s="77"/>
    </row>
    <row r="449" spans="1:33" x14ac:dyDescent="0.25">
      <c r="A449" s="77" t="s">
        <v>4</v>
      </c>
      <c r="B449" s="77">
        <v>3.13133594</v>
      </c>
      <c r="C449" s="77">
        <v>0</v>
      </c>
      <c r="D449" s="77">
        <v>3.13133594</v>
      </c>
      <c r="E449" s="77">
        <v>1.4315866399999999</v>
      </c>
      <c r="F449" s="77">
        <v>0.21387187699999999</v>
      </c>
      <c r="G449" s="77">
        <v>1.33776648</v>
      </c>
      <c r="H449" s="77">
        <v>6.6501678800000005E-2</v>
      </c>
      <c r="I449" s="77">
        <v>0</v>
      </c>
      <c r="J449" s="77">
        <v>0</v>
      </c>
      <c r="K449" s="77">
        <v>0</v>
      </c>
      <c r="L449" s="77">
        <v>0</v>
      </c>
      <c r="M449" s="77">
        <v>8.1609264099999995E-2</v>
      </c>
      <c r="N449" s="77">
        <v>0</v>
      </c>
      <c r="O449" s="77">
        <v>0</v>
      </c>
      <c r="P449" s="77">
        <v>0</v>
      </c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  <c r="AG449" s="77"/>
    </row>
    <row r="450" spans="1:33" x14ac:dyDescent="0.25">
      <c r="A450" s="77" t="s">
        <v>5</v>
      </c>
      <c r="B450" s="77">
        <v>1.58052112</v>
      </c>
      <c r="C450" s="77">
        <v>2.0076889900000001</v>
      </c>
      <c r="D450" s="77">
        <v>-0.42716787099999998</v>
      </c>
      <c r="E450" s="77">
        <v>1.0479004599999999</v>
      </c>
      <c r="F450" s="77">
        <v>0.19068658999999999</v>
      </c>
      <c r="G450" s="77">
        <v>0.328433278</v>
      </c>
      <c r="H450" s="77">
        <v>1.3500796900000001E-2</v>
      </c>
      <c r="I450" s="77">
        <v>0</v>
      </c>
      <c r="J450" s="77">
        <v>0</v>
      </c>
      <c r="K450" s="77">
        <v>0</v>
      </c>
      <c r="L450" s="77">
        <v>0</v>
      </c>
      <c r="M450" s="77">
        <v>0</v>
      </c>
      <c r="N450" s="77">
        <v>0</v>
      </c>
      <c r="O450" s="77">
        <v>0</v>
      </c>
      <c r="P450" s="77">
        <v>0</v>
      </c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  <c r="AG450" s="77"/>
    </row>
    <row r="451" spans="1:33" x14ac:dyDescent="0.25">
      <c r="A451" s="77" t="s">
        <v>6</v>
      </c>
      <c r="B451" s="77">
        <v>0</v>
      </c>
      <c r="C451" s="77">
        <v>0</v>
      </c>
      <c r="D451" s="77">
        <v>0</v>
      </c>
      <c r="E451" s="77">
        <v>0</v>
      </c>
      <c r="F451" s="77">
        <v>0</v>
      </c>
      <c r="G451" s="77">
        <v>0</v>
      </c>
      <c r="H451" s="77">
        <v>0</v>
      </c>
      <c r="I451" s="77">
        <v>0</v>
      </c>
      <c r="J451" s="77">
        <v>0</v>
      </c>
      <c r="K451" s="77">
        <v>0</v>
      </c>
      <c r="L451" s="77">
        <v>0</v>
      </c>
      <c r="M451" s="77">
        <v>0</v>
      </c>
      <c r="N451" s="77">
        <v>0</v>
      </c>
      <c r="O451" s="77">
        <v>0</v>
      </c>
      <c r="P451" s="77">
        <v>0</v>
      </c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  <c r="AG451" s="77"/>
    </row>
    <row r="452" spans="1:33" x14ac:dyDescent="0.25">
      <c r="A452" s="77" t="s">
        <v>7</v>
      </c>
      <c r="B452" s="77">
        <v>0.20743414499999999</v>
      </c>
      <c r="C452" s="77">
        <v>8.1609264099999995E-2</v>
      </c>
      <c r="D452" s="77">
        <v>0.125824881</v>
      </c>
      <c r="E452" s="77">
        <v>0</v>
      </c>
      <c r="F452" s="77">
        <v>0.15925534</v>
      </c>
      <c r="G452" s="77">
        <v>3.3676966099999997E-2</v>
      </c>
      <c r="H452" s="77">
        <v>1.45018393E-2</v>
      </c>
      <c r="I452" s="77">
        <v>0</v>
      </c>
      <c r="J452" s="77">
        <v>0</v>
      </c>
      <c r="K452" s="77">
        <v>0</v>
      </c>
      <c r="L452" s="77">
        <v>0</v>
      </c>
      <c r="M452" s="77">
        <v>0</v>
      </c>
      <c r="N452" s="77">
        <v>0</v>
      </c>
      <c r="O452" s="77">
        <v>0</v>
      </c>
      <c r="P452" s="77">
        <v>0</v>
      </c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  <c r="AG452" s="77"/>
    </row>
    <row r="453" spans="1:33" x14ac:dyDescent="0.25">
      <c r="A453" s="77" t="s">
        <v>8</v>
      </c>
      <c r="B453" s="77">
        <v>0</v>
      </c>
      <c r="C453" s="77">
        <v>0</v>
      </c>
      <c r="D453" s="77">
        <v>0</v>
      </c>
      <c r="E453" s="77">
        <v>0</v>
      </c>
      <c r="F453" s="77">
        <v>0</v>
      </c>
      <c r="G453" s="77">
        <v>0</v>
      </c>
      <c r="H453" s="77">
        <v>0</v>
      </c>
      <c r="I453" s="77">
        <v>0</v>
      </c>
      <c r="J453" s="77">
        <v>0</v>
      </c>
      <c r="K453" s="77">
        <v>0</v>
      </c>
      <c r="L453" s="77">
        <v>0</v>
      </c>
      <c r="M453" s="77">
        <v>0</v>
      </c>
      <c r="N453" s="77">
        <v>0</v>
      </c>
      <c r="O453" s="77">
        <v>0</v>
      </c>
      <c r="P453" s="77">
        <v>0</v>
      </c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  <c r="AG453" s="77"/>
    </row>
    <row r="454" spans="1:33" x14ac:dyDescent="0.25">
      <c r="A454" s="77" t="s">
        <v>9</v>
      </c>
      <c r="B454" s="77">
        <v>0</v>
      </c>
      <c r="C454" s="77">
        <v>0</v>
      </c>
      <c r="D454" s="77">
        <v>0</v>
      </c>
      <c r="E454" s="77">
        <v>0</v>
      </c>
      <c r="F454" s="77">
        <v>0</v>
      </c>
      <c r="G454" s="77">
        <v>0</v>
      </c>
      <c r="H454" s="77">
        <v>0</v>
      </c>
      <c r="I454" s="77">
        <v>0</v>
      </c>
      <c r="J454" s="77">
        <v>0</v>
      </c>
      <c r="K454" s="77">
        <v>0</v>
      </c>
      <c r="L454" s="77">
        <v>0</v>
      </c>
      <c r="M454" s="77">
        <v>0</v>
      </c>
      <c r="N454" s="77">
        <v>0</v>
      </c>
      <c r="O454" s="77">
        <v>0</v>
      </c>
      <c r="P454" s="77">
        <v>0</v>
      </c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  <c r="AG454" s="77"/>
    </row>
    <row r="455" spans="1:33" x14ac:dyDescent="0.25">
      <c r="A455" s="77" t="s">
        <v>10</v>
      </c>
      <c r="B455" s="77">
        <v>0</v>
      </c>
      <c r="C455" s="77">
        <v>0</v>
      </c>
      <c r="D455" s="77">
        <v>0</v>
      </c>
      <c r="E455" s="77">
        <v>0</v>
      </c>
      <c r="F455" s="77">
        <v>0</v>
      </c>
      <c r="G455" s="77">
        <v>0</v>
      </c>
      <c r="H455" s="77">
        <v>0</v>
      </c>
      <c r="I455" s="77">
        <v>0</v>
      </c>
      <c r="J455" s="77">
        <v>0</v>
      </c>
      <c r="K455" s="77">
        <v>0</v>
      </c>
      <c r="L455" s="77">
        <v>0</v>
      </c>
      <c r="M455" s="77">
        <v>0</v>
      </c>
      <c r="N455" s="77">
        <v>0</v>
      </c>
      <c r="O455" s="77">
        <v>0</v>
      </c>
      <c r="P455" s="77">
        <v>0</v>
      </c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  <c r="AG455" s="77"/>
    </row>
    <row r="456" spans="1:33" x14ac:dyDescent="0.25">
      <c r="A456" s="77" t="s">
        <v>11</v>
      </c>
      <c r="B456" s="77">
        <v>0</v>
      </c>
      <c r="C456" s="77">
        <v>0</v>
      </c>
      <c r="D456" s="77">
        <v>0</v>
      </c>
      <c r="E456" s="77">
        <v>0</v>
      </c>
      <c r="F456" s="77">
        <v>0</v>
      </c>
      <c r="G456" s="77">
        <v>0</v>
      </c>
      <c r="H456" s="77">
        <v>0</v>
      </c>
      <c r="I456" s="77">
        <v>0</v>
      </c>
      <c r="J456" s="77">
        <v>0</v>
      </c>
      <c r="K456" s="77">
        <v>0</v>
      </c>
      <c r="L456" s="77">
        <v>0</v>
      </c>
      <c r="M456" s="77">
        <v>0</v>
      </c>
      <c r="N456" s="77">
        <v>0</v>
      </c>
      <c r="O456" s="77">
        <v>0</v>
      </c>
      <c r="P456" s="77">
        <v>0</v>
      </c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  <c r="AG456" s="77"/>
    </row>
    <row r="457" spans="1:33" x14ac:dyDescent="0.25">
      <c r="A457" s="77" t="s">
        <v>12</v>
      </c>
      <c r="B457" s="77">
        <v>0</v>
      </c>
      <c r="C457" s="77">
        <v>0</v>
      </c>
      <c r="D457" s="77">
        <v>0</v>
      </c>
      <c r="E457" s="77">
        <v>0</v>
      </c>
      <c r="F457" s="77">
        <v>0</v>
      </c>
      <c r="G457" s="77">
        <v>0</v>
      </c>
      <c r="H457" s="77">
        <v>0</v>
      </c>
      <c r="I457" s="77">
        <v>0</v>
      </c>
      <c r="J457" s="77">
        <v>0</v>
      </c>
      <c r="K457" s="77">
        <v>0</v>
      </c>
      <c r="L457" s="77">
        <v>0</v>
      </c>
      <c r="M457" s="77">
        <v>0</v>
      </c>
      <c r="N457" s="77">
        <v>0</v>
      </c>
      <c r="O457" s="77">
        <v>0</v>
      </c>
      <c r="P457" s="77">
        <v>0</v>
      </c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  <c r="AG457" s="77"/>
    </row>
    <row r="458" spans="1:33" x14ac:dyDescent="0.25">
      <c r="A458" s="77" t="s">
        <v>13</v>
      </c>
      <c r="B458" s="77">
        <v>0</v>
      </c>
      <c r="C458" s="77">
        <v>0</v>
      </c>
      <c r="D458" s="77">
        <v>0</v>
      </c>
      <c r="E458" s="77">
        <v>0</v>
      </c>
      <c r="F458" s="77">
        <v>0</v>
      </c>
      <c r="G458" s="77">
        <v>0</v>
      </c>
      <c r="H458" s="77">
        <v>0</v>
      </c>
      <c r="I458" s="77">
        <v>0</v>
      </c>
      <c r="J458" s="77">
        <v>0</v>
      </c>
      <c r="K458" s="77">
        <v>0</v>
      </c>
      <c r="L458" s="77">
        <v>0</v>
      </c>
      <c r="M458" s="77">
        <v>0</v>
      </c>
      <c r="N458" s="77">
        <v>0</v>
      </c>
      <c r="O458" s="77">
        <v>0</v>
      </c>
      <c r="P458" s="77">
        <v>0</v>
      </c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  <c r="AG458" s="77"/>
    </row>
    <row r="459" spans="1:33" x14ac:dyDescent="0.25">
      <c r="A459" s="77" t="s">
        <v>14</v>
      </c>
      <c r="B459" s="77">
        <v>0</v>
      </c>
      <c r="C459" s="77">
        <v>0</v>
      </c>
      <c r="D459" s="77">
        <v>0</v>
      </c>
      <c r="E459" s="77">
        <v>0</v>
      </c>
      <c r="F459" s="77">
        <v>0</v>
      </c>
      <c r="G459" s="77">
        <v>0</v>
      </c>
      <c r="H459" s="77">
        <v>0</v>
      </c>
      <c r="I459" s="77">
        <v>0</v>
      </c>
      <c r="J459" s="77">
        <v>0</v>
      </c>
      <c r="K459" s="77">
        <v>0</v>
      </c>
      <c r="L459" s="77">
        <v>0</v>
      </c>
      <c r="M459" s="77">
        <v>0</v>
      </c>
      <c r="N459" s="77">
        <v>0</v>
      </c>
      <c r="O459" s="77">
        <v>0</v>
      </c>
      <c r="P459" s="77">
        <v>0</v>
      </c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  <c r="AG459" s="77"/>
    </row>
    <row r="460" spans="1:33" x14ac:dyDescent="0.25">
      <c r="A460" s="77" t="s">
        <v>434</v>
      </c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  <c r="AG460" s="77"/>
    </row>
    <row r="461" spans="1:33" x14ac:dyDescent="0.25">
      <c r="A461" s="77" t="s">
        <v>360</v>
      </c>
      <c r="B461" s="77" t="s">
        <v>18</v>
      </c>
      <c r="C461" s="77" t="s">
        <v>19</v>
      </c>
      <c r="D461" s="77" t="s">
        <v>20</v>
      </c>
      <c r="E461" s="77" t="s">
        <v>21</v>
      </c>
      <c r="F461" s="77" t="s">
        <v>22</v>
      </c>
      <c r="G461" s="77" t="s">
        <v>23</v>
      </c>
      <c r="H461" s="77" t="s">
        <v>361</v>
      </c>
      <c r="I461" s="77" t="s">
        <v>25</v>
      </c>
      <c r="J461" s="77" t="s">
        <v>362</v>
      </c>
      <c r="K461" s="77" t="s">
        <v>5</v>
      </c>
      <c r="L461" s="77" t="s">
        <v>6</v>
      </c>
      <c r="M461" s="77" t="s">
        <v>7</v>
      </c>
      <c r="N461" s="77" t="s">
        <v>8</v>
      </c>
      <c r="O461" s="77" t="s">
        <v>9</v>
      </c>
      <c r="P461" s="77" t="s">
        <v>363</v>
      </c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  <c r="AG461" s="77"/>
    </row>
    <row r="462" spans="1:33" x14ac:dyDescent="0.25">
      <c r="A462" s="77" t="s">
        <v>364</v>
      </c>
      <c r="B462" s="77" t="s">
        <v>365</v>
      </c>
      <c r="C462" s="77" t="s">
        <v>365</v>
      </c>
      <c r="D462" s="77" t="s">
        <v>365</v>
      </c>
      <c r="E462" s="77" t="s">
        <v>365</v>
      </c>
      <c r="F462" s="77" t="s">
        <v>365</v>
      </c>
      <c r="G462" s="77" t="s">
        <v>365</v>
      </c>
      <c r="H462" s="77" t="s">
        <v>365</v>
      </c>
      <c r="I462" s="77" t="s">
        <v>365</v>
      </c>
      <c r="J462" s="77" t="s">
        <v>365</v>
      </c>
      <c r="K462" s="77" t="s">
        <v>365</v>
      </c>
      <c r="L462" s="77" t="s">
        <v>365</v>
      </c>
      <c r="M462" s="77" t="s">
        <v>365</v>
      </c>
      <c r="N462" s="77" t="s">
        <v>365</v>
      </c>
      <c r="O462" s="77" t="s">
        <v>365</v>
      </c>
      <c r="P462" s="77" t="s">
        <v>365</v>
      </c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  <c r="AG462" s="77"/>
    </row>
    <row r="463" spans="1:33" x14ac:dyDescent="0.25">
      <c r="A463" s="77" t="s">
        <v>1</v>
      </c>
      <c r="B463" s="77">
        <v>0</v>
      </c>
      <c r="C463" s="77">
        <v>0</v>
      </c>
      <c r="D463" s="77">
        <v>0</v>
      </c>
      <c r="E463" s="77">
        <v>0</v>
      </c>
      <c r="F463" s="77">
        <v>0</v>
      </c>
      <c r="G463" s="77">
        <v>0</v>
      </c>
      <c r="H463" s="77">
        <v>0</v>
      </c>
      <c r="I463" s="77">
        <v>0</v>
      </c>
      <c r="J463" s="77">
        <v>0</v>
      </c>
      <c r="K463" s="77">
        <v>0</v>
      </c>
      <c r="L463" s="77">
        <v>0</v>
      </c>
      <c r="M463" s="77">
        <v>0</v>
      </c>
      <c r="N463" s="77">
        <v>0</v>
      </c>
      <c r="O463" s="77">
        <v>0</v>
      </c>
      <c r="P463" s="77">
        <v>0</v>
      </c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  <c r="AG463" s="77"/>
    </row>
    <row r="464" spans="1:33" x14ac:dyDescent="0.25">
      <c r="A464" s="77" t="s">
        <v>2</v>
      </c>
      <c r="B464" s="77">
        <v>6.55047274</v>
      </c>
      <c r="C464" s="77">
        <v>0</v>
      </c>
      <c r="D464" s="77">
        <v>6.55047274</v>
      </c>
      <c r="E464" s="77">
        <v>0</v>
      </c>
      <c r="F464" s="77">
        <v>0</v>
      </c>
      <c r="G464" s="77">
        <v>0</v>
      </c>
      <c r="H464" s="77">
        <v>0</v>
      </c>
      <c r="I464" s="77">
        <v>0</v>
      </c>
      <c r="J464" s="77">
        <v>0</v>
      </c>
      <c r="K464" s="77">
        <v>6.55047274</v>
      </c>
      <c r="L464" s="77">
        <v>0</v>
      </c>
      <c r="M464" s="77">
        <v>0</v>
      </c>
      <c r="N464" s="77">
        <v>0</v>
      </c>
      <c r="O464" s="77">
        <v>0</v>
      </c>
      <c r="P464" s="77">
        <v>0</v>
      </c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  <c r="AG464" s="77"/>
    </row>
    <row r="465" spans="1:33" x14ac:dyDescent="0.25">
      <c r="A465" s="77" t="s">
        <v>3</v>
      </c>
      <c r="B465" s="77">
        <v>162.028232</v>
      </c>
      <c r="C465" s="77">
        <v>0</v>
      </c>
      <c r="D465" s="77">
        <v>162.028232</v>
      </c>
      <c r="E465" s="77">
        <v>122.299877</v>
      </c>
      <c r="F465" s="77">
        <v>0.47751534000000001</v>
      </c>
      <c r="G465" s="77">
        <v>14.537380199999999</v>
      </c>
      <c r="H465" s="77">
        <v>2.9835641100000001E-2</v>
      </c>
      <c r="I465" s="77">
        <v>0</v>
      </c>
      <c r="J465" s="77">
        <v>0</v>
      </c>
      <c r="K465" s="77">
        <v>24.683623699999998</v>
      </c>
      <c r="L465" s="77">
        <v>0</v>
      </c>
      <c r="M465" s="77">
        <v>0</v>
      </c>
      <c r="N465" s="77">
        <v>0</v>
      </c>
      <c r="O465" s="77">
        <v>0</v>
      </c>
      <c r="P465" s="77">
        <v>0</v>
      </c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  <c r="AG465" s="77"/>
    </row>
    <row r="466" spans="1:33" x14ac:dyDescent="0.25">
      <c r="A466" s="77" t="s">
        <v>4</v>
      </c>
      <c r="B466" s="77">
        <v>31.307618600000001</v>
      </c>
      <c r="C466" s="77">
        <v>0</v>
      </c>
      <c r="D466" s="77">
        <v>31.307618600000001</v>
      </c>
      <c r="E466" s="77">
        <v>14.315866400000001</v>
      </c>
      <c r="F466" s="77">
        <v>2.1387187700000001</v>
      </c>
      <c r="G466" s="77">
        <v>13.384748999999999</v>
      </c>
      <c r="H466" s="77">
        <v>0.66384739400000004</v>
      </c>
      <c r="I466" s="77">
        <v>0</v>
      </c>
      <c r="J466" s="77">
        <v>0</v>
      </c>
      <c r="K466" s="77">
        <v>0</v>
      </c>
      <c r="L466" s="77">
        <v>0</v>
      </c>
      <c r="M466" s="77">
        <v>0.80443703</v>
      </c>
      <c r="N466" s="77">
        <v>0</v>
      </c>
      <c r="O466" s="77">
        <v>0</v>
      </c>
      <c r="P466" s="77">
        <v>0</v>
      </c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  <c r="AG466" s="77"/>
    </row>
    <row r="467" spans="1:33" x14ac:dyDescent="0.25">
      <c r="A467" s="77" t="s">
        <v>5</v>
      </c>
      <c r="B467" s="77">
        <v>31.2340965</v>
      </c>
      <c r="C467" s="77">
        <v>31.2340965</v>
      </c>
      <c r="D467" s="105">
        <v>3.5527136800000002E-15</v>
      </c>
      <c r="E467" s="77">
        <v>18.243429899999999</v>
      </c>
      <c r="F467" s="77">
        <v>3.2275487300000001</v>
      </c>
      <c r="G467" s="77">
        <v>9.5241705999999997</v>
      </c>
      <c r="H467" s="77">
        <v>0.238947245</v>
      </c>
      <c r="I467" s="77">
        <v>0</v>
      </c>
      <c r="J467" s="77">
        <v>0</v>
      </c>
      <c r="K467" s="77">
        <v>0</v>
      </c>
      <c r="L467" s="77">
        <v>0</v>
      </c>
      <c r="M467" s="77">
        <v>0</v>
      </c>
      <c r="N467" s="77">
        <v>0</v>
      </c>
      <c r="O467" s="77">
        <v>0</v>
      </c>
      <c r="P467" s="77">
        <v>0</v>
      </c>
      <c r="R467" s="77"/>
      <c r="S467" s="77"/>
      <c r="T467" s="77"/>
      <c r="U467" s="105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  <c r="AG467" s="77"/>
    </row>
    <row r="468" spans="1:33" x14ac:dyDescent="0.25">
      <c r="A468" s="77" t="s">
        <v>6</v>
      </c>
      <c r="B468" s="77">
        <v>0</v>
      </c>
      <c r="C468" s="77">
        <v>0</v>
      </c>
      <c r="D468" s="77">
        <v>0</v>
      </c>
      <c r="E468" s="77">
        <v>0</v>
      </c>
      <c r="F468" s="77">
        <v>0</v>
      </c>
      <c r="G468" s="77">
        <v>0</v>
      </c>
      <c r="H468" s="77">
        <v>0</v>
      </c>
      <c r="I468" s="77">
        <v>0</v>
      </c>
      <c r="J468" s="77">
        <v>0</v>
      </c>
      <c r="K468" s="77">
        <v>0</v>
      </c>
      <c r="L468" s="77">
        <v>0</v>
      </c>
      <c r="M468" s="77">
        <v>0</v>
      </c>
      <c r="N468" s="77">
        <v>0</v>
      </c>
      <c r="O468" s="77">
        <v>0</v>
      </c>
      <c r="P468" s="77">
        <v>0</v>
      </c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  <c r="AG468" s="77"/>
    </row>
    <row r="469" spans="1:33" x14ac:dyDescent="0.25">
      <c r="A469" s="77" t="s">
        <v>7</v>
      </c>
      <c r="B469" s="77">
        <v>0.80443703</v>
      </c>
      <c r="C469" s="77">
        <v>0.80443703</v>
      </c>
      <c r="D469" s="77">
        <v>0</v>
      </c>
      <c r="E469" s="77">
        <v>0</v>
      </c>
      <c r="F469" s="77">
        <v>0.61719502900000001</v>
      </c>
      <c r="G469" s="77">
        <v>0.12961629599999999</v>
      </c>
      <c r="H469" s="77">
        <v>5.7625704200000002E-2</v>
      </c>
      <c r="I469" s="77">
        <v>0</v>
      </c>
      <c r="J469" s="77">
        <v>0</v>
      </c>
      <c r="K469" s="77">
        <v>0</v>
      </c>
      <c r="L469" s="77">
        <v>0</v>
      </c>
      <c r="M469" s="77">
        <v>0</v>
      </c>
      <c r="N469" s="77">
        <v>0</v>
      </c>
      <c r="O469" s="77">
        <v>0</v>
      </c>
      <c r="P469" s="77">
        <v>0</v>
      </c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  <c r="AG469" s="77"/>
    </row>
    <row r="470" spans="1:33" x14ac:dyDescent="0.25">
      <c r="A470" s="77" t="s">
        <v>8</v>
      </c>
      <c r="B470" s="77">
        <v>0</v>
      </c>
      <c r="C470" s="77">
        <v>0</v>
      </c>
      <c r="D470" s="77">
        <v>0</v>
      </c>
      <c r="E470" s="77">
        <v>0</v>
      </c>
      <c r="F470" s="77">
        <v>0</v>
      </c>
      <c r="G470" s="77">
        <v>0</v>
      </c>
      <c r="H470" s="77">
        <v>0</v>
      </c>
      <c r="I470" s="77">
        <v>0</v>
      </c>
      <c r="J470" s="77">
        <v>0</v>
      </c>
      <c r="K470" s="77">
        <v>0</v>
      </c>
      <c r="L470" s="77">
        <v>0</v>
      </c>
      <c r="M470" s="77">
        <v>0</v>
      </c>
      <c r="N470" s="77">
        <v>0</v>
      </c>
      <c r="O470" s="77">
        <v>0</v>
      </c>
      <c r="P470" s="77">
        <v>0</v>
      </c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  <c r="AG470" s="77"/>
    </row>
    <row r="471" spans="1:33" x14ac:dyDescent="0.25">
      <c r="A471" s="77" t="s">
        <v>9</v>
      </c>
      <c r="B471" s="77">
        <v>0</v>
      </c>
      <c r="C471" s="77">
        <v>0</v>
      </c>
      <c r="D471" s="77">
        <v>0</v>
      </c>
      <c r="E471" s="77">
        <v>0</v>
      </c>
      <c r="F471" s="77">
        <v>0</v>
      </c>
      <c r="G471" s="77">
        <v>0</v>
      </c>
      <c r="H471" s="77">
        <v>0</v>
      </c>
      <c r="I471" s="77">
        <v>0</v>
      </c>
      <c r="J471" s="77">
        <v>0</v>
      </c>
      <c r="K471" s="77">
        <v>0</v>
      </c>
      <c r="L471" s="77">
        <v>0</v>
      </c>
      <c r="M471" s="77">
        <v>0</v>
      </c>
      <c r="N471" s="77">
        <v>0</v>
      </c>
      <c r="O471" s="77">
        <v>0</v>
      </c>
      <c r="P471" s="77">
        <v>0</v>
      </c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  <c r="AG471" s="77"/>
    </row>
    <row r="472" spans="1:33" x14ac:dyDescent="0.25">
      <c r="A472" s="77" t="s">
        <v>10</v>
      </c>
      <c r="B472" s="77">
        <v>0</v>
      </c>
      <c r="C472" s="77">
        <v>0</v>
      </c>
      <c r="D472" s="77">
        <v>0</v>
      </c>
      <c r="E472" s="77">
        <v>0</v>
      </c>
      <c r="F472" s="77">
        <v>0</v>
      </c>
      <c r="G472" s="77">
        <v>0</v>
      </c>
      <c r="H472" s="77">
        <v>0</v>
      </c>
      <c r="I472" s="77">
        <v>0</v>
      </c>
      <c r="J472" s="77">
        <v>0</v>
      </c>
      <c r="K472" s="77">
        <v>0</v>
      </c>
      <c r="L472" s="77">
        <v>0</v>
      </c>
      <c r="M472" s="77">
        <v>0</v>
      </c>
      <c r="N472" s="77">
        <v>0</v>
      </c>
      <c r="O472" s="77">
        <v>0</v>
      </c>
      <c r="P472" s="77">
        <v>0</v>
      </c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  <c r="AG472" s="77"/>
    </row>
    <row r="473" spans="1:33" x14ac:dyDescent="0.25">
      <c r="A473" s="77" t="s">
        <v>11</v>
      </c>
      <c r="B473" s="77">
        <v>0</v>
      </c>
      <c r="C473" s="77">
        <v>0</v>
      </c>
      <c r="D473" s="77">
        <v>0</v>
      </c>
      <c r="E473" s="77">
        <v>0</v>
      </c>
      <c r="F473" s="77">
        <v>0</v>
      </c>
      <c r="G473" s="77">
        <v>0</v>
      </c>
      <c r="H473" s="77">
        <v>0</v>
      </c>
      <c r="I473" s="77">
        <v>0</v>
      </c>
      <c r="J473" s="77">
        <v>0</v>
      </c>
      <c r="K473" s="77">
        <v>0</v>
      </c>
      <c r="L473" s="77">
        <v>0</v>
      </c>
      <c r="M473" s="77">
        <v>0</v>
      </c>
      <c r="N473" s="77">
        <v>0</v>
      </c>
      <c r="O473" s="77">
        <v>0</v>
      </c>
      <c r="P473" s="77">
        <v>0</v>
      </c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  <c r="AG473" s="77"/>
    </row>
    <row r="474" spans="1:33" x14ac:dyDescent="0.25">
      <c r="A474" s="77" t="s">
        <v>12</v>
      </c>
      <c r="B474" s="77">
        <v>0</v>
      </c>
      <c r="C474" s="77">
        <v>0</v>
      </c>
      <c r="D474" s="77">
        <v>0</v>
      </c>
      <c r="E474" s="77">
        <v>0</v>
      </c>
      <c r="F474" s="77">
        <v>0</v>
      </c>
      <c r="G474" s="77">
        <v>0</v>
      </c>
      <c r="H474" s="77">
        <v>0</v>
      </c>
      <c r="I474" s="77">
        <v>0</v>
      </c>
      <c r="J474" s="77">
        <v>0</v>
      </c>
      <c r="K474" s="77">
        <v>0</v>
      </c>
      <c r="L474" s="77">
        <v>0</v>
      </c>
      <c r="M474" s="77">
        <v>0</v>
      </c>
      <c r="N474" s="77">
        <v>0</v>
      </c>
      <c r="O474" s="77">
        <v>0</v>
      </c>
      <c r="P474" s="77">
        <v>0</v>
      </c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  <c r="AG474" s="77"/>
    </row>
    <row r="475" spans="1:33" x14ac:dyDescent="0.25">
      <c r="A475" s="77" t="s">
        <v>13</v>
      </c>
      <c r="B475" s="77">
        <v>0</v>
      </c>
      <c r="C475" s="77">
        <v>0</v>
      </c>
      <c r="D475" s="77">
        <v>0</v>
      </c>
      <c r="E475" s="77">
        <v>0</v>
      </c>
      <c r="F475" s="77">
        <v>0</v>
      </c>
      <c r="G475" s="77">
        <v>0</v>
      </c>
      <c r="H475" s="77">
        <v>0</v>
      </c>
      <c r="I475" s="77">
        <v>0</v>
      </c>
      <c r="J475" s="77">
        <v>0</v>
      </c>
      <c r="K475" s="77">
        <v>0</v>
      </c>
      <c r="L475" s="77">
        <v>0</v>
      </c>
      <c r="M475" s="77">
        <v>0</v>
      </c>
      <c r="N475" s="77">
        <v>0</v>
      </c>
      <c r="O475" s="77">
        <v>0</v>
      </c>
      <c r="P475" s="77">
        <v>0</v>
      </c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  <c r="AG475" s="77"/>
    </row>
    <row r="476" spans="1:33" x14ac:dyDescent="0.25">
      <c r="A476" s="77" t="s">
        <v>14</v>
      </c>
      <c r="B476" s="77">
        <v>0</v>
      </c>
      <c r="C476" s="77">
        <v>0</v>
      </c>
      <c r="D476" s="77">
        <v>0</v>
      </c>
      <c r="E476" s="77">
        <v>0</v>
      </c>
      <c r="F476" s="77">
        <v>0</v>
      </c>
      <c r="G476" s="77">
        <v>0</v>
      </c>
      <c r="H476" s="77">
        <v>0</v>
      </c>
      <c r="I476" s="77">
        <v>0</v>
      </c>
      <c r="J476" s="77">
        <v>0</v>
      </c>
      <c r="K476" s="77">
        <v>0</v>
      </c>
      <c r="L476" s="77">
        <v>0</v>
      </c>
      <c r="M476" s="77">
        <v>0</v>
      </c>
      <c r="N476" s="77">
        <v>0</v>
      </c>
      <c r="O476" s="77">
        <v>0</v>
      </c>
      <c r="P476" s="77">
        <v>0</v>
      </c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  <c r="AG476" s="77"/>
    </row>
    <row r="477" spans="1:33" x14ac:dyDescent="0.25">
      <c r="A477" s="77" t="s">
        <v>435</v>
      </c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  <c r="AG477" s="77"/>
    </row>
    <row r="478" spans="1:33" x14ac:dyDescent="0.25">
      <c r="A478" s="77" t="s">
        <v>360</v>
      </c>
      <c r="B478" s="77" t="s">
        <v>366</v>
      </c>
      <c r="C478" s="77" t="s">
        <v>367</v>
      </c>
      <c r="D478" s="77" t="s">
        <v>368</v>
      </c>
      <c r="E478" s="77" t="s">
        <v>21</v>
      </c>
      <c r="F478" s="77" t="s">
        <v>22</v>
      </c>
      <c r="G478" s="77" t="s">
        <v>23</v>
      </c>
      <c r="H478" s="77" t="s">
        <v>361</v>
      </c>
      <c r="I478" s="77" t="s">
        <v>25</v>
      </c>
      <c r="J478" s="77" t="s">
        <v>362</v>
      </c>
      <c r="K478" s="77" t="s">
        <v>5</v>
      </c>
      <c r="L478" s="77" t="s">
        <v>6</v>
      </c>
      <c r="M478" s="77" t="s">
        <v>7</v>
      </c>
      <c r="N478" s="77" t="s">
        <v>8</v>
      </c>
      <c r="O478" s="77" t="s">
        <v>9</v>
      </c>
      <c r="P478" s="77" t="s">
        <v>363</v>
      </c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  <c r="AG478" s="77"/>
    </row>
    <row r="479" spans="1:33" x14ac:dyDescent="0.25">
      <c r="A479" s="77" t="s">
        <v>364</v>
      </c>
      <c r="B479" s="77" t="s">
        <v>369</v>
      </c>
      <c r="C479" s="77" t="s">
        <v>369</v>
      </c>
      <c r="D479" s="77" t="s">
        <v>369</v>
      </c>
      <c r="E479" s="77" t="s">
        <v>369</v>
      </c>
      <c r="F479" s="77" t="s">
        <v>369</v>
      </c>
      <c r="G479" s="77" t="s">
        <v>369</v>
      </c>
      <c r="H479" s="77" t="s">
        <v>369</v>
      </c>
      <c r="I479" s="77" t="s">
        <v>369</v>
      </c>
      <c r="J479" s="77" t="s">
        <v>369</v>
      </c>
      <c r="K479" s="77" t="s">
        <v>369</v>
      </c>
      <c r="L479" s="77" t="s">
        <v>369</v>
      </c>
      <c r="M479" s="77" t="s">
        <v>369</v>
      </c>
      <c r="N479" s="77" t="s">
        <v>369</v>
      </c>
      <c r="O479" s="77" t="s">
        <v>369</v>
      </c>
      <c r="P479" s="77" t="s">
        <v>369</v>
      </c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  <c r="AG479" s="77"/>
    </row>
    <row r="480" spans="1:33" x14ac:dyDescent="0.25">
      <c r="A480" s="77" t="s">
        <v>1</v>
      </c>
      <c r="B480" s="77">
        <v>71.5974152</v>
      </c>
      <c r="C480" s="77">
        <v>0</v>
      </c>
      <c r="D480" s="77">
        <v>71.5974152</v>
      </c>
      <c r="E480" s="77">
        <v>35.699894</v>
      </c>
      <c r="F480" s="77">
        <v>0</v>
      </c>
      <c r="G480" s="77">
        <v>24.974830000000001</v>
      </c>
      <c r="H480" s="77">
        <v>0</v>
      </c>
      <c r="I480" s="77">
        <v>0</v>
      </c>
      <c r="J480" s="77">
        <v>0</v>
      </c>
      <c r="K480" s="77">
        <v>1.88927278</v>
      </c>
      <c r="L480" s="77">
        <v>0</v>
      </c>
      <c r="M480" s="77">
        <v>9.0334184299999993</v>
      </c>
      <c r="N480" s="77">
        <v>0</v>
      </c>
      <c r="O480" s="77">
        <v>0</v>
      </c>
      <c r="P480" s="77">
        <v>0</v>
      </c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  <c r="AG480" s="77"/>
    </row>
    <row r="481" spans="1:33" x14ac:dyDescent="0.25">
      <c r="A481" s="77" t="s">
        <v>2</v>
      </c>
      <c r="B481" s="77">
        <v>12.3295488</v>
      </c>
      <c r="C481" s="77">
        <v>0</v>
      </c>
      <c r="D481" s="77">
        <v>12.3295488</v>
      </c>
      <c r="E481" s="77">
        <v>0</v>
      </c>
      <c r="F481" s="77">
        <v>0</v>
      </c>
      <c r="G481" s="77">
        <v>0.41165132799999998</v>
      </c>
      <c r="H481" s="77">
        <v>0</v>
      </c>
      <c r="I481" s="77">
        <v>0</v>
      </c>
      <c r="J481" s="77">
        <v>0</v>
      </c>
      <c r="K481" s="77">
        <v>11.917897399999999</v>
      </c>
      <c r="L481" s="77">
        <v>0</v>
      </c>
      <c r="M481" s="77">
        <v>0</v>
      </c>
      <c r="N481" s="77">
        <v>0</v>
      </c>
      <c r="O481" s="77">
        <v>0</v>
      </c>
      <c r="P481" s="77">
        <v>0</v>
      </c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  <c r="AG481" s="77"/>
    </row>
    <row r="482" spans="1:33" x14ac:dyDescent="0.25">
      <c r="A482" s="77" t="s">
        <v>3</v>
      </c>
      <c r="B482" s="77">
        <v>61.406603799999999</v>
      </c>
      <c r="C482" s="77">
        <v>0</v>
      </c>
      <c r="D482" s="77">
        <v>61.406603799999999</v>
      </c>
      <c r="E482" s="77">
        <v>39.361964700000001</v>
      </c>
      <c r="F482" s="77">
        <v>0.182302663</v>
      </c>
      <c r="G482" s="77">
        <v>5.9697369399999998</v>
      </c>
      <c r="H482" s="77">
        <v>1.21570863E-2</v>
      </c>
      <c r="I482" s="77">
        <v>0</v>
      </c>
      <c r="J482" s="77">
        <v>0</v>
      </c>
      <c r="K482" s="77">
        <v>4.3912813799999997</v>
      </c>
      <c r="L482" s="77">
        <v>0</v>
      </c>
      <c r="M482" s="77">
        <v>0</v>
      </c>
      <c r="N482" s="77">
        <v>0</v>
      </c>
      <c r="O482" s="77">
        <v>0</v>
      </c>
      <c r="P482" s="77">
        <v>11.4891611</v>
      </c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  <c r="AG482" s="77"/>
    </row>
    <row r="483" spans="1:33" x14ac:dyDescent="0.25">
      <c r="A483" s="77" t="s">
        <v>4</v>
      </c>
      <c r="B483" s="77">
        <v>140.73258200000001</v>
      </c>
      <c r="C483" s="77">
        <v>0</v>
      </c>
      <c r="D483" s="77">
        <v>140.73258200000001</v>
      </c>
      <c r="E483" s="77">
        <v>72.1534549</v>
      </c>
      <c r="F483" s="77">
        <v>11.657047499999999</v>
      </c>
      <c r="G483" s="77">
        <v>57.867974699999998</v>
      </c>
      <c r="H483" s="77">
        <v>2.6270512500000001</v>
      </c>
      <c r="I483" s="77">
        <v>0</v>
      </c>
      <c r="J483" s="77">
        <v>0</v>
      </c>
      <c r="K483" s="77">
        <v>0</v>
      </c>
      <c r="L483" s="77">
        <v>0</v>
      </c>
      <c r="M483" s="77">
        <v>2.55009503</v>
      </c>
      <c r="N483" s="77">
        <v>0</v>
      </c>
      <c r="O483" s="77">
        <v>0</v>
      </c>
      <c r="P483" s="77">
        <v>-6.1230408900000004</v>
      </c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  <c r="AG483" s="77"/>
    </row>
    <row r="484" spans="1:33" x14ac:dyDescent="0.25">
      <c r="A484" s="77" t="s">
        <v>5</v>
      </c>
      <c r="B484" s="77">
        <v>55.4138941</v>
      </c>
      <c r="C484" s="77">
        <v>60.425594199999999</v>
      </c>
      <c r="D484" s="77">
        <v>-5.0117001300000004</v>
      </c>
      <c r="E484" s="77">
        <v>26.463372700000001</v>
      </c>
      <c r="F484" s="77">
        <v>4.8843999800000004</v>
      </c>
      <c r="G484" s="77">
        <v>23.6303701</v>
      </c>
      <c r="H484" s="77">
        <v>0.435751371</v>
      </c>
      <c r="I484" s="77">
        <v>0</v>
      </c>
      <c r="J484" s="77">
        <v>0</v>
      </c>
      <c r="K484" s="77">
        <v>0</v>
      </c>
      <c r="L484" s="77">
        <v>0</v>
      </c>
      <c r="M484" s="77">
        <v>0</v>
      </c>
      <c r="N484" s="77">
        <v>0</v>
      </c>
      <c r="O484" s="77">
        <v>0</v>
      </c>
      <c r="P484" s="77">
        <v>0</v>
      </c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  <c r="AG484" s="77"/>
    </row>
    <row r="485" spans="1:33" x14ac:dyDescent="0.25">
      <c r="A485" s="77" t="s">
        <v>6</v>
      </c>
      <c r="B485" s="77">
        <v>0</v>
      </c>
      <c r="C485" s="77">
        <v>0</v>
      </c>
      <c r="D485" s="77">
        <v>0</v>
      </c>
      <c r="E485" s="77">
        <v>0</v>
      </c>
      <c r="F485" s="77">
        <v>0</v>
      </c>
      <c r="G485" s="77">
        <v>0</v>
      </c>
      <c r="H485" s="77">
        <v>0</v>
      </c>
      <c r="I485" s="77">
        <v>0</v>
      </c>
      <c r="J485" s="77">
        <v>0</v>
      </c>
      <c r="K485" s="77">
        <v>0</v>
      </c>
      <c r="L485" s="77">
        <v>0</v>
      </c>
      <c r="M485" s="77">
        <v>0</v>
      </c>
      <c r="N485" s="77">
        <v>0</v>
      </c>
      <c r="O485" s="77">
        <v>0</v>
      </c>
      <c r="P485" s="77">
        <v>0</v>
      </c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  <c r="AG485" s="77"/>
    </row>
    <row r="486" spans="1:33" x14ac:dyDescent="0.25">
      <c r="A486" s="77" t="s">
        <v>7</v>
      </c>
      <c r="B486" s="77">
        <v>15.873154899999999</v>
      </c>
      <c r="C486" s="77">
        <v>13.2910603</v>
      </c>
      <c r="D486" s="77">
        <v>2.5820946</v>
      </c>
      <c r="E486" s="77">
        <v>0</v>
      </c>
      <c r="F486" s="77">
        <v>13.3115027</v>
      </c>
      <c r="G486" s="77">
        <v>1.6744958999999999</v>
      </c>
      <c r="H486" s="77">
        <v>0.88715623600000004</v>
      </c>
      <c r="I486" s="77">
        <v>0</v>
      </c>
      <c r="J486" s="77">
        <v>0</v>
      </c>
      <c r="K486" s="77">
        <v>0</v>
      </c>
      <c r="L486" s="77">
        <v>0</v>
      </c>
      <c r="M486" s="77">
        <v>0</v>
      </c>
      <c r="N486" s="77">
        <v>0</v>
      </c>
      <c r="O486" s="77">
        <v>0</v>
      </c>
      <c r="P486" s="77">
        <v>0</v>
      </c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  <c r="AG486" s="77"/>
    </row>
    <row r="487" spans="1:33" x14ac:dyDescent="0.25">
      <c r="A487" s="77" t="s">
        <v>8</v>
      </c>
      <c r="B487" s="77">
        <v>0</v>
      </c>
      <c r="C487" s="77">
        <v>0</v>
      </c>
      <c r="D487" s="77">
        <v>0</v>
      </c>
      <c r="E487" s="77">
        <v>0</v>
      </c>
      <c r="F487" s="77">
        <v>0</v>
      </c>
      <c r="G487" s="77">
        <v>0</v>
      </c>
      <c r="H487" s="77">
        <v>0</v>
      </c>
      <c r="I487" s="77">
        <v>0</v>
      </c>
      <c r="J487" s="77">
        <v>0</v>
      </c>
      <c r="K487" s="77">
        <v>0</v>
      </c>
      <c r="L487" s="77">
        <v>0</v>
      </c>
      <c r="M487" s="77">
        <v>0</v>
      </c>
      <c r="N487" s="77">
        <v>0</v>
      </c>
      <c r="O487" s="77">
        <v>0</v>
      </c>
      <c r="P487" s="77">
        <v>0</v>
      </c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  <c r="AG487" s="77"/>
    </row>
    <row r="488" spans="1:33" x14ac:dyDescent="0.25">
      <c r="A488" s="77" t="s">
        <v>9</v>
      </c>
      <c r="B488" s="77">
        <v>0</v>
      </c>
      <c r="C488" s="77">
        <v>0</v>
      </c>
      <c r="D488" s="77">
        <v>0</v>
      </c>
      <c r="E488" s="77">
        <v>0</v>
      </c>
      <c r="F488" s="77">
        <v>0</v>
      </c>
      <c r="G488" s="77">
        <v>0</v>
      </c>
      <c r="H488" s="77">
        <v>0</v>
      </c>
      <c r="I488" s="77">
        <v>0</v>
      </c>
      <c r="J488" s="77">
        <v>0</v>
      </c>
      <c r="K488" s="77">
        <v>0</v>
      </c>
      <c r="L488" s="77">
        <v>0</v>
      </c>
      <c r="M488" s="77">
        <v>0</v>
      </c>
      <c r="N488" s="77">
        <v>0</v>
      </c>
      <c r="O488" s="77">
        <v>0</v>
      </c>
      <c r="P488" s="77">
        <v>0</v>
      </c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  <c r="AG488" s="77"/>
    </row>
    <row r="489" spans="1:33" x14ac:dyDescent="0.25">
      <c r="A489" s="77" t="s">
        <v>10</v>
      </c>
      <c r="B489" s="77">
        <v>24.7833896</v>
      </c>
      <c r="C489" s="77">
        <v>0</v>
      </c>
      <c r="D489" s="77">
        <v>24.7833896</v>
      </c>
      <c r="E489" s="77">
        <v>0</v>
      </c>
      <c r="F489" s="77">
        <v>-1.9292499999999999</v>
      </c>
      <c r="G489" s="77">
        <v>0.22884494699999999</v>
      </c>
      <c r="H489" s="77">
        <v>0</v>
      </c>
      <c r="I489" s="77">
        <v>0</v>
      </c>
      <c r="J489" s="77">
        <v>0</v>
      </c>
      <c r="K489" s="77">
        <v>26.4527863</v>
      </c>
      <c r="L489" s="77">
        <v>0</v>
      </c>
      <c r="M489" s="77">
        <v>3.1008351900000002E-2</v>
      </c>
      <c r="N489" s="77">
        <v>0</v>
      </c>
      <c r="O489" s="77">
        <v>0</v>
      </c>
      <c r="P489" s="77">
        <v>0</v>
      </c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  <c r="AG489" s="77"/>
    </row>
    <row r="490" spans="1:33" x14ac:dyDescent="0.25">
      <c r="A490" s="77" t="s">
        <v>11</v>
      </c>
      <c r="B490" s="77">
        <v>4.3482803600000004</v>
      </c>
      <c r="C490" s="77">
        <v>0</v>
      </c>
      <c r="D490" s="77">
        <v>4.3482803600000004</v>
      </c>
      <c r="E490" s="77">
        <v>1.9883147800000001</v>
      </c>
      <c r="F490" s="77">
        <v>0.297044274</v>
      </c>
      <c r="G490" s="77">
        <v>1.85899291</v>
      </c>
      <c r="H490" s="77">
        <v>9.2201026899999997E-2</v>
      </c>
      <c r="I490" s="77">
        <v>0</v>
      </c>
      <c r="J490" s="77">
        <v>0</v>
      </c>
      <c r="K490" s="77">
        <v>0</v>
      </c>
      <c r="L490" s="77">
        <v>0</v>
      </c>
      <c r="M490" s="77">
        <v>0.111727365</v>
      </c>
      <c r="N490" s="77">
        <v>0</v>
      </c>
      <c r="O490" s="77">
        <v>0</v>
      </c>
      <c r="P490" s="77">
        <v>0</v>
      </c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  <c r="AG490" s="77"/>
    </row>
    <row r="491" spans="1:33" x14ac:dyDescent="0.25">
      <c r="A491" s="77" t="s">
        <v>12</v>
      </c>
      <c r="B491" s="77">
        <v>68.896870500000006</v>
      </c>
      <c r="C491" s="77">
        <v>5.3661202299999999</v>
      </c>
      <c r="D491" s="77">
        <v>63.530750300000001</v>
      </c>
      <c r="E491" s="77">
        <v>54.0673089</v>
      </c>
      <c r="F491" s="77">
        <v>0.813247465</v>
      </c>
      <c r="G491" s="77">
        <v>9.92515006</v>
      </c>
      <c r="H491" s="77">
        <v>0.22554736</v>
      </c>
      <c r="I491" s="77">
        <v>0</v>
      </c>
      <c r="J491" s="77">
        <v>0</v>
      </c>
      <c r="K491" s="77">
        <v>3.5284331099999999</v>
      </c>
      <c r="L491" s="77">
        <v>0</v>
      </c>
      <c r="M491" s="77">
        <v>0.33718362400000002</v>
      </c>
      <c r="N491" s="77">
        <v>0</v>
      </c>
      <c r="O491" s="77">
        <v>0</v>
      </c>
      <c r="P491" s="77">
        <v>0</v>
      </c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  <c r="AG491" s="77"/>
    </row>
    <row r="492" spans="1:33" x14ac:dyDescent="0.25">
      <c r="A492" s="77" t="s">
        <v>13</v>
      </c>
      <c r="B492" s="77">
        <v>64.508817199999996</v>
      </c>
      <c r="C492" s="77">
        <v>0</v>
      </c>
      <c r="D492" s="77">
        <v>64.508817199999996</v>
      </c>
      <c r="E492" s="77">
        <v>45.566713</v>
      </c>
      <c r="F492" s="77">
        <v>6.5405643700000002</v>
      </c>
      <c r="G492" s="77">
        <v>0</v>
      </c>
      <c r="H492" s="77">
        <v>0</v>
      </c>
      <c r="I492" s="77">
        <v>0</v>
      </c>
      <c r="J492" s="77">
        <v>0</v>
      </c>
      <c r="K492" s="77">
        <v>11.891989799999999</v>
      </c>
      <c r="L492" s="77">
        <v>0</v>
      </c>
      <c r="M492" s="77">
        <v>0.50954999999999995</v>
      </c>
      <c r="N492" s="77">
        <v>0</v>
      </c>
      <c r="O492" s="77">
        <v>0</v>
      </c>
      <c r="P492" s="77">
        <v>0</v>
      </c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  <c r="AG492" s="77"/>
    </row>
    <row r="493" spans="1:33" x14ac:dyDescent="0.25">
      <c r="A493" s="77" t="s">
        <v>14</v>
      </c>
      <c r="B493" s="77">
        <v>24.716511100000002</v>
      </c>
      <c r="C493" s="77">
        <v>0</v>
      </c>
      <c r="D493" s="77">
        <v>24.716511100000002</v>
      </c>
      <c r="E493" s="77">
        <v>7.7004144500000002</v>
      </c>
      <c r="F493" s="77">
        <v>1.7742529499999999</v>
      </c>
      <c r="G493" s="77">
        <v>14.0527111</v>
      </c>
      <c r="H493" s="77">
        <v>0.11712183</v>
      </c>
      <c r="I493" s="105">
        <v>0</v>
      </c>
      <c r="J493" s="77">
        <v>0</v>
      </c>
      <c r="K493" s="77">
        <v>0.35393336399999997</v>
      </c>
      <c r="L493" s="77">
        <v>0</v>
      </c>
      <c r="M493" s="77">
        <v>0.71807745899999997</v>
      </c>
      <c r="N493" s="77">
        <v>0</v>
      </c>
      <c r="O493" s="77">
        <v>0</v>
      </c>
      <c r="P493" s="77">
        <v>0</v>
      </c>
      <c r="R493" s="77"/>
      <c r="S493" s="77"/>
      <c r="T493" s="77"/>
      <c r="U493" s="77"/>
      <c r="V493" s="77"/>
      <c r="W493" s="77"/>
      <c r="X493" s="77"/>
      <c r="Y493" s="77"/>
      <c r="Z493" s="105"/>
      <c r="AA493" s="77"/>
      <c r="AB493" s="77"/>
      <c r="AC493" s="77"/>
      <c r="AD493" s="77"/>
      <c r="AE493" s="77"/>
      <c r="AF493" s="77"/>
      <c r="AG493" s="77"/>
    </row>
    <row r="494" spans="1:33" x14ac:dyDescent="0.25">
      <c r="A494" s="77" t="s">
        <v>436</v>
      </c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  <c r="AG494" s="77"/>
    </row>
    <row r="495" spans="1:33" x14ac:dyDescent="0.25">
      <c r="A495" s="77" t="s">
        <v>360</v>
      </c>
      <c r="B495" s="77" t="s">
        <v>18</v>
      </c>
      <c r="C495" s="77" t="s">
        <v>19</v>
      </c>
      <c r="D495" s="77" t="s">
        <v>20</v>
      </c>
      <c r="E495" s="77" t="s">
        <v>21</v>
      </c>
      <c r="F495" s="77" t="s">
        <v>22</v>
      </c>
      <c r="G495" s="77" t="s">
        <v>23</v>
      </c>
      <c r="H495" s="77" t="s">
        <v>361</v>
      </c>
      <c r="I495" s="77" t="s">
        <v>25</v>
      </c>
      <c r="J495" s="77" t="s">
        <v>362</v>
      </c>
      <c r="K495" s="77" t="s">
        <v>5</v>
      </c>
      <c r="L495" s="77" t="s">
        <v>6</v>
      </c>
      <c r="M495" s="77" t="s">
        <v>7</v>
      </c>
      <c r="N495" s="77" t="s">
        <v>8</v>
      </c>
      <c r="O495" s="77" t="s">
        <v>9</v>
      </c>
      <c r="P495" s="77" t="s">
        <v>363</v>
      </c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  <c r="AG495" s="77"/>
    </row>
    <row r="496" spans="1:33" x14ac:dyDescent="0.25">
      <c r="A496" s="77" t="s">
        <v>364</v>
      </c>
      <c r="B496" s="77" t="s">
        <v>370</v>
      </c>
      <c r="C496" s="77" t="s">
        <v>370</v>
      </c>
      <c r="D496" s="77" t="s">
        <v>370</v>
      </c>
      <c r="E496" s="77" t="s">
        <v>370</v>
      </c>
      <c r="F496" s="77" t="s">
        <v>370</v>
      </c>
      <c r="G496" s="77" t="s">
        <v>370</v>
      </c>
      <c r="H496" s="77" t="s">
        <v>370</v>
      </c>
      <c r="I496" s="77" t="s">
        <v>370</v>
      </c>
      <c r="J496" s="77" t="s">
        <v>370</v>
      </c>
      <c r="K496" s="77" t="s">
        <v>370</v>
      </c>
      <c r="L496" s="77" t="s">
        <v>370</v>
      </c>
      <c r="M496" s="77" t="s">
        <v>370</v>
      </c>
      <c r="N496" s="77" t="s">
        <v>370</v>
      </c>
      <c r="O496" s="77" t="s">
        <v>370</v>
      </c>
      <c r="P496" s="77" t="s">
        <v>370</v>
      </c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  <c r="AG496" s="77"/>
    </row>
    <row r="497" spans="1:33" x14ac:dyDescent="0.25">
      <c r="A497" s="77" t="s">
        <v>1</v>
      </c>
      <c r="B497" s="77">
        <v>0</v>
      </c>
      <c r="C497" s="77">
        <v>0</v>
      </c>
      <c r="D497" s="77">
        <v>0</v>
      </c>
      <c r="E497" s="77">
        <v>0</v>
      </c>
      <c r="F497" s="77">
        <v>0</v>
      </c>
      <c r="G497" s="77">
        <v>0</v>
      </c>
      <c r="H497" s="77">
        <v>0</v>
      </c>
      <c r="I497" s="77">
        <v>0</v>
      </c>
      <c r="J497" s="77">
        <v>0</v>
      </c>
      <c r="K497" s="77">
        <v>0</v>
      </c>
      <c r="L497" s="77">
        <v>0</v>
      </c>
      <c r="M497" s="77">
        <v>0</v>
      </c>
      <c r="N497" s="77">
        <v>0</v>
      </c>
      <c r="O497" s="77">
        <v>0</v>
      </c>
      <c r="P497" s="77">
        <v>0</v>
      </c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  <c r="AG497" s="77"/>
    </row>
    <row r="498" spans="1:33" x14ac:dyDescent="0.25">
      <c r="A498" s="77" t="s">
        <v>2</v>
      </c>
      <c r="B498" s="77">
        <v>1.80435441</v>
      </c>
      <c r="C498" s="77">
        <v>0</v>
      </c>
      <c r="D498" s="77">
        <v>1.80435441</v>
      </c>
      <c r="E498" s="77">
        <v>0</v>
      </c>
      <c r="F498" s="77">
        <v>0</v>
      </c>
      <c r="G498" s="77">
        <v>0</v>
      </c>
      <c r="H498" s="77">
        <v>0</v>
      </c>
      <c r="I498" s="77">
        <v>0</v>
      </c>
      <c r="J498" s="77">
        <v>0</v>
      </c>
      <c r="K498" s="77">
        <v>1.80435441</v>
      </c>
      <c r="L498" s="77">
        <v>0</v>
      </c>
      <c r="M498" s="77">
        <v>0</v>
      </c>
      <c r="N498" s="77">
        <v>0</v>
      </c>
      <c r="O498" s="77">
        <v>0</v>
      </c>
      <c r="P498" s="77">
        <v>0</v>
      </c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  <c r="AG498" s="77"/>
    </row>
    <row r="499" spans="1:33" x14ac:dyDescent="0.25">
      <c r="A499" s="77" t="s">
        <v>3</v>
      </c>
      <c r="B499" s="77">
        <v>3.20111956</v>
      </c>
      <c r="C499" s="77">
        <v>0</v>
      </c>
      <c r="D499" s="77">
        <v>3.20111956</v>
      </c>
      <c r="E499" s="77">
        <v>2.4162241600000001</v>
      </c>
      <c r="F499" s="77">
        <v>9.4340577500000005E-3</v>
      </c>
      <c r="G499" s="77">
        <v>0.28720854099999998</v>
      </c>
      <c r="H499" s="77">
        <v>5.8944946300000002E-4</v>
      </c>
      <c r="I499" s="77">
        <v>0</v>
      </c>
      <c r="J499" s="77">
        <v>0</v>
      </c>
      <c r="K499" s="77">
        <v>0.48766335300000002</v>
      </c>
      <c r="L499" s="77">
        <v>0</v>
      </c>
      <c r="M499" s="77">
        <v>0</v>
      </c>
      <c r="N499" s="77">
        <v>0</v>
      </c>
      <c r="O499" s="77">
        <v>0</v>
      </c>
      <c r="P499" s="77">
        <v>0</v>
      </c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  <c r="AG499" s="77"/>
    </row>
    <row r="500" spans="1:33" x14ac:dyDescent="0.25">
      <c r="A500" s="77" t="s">
        <v>4</v>
      </c>
      <c r="B500" s="77">
        <v>3.1307618599999998</v>
      </c>
      <c r="C500" s="77">
        <v>0</v>
      </c>
      <c r="D500" s="77">
        <v>3.1307618599999998</v>
      </c>
      <c r="E500" s="77">
        <v>1.4315866399999999</v>
      </c>
      <c r="F500" s="77">
        <v>0.21387187699999999</v>
      </c>
      <c r="G500" s="77">
        <v>1.3384749</v>
      </c>
      <c r="H500" s="77">
        <v>6.6384739400000004E-2</v>
      </c>
      <c r="I500" s="77">
        <v>0</v>
      </c>
      <c r="J500" s="77">
        <v>0</v>
      </c>
      <c r="K500" s="77">
        <v>0</v>
      </c>
      <c r="L500" s="77">
        <v>0</v>
      </c>
      <c r="M500" s="77">
        <v>8.0443703000000005E-2</v>
      </c>
      <c r="N500" s="77">
        <v>0</v>
      </c>
      <c r="O500" s="77">
        <v>0</v>
      </c>
      <c r="P500" s="77">
        <v>0</v>
      </c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  <c r="AG500" s="77"/>
    </row>
    <row r="501" spans="1:33" x14ac:dyDescent="0.25">
      <c r="A501" s="77" t="s">
        <v>5</v>
      </c>
      <c r="B501" s="77">
        <v>1.80435441</v>
      </c>
      <c r="C501" s="77">
        <v>2.2920177599999998</v>
      </c>
      <c r="D501" s="77">
        <v>-0.48766335300000002</v>
      </c>
      <c r="E501" s="77">
        <v>1.0538999600000001</v>
      </c>
      <c r="F501" s="77">
        <v>0.186451424</v>
      </c>
      <c r="G501" s="77">
        <v>0.55019933700000001</v>
      </c>
      <c r="H501" s="77">
        <v>1.38036813E-2</v>
      </c>
      <c r="I501" s="77">
        <v>0</v>
      </c>
      <c r="J501" s="77">
        <v>0</v>
      </c>
      <c r="K501" s="77">
        <v>0</v>
      </c>
      <c r="L501" s="77">
        <v>0</v>
      </c>
      <c r="M501" s="77">
        <v>0</v>
      </c>
      <c r="N501" s="77">
        <v>0</v>
      </c>
      <c r="O501" s="77">
        <v>0</v>
      </c>
      <c r="P501" s="77">
        <v>0</v>
      </c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  <c r="AG501" s="77"/>
    </row>
    <row r="502" spans="1:33" x14ac:dyDescent="0.25">
      <c r="A502" s="77" t="s">
        <v>6</v>
      </c>
      <c r="B502" s="77">
        <v>0</v>
      </c>
      <c r="C502" s="77">
        <v>0</v>
      </c>
      <c r="D502" s="77">
        <v>0</v>
      </c>
      <c r="E502" s="77">
        <v>0</v>
      </c>
      <c r="F502" s="77">
        <v>0</v>
      </c>
      <c r="G502" s="77">
        <v>0</v>
      </c>
      <c r="H502" s="77">
        <v>0</v>
      </c>
      <c r="I502" s="77">
        <v>0</v>
      </c>
      <c r="J502" s="77">
        <v>0</v>
      </c>
      <c r="K502" s="77">
        <v>0</v>
      </c>
      <c r="L502" s="77">
        <v>0</v>
      </c>
      <c r="M502" s="77">
        <v>0</v>
      </c>
      <c r="N502" s="77">
        <v>0</v>
      </c>
      <c r="O502" s="77">
        <v>0</v>
      </c>
      <c r="P502" s="77">
        <v>0</v>
      </c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  <c r="AG502" s="77"/>
    </row>
    <row r="503" spans="1:33" x14ac:dyDescent="0.25">
      <c r="A503" s="77" t="s">
        <v>7</v>
      </c>
      <c r="B503" s="77">
        <v>0.20307145600000001</v>
      </c>
      <c r="C503" s="77">
        <v>8.0443703000000005E-2</v>
      </c>
      <c r="D503" s="77">
        <v>0.12262775300000001</v>
      </c>
      <c r="E503" s="77">
        <v>0</v>
      </c>
      <c r="F503" s="77">
        <v>0.15580423099999999</v>
      </c>
      <c r="G503" s="77">
        <v>3.2720236600000001E-2</v>
      </c>
      <c r="H503" s="77">
        <v>1.4546987799999999E-2</v>
      </c>
      <c r="I503" s="77">
        <v>0</v>
      </c>
      <c r="J503" s="77">
        <v>0</v>
      </c>
      <c r="K503" s="77">
        <v>0</v>
      </c>
      <c r="L503" s="77">
        <v>0</v>
      </c>
      <c r="M503" s="77">
        <v>0</v>
      </c>
      <c r="N503" s="77">
        <v>0</v>
      </c>
      <c r="O503" s="77">
        <v>0</v>
      </c>
      <c r="P503" s="77">
        <v>0</v>
      </c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  <c r="AG503" s="77"/>
    </row>
    <row r="504" spans="1:33" x14ac:dyDescent="0.25">
      <c r="A504" s="77" t="s">
        <v>8</v>
      </c>
      <c r="B504" s="77">
        <v>0</v>
      </c>
      <c r="C504" s="77">
        <v>0</v>
      </c>
      <c r="D504" s="77">
        <v>0</v>
      </c>
      <c r="E504" s="77">
        <v>0</v>
      </c>
      <c r="F504" s="77">
        <v>0</v>
      </c>
      <c r="G504" s="77">
        <v>0</v>
      </c>
      <c r="H504" s="77">
        <v>0</v>
      </c>
      <c r="I504" s="77">
        <v>0</v>
      </c>
      <c r="J504" s="77">
        <v>0</v>
      </c>
      <c r="K504" s="77">
        <v>0</v>
      </c>
      <c r="L504" s="77">
        <v>0</v>
      </c>
      <c r="M504" s="77">
        <v>0</v>
      </c>
      <c r="N504" s="77">
        <v>0</v>
      </c>
      <c r="O504" s="77">
        <v>0</v>
      </c>
      <c r="P504" s="77">
        <v>0</v>
      </c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  <c r="AG504" s="77"/>
    </row>
    <row r="505" spans="1:33" x14ac:dyDescent="0.25">
      <c r="A505" s="77" t="s">
        <v>9</v>
      </c>
      <c r="B505" s="77">
        <v>0</v>
      </c>
      <c r="C505" s="77">
        <v>0</v>
      </c>
      <c r="D505" s="77">
        <v>0</v>
      </c>
      <c r="E505" s="77">
        <v>0</v>
      </c>
      <c r="F505" s="77">
        <v>0</v>
      </c>
      <c r="G505" s="77">
        <v>0</v>
      </c>
      <c r="H505" s="77">
        <v>0</v>
      </c>
      <c r="I505" s="77">
        <v>0</v>
      </c>
      <c r="J505" s="77">
        <v>0</v>
      </c>
      <c r="K505" s="77">
        <v>0</v>
      </c>
      <c r="L505" s="77">
        <v>0</v>
      </c>
      <c r="M505" s="77">
        <v>0</v>
      </c>
      <c r="N505" s="77">
        <v>0</v>
      </c>
      <c r="O505" s="77">
        <v>0</v>
      </c>
      <c r="P505" s="77">
        <v>0</v>
      </c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  <c r="AG505" s="77"/>
    </row>
    <row r="506" spans="1:33" x14ac:dyDescent="0.25">
      <c r="A506" s="77" t="s">
        <v>10</v>
      </c>
      <c r="B506" s="77">
        <v>0</v>
      </c>
      <c r="C506" s="77">
        <v>0</v>
      </c>
      <c r="D506" s="77">
        <v>0</v>
      </c>
      <c r="E506" s="77">
        <v>0</v>
      </c>
      <c r="F506" s="77">
        <v>0</v>
      </c>
      <c r="G506" s="77">
        <v>0</v>
      </c>
      <c r="H506" s="77">
        <v>0</v>
      </c>
      <c r="I506" s="77">
        <v>0</v>
      </c>
      <c r="J506" s="77">
        <v>0</v>
      </c>
      <c r="K506" s="77">
        <v>0</v>
      </c>
      <c r="L506" s="77">
        <v>0</v>
      </c>
      <c r="M506" s="77">
        <v>0</v>
      </c>
      <c r="N506" s="77">
        <v>0</v>
      </c>
      <c r="O506" s="77">
        <v>0</v>
      </c>
      <c r="P506" s="77">
        <v>0</v>
      </c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  <c r="AG506" s="77"/>
    </row>
    <row r="507" spans="1:33" x14ac:dyDescent="0.25">
      <c r="A507" s="77" t="s">
        <v>11</v>
      </c>
      <c r="B507" s="77">
        <v>0</v>
      </c>
      <c r="C507" s="77">
        <v>0</v>
      </c>
      <c r="D507" s="77">
        <v>0</v>
      </c>
      <c r="E507" s="77">
        <v>0</v>
      </c>
      <c r="F507" s="77">
        <v>0</v>
      </c>
      <c r="G507" s="77">
        <v>0</v>
      </c>
      <c r="H507" s="77">
        <v>0</v>
      </c>
      <c r="I507" s="77">
        <v>0</v>
      </c>
      <c r="J507" s="77">
        <v>0</v>
      </c>
      <c r="K507" s="77">
        <v>0</v>
      </c>
      <c r="L507" s="77">
        <v>0</v>
      </c>
      <c r="M507" s="77">
        <v>0</v>
      </c>
      <c r="N507" s="77">
        <v>0</v>
      </c>
      <c r="O507" s="77">
        <v>0</v>
      </c>
      <c r="P507" s="77">
        <v>0</v>
      </c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  <c r="AG507" s="77"/>
    </row>
    <row r="508" spans="1:33" x14ac:dyDescent="0.25">
      <c r="A508" s="77" t="s">
        <v>12</v>
      </c>
      <c r="B508" s="77">
        <v>0</v>
      </c>
      <c r="C508" s="77">
        <v>0</v>
      </c>
      <c r="D508" s="77">
        <v>0</v>
      </c>
      <c r="E508" s="77">
        <v>0</v>
      </c>
      <c r="F508" s="77">
        <v>0</v>
      </c>
      <c r="G508" s="77">
        <v>0</v>
      </c>
      <c r="H508" s="77">
        <v>0</v>
      </c>
      <c r="I508" s="77">
        <v>0</v>
      </c>
      <c r="J508" s="77">
        <v>0</v>
      </c>
      <c r="K508" s="77">
        <v>0</v>
      </c>
      <c r="L508" s="77">
        <v>0</v>
      </c>
      <c r="M508" s="77">
        <v>0</v>
      </c>
      <c r="N508" s="77">
        <v>0</v>
      </c>
      <c r="O508" s="77">
        <v>0</v>
      </c>
      <c r="P508" s="77">
        <v>0</v>
      </c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  <c r="AG508" s="77"/>
    </row>
    <row r="509" spans="1:33" x14ac:dyDescent="0.25">
      <c r="A509" s="77" t="s">
        <v>13</v>
      </c>
      <c r="B509" s="77">
        <v>0</v>
      </c>
      <c r="C509" s="77">
        <v>0</v>
      </c>
      <c r="D509" s="77">
        <v>0</v>
      </c>
      <c r="E509" s="77">
        <v>0</v>
      </c>
      <c r="F509" s="77">
        <v>0</v>
      </c>
      <c r="G509" s="77">
        <v>0</v>
      </c>
      <c r="H509" s="77">
        <v>0</v>
      </c>
      <c r="I509" s="77">
        <v>0</v>
      </c>
      <c r="J509" s="77">
        <v>0</v>
      </c>
      <c r="K509" s="77">
        <v>0</v>
      </c>
      <c r="L509" s="77">
        <v>0</v>
      </c>
      <c r="M509" s="77">
        <v>0</v>
      </c>
      <c r="N509" s="77">
        <v>0</v>
      </c>
      <c r="O509" s="77">
        <v>0</v>
      </c>
      <c r="P509" s="77">
        <v>0</v>
      </c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  <c r="AG509" s="77"/>
    </row>
    <row r="510" spans="1:33" x14ac:dyDescent="0.25">
      <c r="A510" s="77" t="s">
        <v>14</v>
      </c>
      <c r="B510" s="77">
        <v>0</v>
      </c>
      <c r="C510" s="77">
        <v>0</v>
      </c>
      <c r="D510" s="77">
        <v>0</v>
      </c>
      <c r="E510" s="77">
        <v>0</v>
      </c>
      <c r="F510" s="77">
        <v>0</v>
      </c>
      <c r="G510" s="77">
        <v>0</v>
      </c>
      <c r="H510" s="77">
        <v>0</v>
      </c>
      <c r="I510" s="77">
        <v>0</v>
      </c>
      <c r="J510" s="77">
        <v>0</v>
      </c>
      <c r="K510" s="77">
        <v>0</v>
      </c>
      <c r="L510" s="77">
        <v>0</v>
      </c>
      <c r="M510" s="77">
        <v>0</v>
      </c>
      <c r="N510" s="77">
        <v>0</v>
      </c>
      <c r="O510" s="77">
        <v>0</v>
      </c>
      <c r="P510" s="77">
        <v>0</v>
      </c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  <c r="AG510" s="77"/>
    </row>
    <row r="511" spans="1:33" s="108" customFormat="1" ht="21" x14ac:dyDescent="0.35">
      <c r="A511" s="106" t="s">
        <v>437</v>
      </c>
      <c r="B511" s="106"/>
      <c r="C511" s="106"/>
      <c r="D511" s="106"/>
      <c r="E511" s="106"/>
      <c r="F511" s="106"/>
      <c r="G511" s="106"/>
      <c r="H511" s="106"/>
      <c r="I511" s="106"/>
      <c r="J511" s="106"/>
      <c r="K511" s="106"/>
      <c r="L511" s="106"/>
      <c r="M511" s="106"/>
      <c r="N511" s="106"/>
      <c r="O511" s="106"/>
      <c r="P511" s="106"/>
      <c r="Q511" s="107" t="s">
        <v>404</v>
      </c>
      <c r="R511" s="106"/>
      <c r="S511" s="106"/>
      <c r="T511" s="106"/>
      <c r="U511" s="106"/>
      <c r="V511" s="106"/>
      <c r="W511" s="106"/>
      <c r="X511" s="106"/>
      <c r="Y511" s="106"/>
      <c r="Z511" s="106"/>
      <c r="AA511" s="106"/>
      <c r="AB511" s="106"/>
      <c r="AC511" s="106"/>
      <c r="AD511" s="106"/>
      <c r="AE511" s="106"/>
      <c r="AF511" s="106"/>
      <c r="AG511" s="106"/>
    </row>
    <row r="512" spans="1:33" x14ac:dyDescent="0.25">
      <c r="A512" s="77" t="s">
        <v>360</v>
      </c>
      <c r="B512" s="77" t="s">
        <v>18</v>
      </c>
      <c r="C512" s="77" t="s">
        <v>19</v>
      </c>
      <c r="D512" s="77" t="s">
        <v>20</v>
      </c>
      <c r="E512" s="77" t="s">
        <v>21</v>
      </c>
      <c r="F512" s="77" t="s">
        <v>22</v>
      </c>
      <c r="G512" s="77" t="s">
        <v>23</v>
      </c>
      <c r="H512" s="77" t="s">
        <v>361</v>
      </c>
      <c r="I512" s="77" t="s">
        <v>25</v>
      </c>
      <c r="J512" s="77" t="s">
        <v>362</v>
      </c>
      <c r="K512" s="77" t="s">
        <v>5</v>
      </c>
      <c r="L512" s="77" t="s">
        <v>6</v>
      </c>
      <c r="M512" s="77" t="s">
        <v>7</v>
      </c>
      <c r="N512" s="77" t="s">
        <v>8</v>
      </c>
      <c r="O512" s="77" t="s">
        <v>9</v>
      </c>
      <c r="P512" s="77" t="s">
        <v>363</v>
      </c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  <c r="AG512" s="77"/>
    </row>
    <row r="513" spans="1:33" x14ac:dyDescent="0.25">
      <c r="A513" s="77" t="s">
        <v>364</v>
      </c>
      <c r="B513" s="77" t="s">
        <v>365</v>
      </c>
      <c r="C513" s="77" t="s">
        <v>365</v>
      </c>
      <c r="D513" s="77" t="s">
        <v>365</v>
      </c>
      <c r="E513" s="77" t="s">
        <v>365</v>
      </c>
      <c r="F513" s="77" t="s">
        <v>365</v>
      </c>
      <c r="G513" s="77" t="s">
        <v>365</v>
      </c>
      <c r="H513" s="77" t="s">
        <v>365</v>
      </c>
      <c r="I513" s="77" t="s">
        <v>365</v>
      </c>
      <c r="J513" s="77" t="s">
        <v>365</v>
      </c>
      <c r="K513" s="77" t="s">
        <v>365</v>
      </c>
      <c r="L513" s="77" t="s">
        <v>365</v>
      </c>
      <c r="M513" s="77" t="s">
        <v>365</v>
      </c>
      <c r="N513" s="77" t="s">
        <v>365</v>
      </c>
      <c r="O513" s="77" t="s">
        <v>365</v>
      </c>
      <c r="P513" s="77" t="s">
        <v>365</v>
      </c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  <c r="AG513" s="77"/>
    </row>
    <row r="514" spans="1:33" x14ac:dyDescent="0.25">
      <c r="A514" s="77" t="s">
        <v>1</v>
      </c>
      <c r="B514" s="77">
        <v>0</v>
      </c>
      <c r="C514" s="77">
        <v>0</v>
      </c>
      <c r="D514" s="77">
        <v>0</v>
      </c>
      <c r="E514" s="77">
        <v>0</v>
      </c>
      <c r="F514" s="77">
        <v>0</v>
      </c>
      <c r="G514" s="77">
        <v>0</v>
      </c>
      <c r="H514" s="77">
        <v>0</v>
      </c>
      <c r="I514" s="77">
        <v>0</v>
      </c>
      <c r="J514" s="77">
        <v>0</v>
      </c>
      <c r="K514" s="77">
        <v>0</v>
      </c>
      <c r="L514" s="77">
        <v>0</v>
      </c>
      <c r="M514" s="77">
        <v>0</v>
      </c>
      <c r="N514" s="77">
        <v>0</v>
      </c>
      <c r="O514" s="77">
        <v>0</v>
      </c>
      <c r="P514" s="77">
        <v>0</v>
      </c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  <c r="AG514" s="77"/>
    </row>
    <row r="515" spans="1:33" x14ac:dyDescent="0.25">
      <c r="A515" s="77" t="s">
        <v>2</v>
      </c>
      <c r="B515" s="77">
        <v>0</v>
      </c>
      <c r="C515" s="77">
        <v>0</v>
      </c>
      <c r="D515" s="77">
        <v>0</v>
      </c>
      <c r="E515" s="77">
        <v>0</v>
      </c>
      <c r="F515" s="77">
        <v>0</v>
      </c>
      <c r="G515" s="77">
        <v>0</v>
      </c>
      <c r="H515" s="77">
        <v>0</v>
      </c>
      <c r="I515" s="77">
        <v>0</v>
      </c>
      <c r="J515" s="77">
        <v>0</v>
      </c>
      <c r="K515" s="77">
        <v>0</v>
      </c>
      <c r="L515" s="77">
        <v>0</v>
      </c>
      <c r="M515" s="77">
        <v>0</v>
      </c>
      <c r="N515" s="77">
        <v>0</v>
      </c>
      <c r="O515" s="77">
        <v>0</v>
      </c>
      <c r="P515" s="77">
        <v>0</v>
      </c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  <c r="AG515" s="77"/>
    </row>
    <row r="516" spans="1:33" x14ac:dyDescent="0.25">
      <c r="A516" s="77" t="s">
        <v>3</v>
      </c>
      <c r="B516" s="77">
        <v>267.44645600000001</v>
      </c>
      <c r="C516" s="77">
        <v>0</v>
      </c>
      <c r="D516" s="77">
        <v>267.44645600000001</v>
      </c>
      <c r="E516" s="77">
        <v>177.84015099999999</v>
      </c>
      <c r="F516" s="77">
        <v>0</v>
      </c>
      <c r="G516" s="77">
        <v>60.848016800000003</v>
      </c>
      <c r="H516" s="77">
        <v>0</v>
      </c>
      <c r="I516" s="77">
        <v>0</v>
      </c>
      <c r="J516" s="77">
        <v>0</v>
      </c>
      <c r="K516" s="77">
        <v>28.758288</v>
      </c>
      <c r="L516" s="77">
        <v>0</v>
      </c>
      <c r="M516" s="77">
        <v>0</v>
      </c>
      <c r="N516" s="77">
        <v>0</v>
      </c>
      <c r="O516" s="77">
        <v>0</v>
      </c>
      <c r="P516" s="77">
        <v>0</v>
      </c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  <c r="AG516" s="77"/>
    </row>
    <row r="517" spans="1:33" x14ac:dyDescent="0.25">
      <c r="A517" s="77" t="s">
        <v>4</v>
      </c>
      <c r="B517" s="77">
        <v>351.92242800000002</v>
      </c>
      <c r="C517" s="77">
        <v>0</v>
      </c>
      <c r="D517" s="77">
        <v>351.92242800000002</v>
      </c>
      <c r="E517" s="77">
        <v>182.13744600000001</v>
      </c>
      <c r="F517" s="77">
        <v>0</v>
      </c>
      <c r="G517" s="77">
        <v>169.78498200000001</v>
      </c>
      <c r="H517" s="77">
        <v>0</v>
      </c>
      <c r="I517" s="77">
        <v>0</v>
      </c>
      <c r="J517" s="77">
        <v>0</v>
      </c>
      <c r="K517" s="77">
        <v>0</v>
      </c>
      <c r="L517" s="77">
        <v>0</v>
      </c>
      <c r="M517" s="77">
        <v>0</v>
      </c>
      <c r="N517" s="77">
        <v>0</v>
      </c>
      <c r="O517" s="77">
        <v>0</v>
      </c>
      <c r="P517" s="77">
        <v>0</v>
      </c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  <c r="AG517" s="77"/>
    </row>
    <row r="518" spans="1:33" x14ac:dyDescent="0.25">
      <c r="A518" s="77" t="s">
        <v>5</v>
      </c>
      <c r="B518" s="77">
        <v>28.758288</v>
      </c>
      <c r="C518" s="77">
        <v>28.758288</v>
      </c>
      <c r="D518" s="77">
        <v>0</v>
      </c>
      <c r="E518" s="77">
        <v>17.755256500000002</v>
      </c>
      <c r="F518" s="77">
        <v>0</v>
      </c>
      <c r="G518" s="77">
        <v>11.0030316</v>
      </c>
      <c r="H518" s="77">
        <v>0</v>
      </c>
      <c r="I518" s="77">
        <v>0</v>
      </c>
      <c r="J518" s="77">
        <v>0</v>
      </c>
      <c r="K518" s="77">
        <v>0</v>
      </c>
      <c r="L518" s="77">
        <v>0</v>
      </c>
      <c r="M518" s="77">
        <v>0</v>
      </c>
      <c r="N518" s="77">
        <v>0</v>
      </c>
      <c r="O518" s="77">
        <v>0</v>
      </c>
      <c r="P518" s="77">
        <v>0</v>
      </c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  <c r="AG518" s="77"/>
    </row>
    <row r="519" spans="1:33" x14ac:dyDescent="0.25">
      <c r="A519" s="77" t="s">
        <v>6</v>
      </c>
      <c r="B519" s="77">
        <v>0</v>
      </c>
      <c r="C519" s="77">
        <v>0</v>
      </c>
      <c r="D519" s="77">
        <v>0</v>
      </c>
      <c r="E519" s="77">
        <v>0</v>
      </c>
      <c r="F519" s="77">
        <v>0</v>
      </c>
      <c r="G519" s="77">
        <v>0</v>
      </c>
      <c r="H519" s="77">
        <v>0</v>
      </c>
      <c r="I519" s="77">
        <v>0</v>
      </c>
      <c r="J519" s="77">
        <v>0</v>
      </c>
      <c r="K519" s="77">
        <v>0</v>
      </c>
      <c r="L519" s="77">
        <v>0</v>
      </c>
      <c r="M519" s="77">
        <v>0</v>
      </c>
      <c r="N519" s="77">
        <v>0</v>
      </c>
      <c r="O519" s="77">
        <v>0</v>
      </c>
      <c r="P519" s="77">
        <v>0</v>
      </c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  <c r="AG519" s="77"/>
    </row>
    <row r="520" spans="1:33" x14ac:dyDescent="0.25">
      <c r="A520" s="77" t="s">
        <v>7</v>
      </c>
      <c r="B520" s="77">
        <v>0</v>
      </c>
      <c r="C520" s="77">
        <v>0</v>
      </c>
      <c r="D520" s="77">
        <v>0</v>
      </c>
      <c r="E520" s="77">
        <v>0</v>
      </c>
      <c r="F520" s="77">
        <v>0</v>
      </c>
      <c r="G520" s="77">
        <v>0</v>
      </c>
      <c r="H520" s="77">
        <v>0</v>
      </c>
      <c r="I520" s="77">
        <v>0</v>
      </c>
      <c r="J520" s="77">
        <v>0</v>
      </c>
      <c r="K520" s="77">
        <v>0</v>
      </c>
      <c r="L520" s="77">
        <v>0</v>
      </c>
      <c r="M520" s="77">
        <v>0</v>
      </c>
      <c r="N520" s="77">
        <v>0</v>
      </c>
      <c r="O520" s="77">
        <v>0</v>
      </c>
      <c r="P520" s="77">
        <v>0</v>
      </c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  <c r="AG520" s="77"/>
    </row>
    <row r="521" spans="1:33" x14ac:dyDescent="0.25">
      <c r="A521" s="77" t="s">
        <v>8</v>
      </c>
      <c r="B521" s="77">
        <v>0</v>
      </c>
      <c r="C521" s="77">
        <v>0</v>
      </c>
      <c r="D521" s="77">
        <v>0</v>
      </c>
      <c r="E521" s="77">
        <v>0</v>
      </c>
      <c r="F521" s="77">
        <v>0</v>
      </c>
      <c r="G521" s="77">
        <v>0</v>
      </c>
      <c r="H521" s="77">
        <v>0</v>
      </c>
      <c r="I521" s="77">
        <v>0</v>
      </c>
      <c r="J521" s="77">
        <v>0</v>
      </c>
      <c r="K521" s="77">
        <v>0</v>
      </c>
      <c r="L521" s="77">
        <v>0</v>
      </c>
      <c r="M521" s="77">
        <v>0</v>
      </c>
      <c r="N521" s="77">
        <v>0</v>
      </c>
      <c r="O521" s="77">
        <v>0</v>
      </c>
      <c r="P521" s="77">
        <v>0</v>
      </c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  <c r="AG521" s="77"/>
    </row>
    <row r="522" spans="1:33" x14ac:dyDescent="0.25">
      <c r="A522" s="77" t="s">
        <v>9</v>
      </c>
      <c r="B522" s="77">
        <v>0</v>
      </c>
      <c r="C522" s="77">
        <v>0</v>
      </c>
      <c r="D522" s="77">
        <v>0</v>
      </c>
      <c r="E522" s="77">
        <v>0</v>
      </c>
      <c r="F522" s="77">
        <v>0</v>
      </c>
      <c r="G522" s="77">
        <v>0</v>
      </c>
      <c r="H522" s="77">
        <v>0</v>
      </c>
      <c r="I522" s="77">
        <v>0</v>
      </c>
      <c r="J522" s="77">
        <v>0</v>
      </c>
      <c r="K522" s="77">
        <v>0</v>
      </c>
      <c r="L522" s="77">
        <v>0</v>
      </c>
      <c r="M522" s="77">
        <v>0</v>
      </c>
      <c r="N522" s="77">
        <v>0</v>
      </c>
      <c r="O522" s="77">
        <v>0</v>
      </c>
      <c r="P522" s="77">
        <v>0</v>
      </c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  <c r="AG522" s="77"/>
    </row>
    <row r="523" spans="1:33" x14ac:dyDescent="0.25">
      <c r="A523" s="77" t="s">
        <v>10</v>
      </c>
      <c r="B523" s="77">
        <v>0</v>
      </c>
      <c r="C523" s="77">
        <v>0</v>
      </c>
      <c r="D523" s="77">
        <v>0</v>
      </c>
      <c r="E523" s="77">
        <v>0</v>
      </c>
      <c r="F523" s="77">
        <v>0</v>
      </c>
      <c r="G523" s="77">
        <v>0</v>
      </c>
      <c r="H523" s="77">
        <v>0</v>
      </c>
      <c r="I523" s="77">
        <v>0</v>
      </c>
      <c r="J523" s="77">
        <v>0</v>
      </c>
      <c r="K523" s="77">
        <v>0</v>
      </c>
      <c r="L523" s="77">
        <v>0</v>
      </c>
      <c r="M523" s="77">
        <v>0</v>
      </c>
      <c r="N523" s="77">
        <v>0</v>
      </c>
      <c r="O523" s="77">
        <v>0</v>
      </c>
      <c r="P523" s="77">
        <v>0</v>
      </c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  <c r="AG523" s="77"/>
    </row>
    <row r="524" spans="1:33" x14ac:dyDescent="0.25">
      <c r="A524" s="77" t="s">
        <v>11</v>
      </c>
      <c r="B524" s="77">
        <v>0</v>
      </c>
      <c r="C524" s="77">
        <v>0</v>
      </c>
      <c r="D524" s="77">
        <v>0</v>
      </c>
      <c r="E524" s="77">
        <v>0</v>
      </c>
      <c r="F524" s="77">
        <v>0</v>
      </c>
      <c r="G524" s="77">
        <v>0</v>
      </c>
      <c r="H524" s="77">
        <v>0</v>
      </c>
      <c r="I524" s="77">
        <v>0</v>
      </c>
      <c r="J524" s="77">
        <v>0</v>
      </c>
      <c r="K524" s="77">
        <v>0</v>
      </c>
      <c r="L524" s="77">
        <v>0</v>
      </c>
      <c r="M524" s="77">
        <v>0</v>
      </c>
      <c r="N524" s="77">
        <v>0</v>
      </c>
      <c r="O524" s="77">
        <v>0</v>
      </c>
      <c r="P524" s="77">
        <v>0</v>
      </c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  <c r="AG524" s="77"/>
    </row>
    <row r="525" spans="1:33" x14ac:dyDescent="0.25">
      <c r="A525" s="77" t="s">
        <v>12</v>
      </c>
      <c r="B525" s="77">
        <v>0</v>
      </c>
      <c r="C525" s="77">
        <v>0</v>
      </c>
      <c r="D525" s="77">
        <v>0</v>
      </c>
      <c r="E525" s="77">
        <v>0</v>
      </c>
      <c r="F525" s="77">
        <v>0</v>
      </c>
      <c r="G525" s="77">
        <v>0</v>
      </c>
      <c r="H525" s="77">
        <v>0</v>
      </c>
      <c r="I525" s="77">
        <v>0</v>
      </c>
      <c r="J525" s="77">
        <v>0</v>
      </c>
      <c r="K525" s="77">
        <v>0</v>
      </c>
      <c r="L525" s="77">
        <v>0</v>
      </c>
      <c r="M525" s="77">
        <v>0</v>
      </c>
      <c r="N525" s="77">
        <v>0</v>
      </c>
      <c r="O525" s="77">
        <v>0</v>
      </c>
      <c r="P525" s="77">
        <v>0</v>
      </c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  <c r="AG525" s="77"/>
    </row>
    <row r="526" spans="1:33" x14ac:dyDescent="0.25">
      <c r="A526" s="77" t="s">
        <v>13</v>
      </c>
      <c r="B526" s="77">
        <v>0</v>
      </c>
      <c r="C526" s="77">
        <v>0</v>
      </c>
      <c r="D526" s="77">
        <v>0</v>
      </c>
      <c r="E526" s="77">
        <v>0</v>
      </c>
      <c r="F526" s="77">
        <v>0</v>
      </c>
      <c r="G526" s="77">
        <v>0</v>
      </c>
      <c r="H526" s="77">
        <v>0</v>
      </c>
      <c r="I526" s="77">
        <v>0</v>
      </c>
      <c r="J526" s="77">
        <v>0</v>
      </c>
      <c r="K526" s="77">
        <v>0</v>
      </c>
      <c r="L526" s="77">
        <v>0</v>
      </c>
      <c r="M526" s="77">
        <v>0</v>
      </c>
      <c r="N526" s="77">
        <v>0</v>
      </c>
      <c r="O526" s="77">
        <v>0</v>
      </c>
      <c r="P526" s="77">
        <v>0</v>
      </c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  <c r="AG526" s="77"/>
    </row>
    <row r="527" spans="1:33" x14ac:dyDescent="0.25">
      <c r="A527" s="77" t="s">
        <v>14</v>
      </c>
      <c r="B527" s="77">
        <v>0</v>
      </c>
      <c r="C527" s="77">
        <v>0</v>
      </c>
      <c r="D527" s="77">
        <v>0</v>
      </c>
      <c r="E527" s="77">
        <v>0</v>
      </c>
      <c r="F527" s="77">
        <v>0</v>
      </c>
      <c r="G527" s="77">
        <v>0</v>
      </c>
      <c r="H527" s="77">
        <v>0</v>
      </c>
      <c r="I527" s="77">
        <v>0</v>
      </c>
      <c r="J527" s="77">
        <v>0</v>
      </c>
      <c r="K527" s="77">
        <v>0</v>
      </c>
      <c r="L527" s="77">
        <v>0</v>
      </c>
      <c r="M527" s="77">
        <v>0</v>
      </c>
      <c r="N527" s="77">
        <v>0</v>
      </c>
      <c r="O527" s="77">
        <v>0</v>
      </c>
      <c r="P527" s="77">
        <v>0</v>
      </c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  <c r="AG527" s="77"/>
    </row>
    <row r="528" spans="1:33" x14ac:dyDescent="0.25">
      <c r="A528" s="77" t="s">
        <v>438</v>
      </c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  <c r="AG528" s="77"/>
    </row>
    <row r="529" spans="1:33" x14ac:dyDescent="0.25">
      <c r="A529" s="77" t="s">
        <v>360</v>
      </c>
      <c r="B529" s="77" t="s">
        <v>366</v>
      </c>
      <c r="C529" s="77" t="s">
        <v>367</v>
      </c>
      <c r="D529" s="77" t="s">
        <v>368</v>
      </c>
      <c r="E529" s="77" t="s">
        <v>21</v>
      </c>
      <c r="F529" s="77" t="s">
        <v>22</v>
      </c>
      <c r="G529" s="77" t="s">
        <v>23</v>
      </c>
      <c r="H529" s="77" t="s">
        <v>361</v>
      </c>
      <c r="I529" s="77" t="s">
        <v>25</v>
      </c>
      <c r="J529" s="77" t="s">
        <v>362</v>
      </c>
      <c r="K529" s="77" t="s">
        <v>5</v>
      </c>
      <c r="L529" s="77" t="s">
        <v>6</v>
      </c>
      <c r="M529" s="77" t="s">
        <v>7</v>
      </c>
      <c r="N529" s="77" t="s">
        <v>8</v>
      </c>
      <c r="O529" s="77" t="s">
        <v>9</v>
      </c>
      <c r="P529" s="77" t="s">
        <v>363</v>
      </c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  <c r="AG529" s="77"/>
    </row>
    <row r="530" spans="1:33" x14ac:dyDescent="0.25">
      <c r="A530" s="77" t="s">
        <v>364</v>
      </c>
      <c r="B530" s="77" t="s">
        <v>369</v>
      </c>
      <c r="C530" s="77" t="s">
        <v>369</v>
      </c>
      <c r="D530" s="77" t="s">
        <v>369</v>
      </c>
      <c r="E530" s="77" t="s">
        <v>369</v>
      </c>
      <c r="F530" s="77" t="s">
        <v>369</v>
      </c>
      <c r="G530" s="77" t="s">
        <v>369</v>
      </c>
      <c r="H530" s="77" t="s">
        <v>369</v>
      </c>
      <c r="I530" s="77" t="s">
        <v>369</v>
      </c>
      <c r="J530" s="77" t="s">
        <v>369</v>
      </c>
      <c r="K530" s="77" t="s">
        <v>369</v>
      </c>
      <c r="L530" s="77" t="s">
        <v>369</v>
      </c>
      <c r="M530" s="77" t="s">
        <v>369</v>
      </c>
      <c r="N530" s="77" t="s">
        <v>369</v>
      </c>
      <c r="O530" s="77" t="s">
        <v>369</v>
      </c>
      <c r="P530" s="77" t="s">
        <v>369</v>
      </c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  <c r="AG530" s="77"/>
    </row>
    <row r="531" spans="1:33" x14ac:dyDescent="0.25">
      <c r="A531" s="77" t="s">
        <v>1</v>
      </c>
      <c r="B531" s="77">
        <v>0</v>
      </c>
      <c r="C531" s="77">
        <v>0</v>
      </c>
      <c r="D531" s="77">
        <v>0</v>
      </c>
      <c r="E531" s="77">
        <v>0</v>
      </c>
      <c r="F531" s="77">
        <v>0</v>
      </c>
      <c r="G531" s="77">
        <v>0</v>
      </c>
      <c r="H531" s="77">
        <v>0</v>
      </c>
      <c r="I531" s="77">
        <v>0</v>
      </c>
      <c r="J531" s="77">
        <v>0</v>
      </c>
      <c r="K531" s="77">
        <v>0</v>
      </c>
      <c r="L531" s="77">
        <v>0</v>
      </c>
      <c r="M531" s="77">
        <v>0</v>
      </c>
      <c r="N531" s="77">
        <v>0</v>
      </c>
      <c r="O531" s="77">
        <v>0</v>
      </c>
      <c r="P531" s="77">
        <v>0</v>
      </c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  <c r="AG531" s="77"/>
    </row>
    <row r="532" spans="1:33" x14ac:dyDescent="0.25">
      <c r="A532" s="77" t="s">
        <v>2</v>
      </c>
      <c r="B532" s="77">
        <v>13.3593265</v>
      </c>
      <c r="C532" s="77">
        <v>0</v>
      </c>
      <c r="D532" s="77">
        <v>13.3593265</v>
      </c>
      <c r="E532" s="77">
        <v>0</v>
      </c>
      <c r="F532" s="77">
        <v>0</v>
      </c>
      <c r="G532" s="77">
        <v>0</v>
      </c>
      <c r="H532" s="77">
        <v>0</v>
      </c>
      <c r="I532" s="77">
        <v>0</v>
      </c>
      <c r="J532" s="77">
        <v>0</v>
      </c>
      <c r="K532" s="77">
        <v>13.3593265</v>
      </c>
      <c r="L532" s="77">
        <v>0</v>
      </c>
      <c r="M532" s="77">
        <v>0</v>
      </c>
      <c r="N532" s="77">
        <v>0</v>
      </c>
      <c r="O532" s="77">
        <v>0</v>
      </c>
      <c r="P532" s="77">
        <v>0</v>
      </c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  <c r="AG532" s="77"/>
    </row>
    <row r="533" spans="1:33" x14ac:dyDescent="0.25">
      <c r="A533" s="77" t="s">
        <v>3</v>
      </c>
      <c r="B533" s="77">
        <v>87.018183100000002</v>
      </c>
      <c r="C533" s="77">
        <v>0</v>
      </c>
      <c r="D533" s="77">
        <v>87.018183100000002</v>
      </c>
      <c r="E533" s="77">
        <v>59.656589599999997</v>
      </c>
      <c r="F533" s="77">
        <v>0</v>
      </c>
      <c r="G533" s="77">
        <v>20.611833000000001</v>
      </c>
      <c r="H533" s="77">
        <v>0</v>
      </c>
      <c r="I533" s="77">
        <v>0</v>
      </c>
      <c r="J533" s="77">
        <v>0</v>
      </c>
      <c r="K533" s="77">
        <v>6.74976048</v>
      </c>
      <c r="L533" s="77">
        <v>0</v>
      </c>
      <c r="M533" s="77">
        <v>0</v>
      </c>
      <c r="N533" s="77">
        <v>0</v>
      </c>
      <c r="O533" s="77">
        <v>0</v>
      </c>
      <c r="P533" s="105">
        <v>8.2945916800000002E-15</v>
      </c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  <c r="AG533" s="105"/>
    </row>
    <row r="534" spans="1:33" x14ac:dyDescent="0.25">
      <c r="A534" s="77" t="s">
        <v>4</v>
      </c>
      <c r="B534" s="77">
        <v>96.063698299999999</v>
      </c>
      <c r="C534" s="77">
        <v>0</v>
      </c>
      <c r="D534" s="77">
        <v>96.063698299999999</v>
      </c>
      <c r="E534" s="77">
        <v>54.747542500000002</v>
      </c>
      <c r="F534" s="77">
        <v>0</v>
      </c>
      <c r="G534" s="77">
        <v>41.316155799999997</v>
      </c>
      <c r="H534" s="77">
        <v>0</v>
      </c>
      <c r="I534" s="77">
        <v>0</v>
      </c>
      <c r="J534" s="77">
        <v>0</v>
      </c>
      <c r="K534" s="77">
        <v>0</v>
      </c>
      <c r="L534" s="77">
        <v>0</v>
      </c>
      <c r="M534" s="77">
        <v>0</v>
      </c>
      <c r="N534" s="77">
        <v>0</v>
      </c>
      <c r="O534" s="77">
        <v>0</v>
      </c>
      <c r="P534" s="105">
        <v>-1.90241735E-13</v>
      </c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  <c r="AG534" s="105"/>
    </row>
    <row r="535" spans="1:33" x14ac:dyDescent="0.25">
      <c r="A535" s="77" t="s">
        <v>5</v>
      </c>
      <c r="B535" s="77">
        <v>60.398002099999999</v>
      </c>
      <c r="C535" s="77">
        <v>62.260054599999997</v>
      </c>
      <c r="D535" s="77">
        <v>-1.86205252</v>
      </c>
      <c r="E535" s="77">
        <v>35.618138299999998</v>
      </c>
      <c r="F535" s="77">
        <v>0</v>
      </c>
      <c r="G535" s="77">
        <v>24.779863800000001</v>
      </c>
      <c r="H535" s="77">
        <v>0</v>
      </c>
      <c r="I535" s="77">
        <v>0</v>
      </c>
      <c r="J535" s="77">
        <v>0</v>
      </c>
      <c r="K535" s="77">
        <v>0</v>
      </c>
      <c r="L535" s="77">
        <v>0</v>
      </c>
      <c r="M535" s="77">
        <v>0</v>
      </c>
      <c r="N535" s="77">
        <v>0</v>
      </c>
      <c r="O535" s="77">
        <v>0</v>
      </c>
      <c r="P535" s="77">
        <v>0</v>
      </c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  <c r="AG535" s="77"/>
    </row>
    <row r="536" spans="1:33" x14ac:dyDescent="0.25">
      <c r="A536" s="77" t="s">
        <v>6</v>
      </c>
      <c r="B536" s="77">
        <v>0</v>
      </c>
      <c r="C536" s="77">
        <v>0</v>
      </c>
      <c r="D536" s="77">
        <v>0</v>
      </c>
      <c r="E536" s="77">
        <v>0</v>
      </c>
      <c r="F536" s="77">
        <v>0</v>
      </c>
      <c r="G536" s="77">
        <v>0</v>
      </c>
      <c r="H536" s="77">
        <v>0</v>
      </c>
      <c r="I536" s="77">
        <v>0</v>
      </c>
      <c r="J536" s="77">
        <v>0</v>
      </c>
      <c r="K536" s="77">
        <v>0</v>
      </c>
      <c r="L536" s="77">
        <v>0</v>
      </c>
      <c r="M536" s="77">
        <v>0</v>
      </c>
      <c r="N536" s="77">
        <v>0</v>
      </c>
      <c r="O536" s="77">
        <v>0</v>
      </c>
      <c r="P536" s="77">
        <v>0</v>
      </c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  <c r="AG536" s="77"/>
    </row>
    <row r="537" spans="1:33" x14ac:dyDescent="0.25">
      <c r="A537" s="77" t="s">
        <v>7</v>
      </c>
      <c r="B537" s="77">
        <v>0</v>
      </c>
      <c r="C537" s="77">
        <v>0</v>
      </c>
      <c r="D537" s="77">
        <v>0</v>
      </c>
      <c r="E537" s="77">
        <v>0</v>
      </c>
      <c r="F537" s="77">
        <v>0</v>
      </c>
      <c r="G537" s="77">
        <v>0</v>
      </c>
      <c r="H537" s="77">
        <v>0</v>
      </c>
      <c r="I537" s="77">
        <v>0</v>
      </c>
      <c r="J537" s="77">
        <v>0</v>
      </c>
      <c r="K537" s="77">
        <v>0</v>
      </c>
      <c r="L537" s="77">
        <v>0</v>
      </c>
      <c r="M537" s="77">
        <v>0</v>
      </c>
      <c r="N537" s="77">
        <v>0</v>
      </c>
      <c r="O537" s="77">
        <v>0</v>
      </c>
      <c r="P537" s="77">
        <v>0</v>
      </c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  <c r="AG537" s="77"/>
    </row>
    <row r="538" spans="1:33" x14ac:dyDescent="0.25">
      <c r="A538" s="77" t="s">
        <v>8</v>
      </c>
      <c r="B538" s="77">
        <v>0</v>
      </c>
      <c r="C538" s="77">
        <v>0</v>
      </c>
      <c r="D538" s="77">
        <v>0</v>
      </c>
      <c r="E538" s="77">
        <v>0</v>
      </c>
      <c r="F538" s="77">
        <v>0</v>
      </c>
      <c r="G538" s="77">
        <v>0</v>
      </c>
      <c r="H538" s="77">
        <v>0</v>
      </c>
      <c r="I538" s="77">
        <v>0</v>
      </c>
      <c r="J538" s="77">
        <v>0</v>
      </c>
      <c r="K538" s="77">
        <v>0</v>
      </c>
      <c r="L538" s="77">
        <v>0</v>
      </c>
      <c r="M538" s="77">
        <v>0</v>
      </c>
      <c r="N538" s="77">
        <v>0</v>
      </c>
      <c r="O538" s="77">
        <v>0</v>
      </c>
      <c r="P538" s="77">
        <v>0</v>
      </c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  <c r="AG538" s="77"/>
    </row>
    <row r="539" spans="1:33" x14ac:dyDescent="0.25">
      <c r="A539" s="77" t="s">
        <v>9</v>
      </c>
      <c r="B539" s="77">
        <v>0</v>
      </c>
      <c r="C539" s="77">
        <v>0</v>
      </c>
      <c r="D539" s="77">
        <v>0</v>
      </c>
      <c r="E539" s="77">
        <v>0</v>
      </c>
      <c r="F539" s="77">
        <v>0</v>
      </c>
      <c r="G539" s="77">
        <v>0</v>
      </c>
      <c r="H539" s="77">
        <v>0</v>
      </c>
      <c r="I539" s="77">
        <v>0</v>
      </c>
      <c r="J539" s="77">
        <v>0</v>
      </c>
      <c r="K539" s="77">
        <v>0</v>
      </c>
      <c r="L539" s="77">
        <v>0</v>
      </c>
      <c r="M539" s="77">
        <v>0</v>
      </c>
      <c r="N539" s="77">
        <v>0</v>
      </c>
      <c r="O539" s="77">
        <v>0</v>
      </c>
      <c r="P539" s="77">
        <v>0</v>
      </c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  <c r="AG539" s="77"/>
    </row>
    <row r="540" spans="1:33" x14ac:dyDescent="0.25">
      <c r="A540" s="77" t="s">
        <v>10</v>
      </c>
      <c r="B540" s="77">
        <v>27.476899100000001</v>
      </c>
      <c r="C540" s="77">
        <v>0</v>
      </c>
      <c r="D540" s="77">
        <v>27.476899100000001</v>
      </c>
      <c r="E540" s="77">
        <v>0</v>
      </c>
      <c r="F540" s="77">
        <v>0</v>
      </c>
      <c r="G540" s="77">
        <v>0</v>
      </c>
      <c r="H540" s="77">
        <v>0</v>
      </c>
      <c r="I540" s="77">
        <v>0</v>
      </c>
      <c r="J540" s="77">
        <v>0</v>
      </c>
      <c r="K540" s="77">
        <v>27.476899100000001</v>
      </c>
      <c r="L540" s="77">
        <v>0</v>
      </c>
      <c r="M540" s="77">
        <v>0</v>
      </c>
      <c r="N540" s="77">
        <v>0</v>
      </c>
      <c r="O540" s="77">
        <v>0</v>
      </c>
      <c r="P540" s="77">
        <v>0</v>
      </c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  <c r="AG540" s="77"/>
    </row>
    <row r="541" spans="1:33" x14ac:dyDescent="0.25">
      <c r="A541" s="77" t="s">
        <v>11</v>
      </c>
      <c r="B541" s="77">
        <v>1.55031907</v>
      </c>
      <c r="C541" s="77">
        <v>0</v>
      </c>
      <c r="D541" s="77">
        <v>1.55031907</v>
      </c>
      <c r="E541" s="77">
        <v>0.80236760600000001</v>
      </c>
      <c r="F541" s="77">
        <v>0</v>
      </c>
      <c r="G541" s="77">
        <v>0.74795146099999998</v>
      </c>
      <c r="H541" s="77">
        <v>0</v>
      </c>
      <c r="I541" s="77">
        <v>0</v>
      </c>
      <c r="J541" s="77">
        <v>0</v>
      </c>
      <c r="K541" s="77">
        <v>0</v>
      </c>
      <c r="L541" s="77">
        <v>0</v>
      </c>
      <c r="M541" s="77">
        <v>0</v>
      </c>
      <c r="N541" s="77">
        <v>0</v>
      </c>
      <c r="O541" s="77">
        <v>0</v>
      </c>
      <c r="P541" s="77">
        <v>0</v>
      </c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  <c r="AG541" s="77"/>
    </row>
    <row r="542" spans="1:33" x14ac:dyDescent="0.25">
      <c r="A542" s="77" t="s">
        <v>12</v>
      </c>
      <c r="B542" s="77">
        <v>77.380985600000002</v>
      </c>
      <c r="C542" s="105">
        <v>-1.8194714400000001E-13</v>
      </c>
      <c r="D542" s="77">
        <v>77.380985600000002</v>
      </c>
      <c r="E542" s="77">
        <v>62.626249000000001</v>
      </c>
      <c r="F542" s="77">
        <v>0</v>
      </c>
      <c r="G542" s="77">
        <v>12.2235765</v>
      </c>
      <c r="H542" s="77">
        <v>0</v>
      </c>
      <c r="I542" s="77">
        <v>0</v>
      </c>
      <c r="J542" s="77">
        <v>0</v>
      </c>
      <c r="K542" s="77">
        <v>2.5311601800000001</v>
      </c>
      <c r="L542" s="77">
        <v>0</v>
      </c>
      <c r="M542" s="77">
        <v>0</v>
      </c>
      <c r="N542" s="77">
        <v>0</v>
      </c>
      <c r="O542" s="77">
        <v>0</v>
      </c>
      <c r="P542" s="77">
        <v>0</v>
      </c>
      <c r="R542" s="77"/>
      <c r="S542" s="77"/>
      <c r="T542" s="105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  <c r="AG542" s="77"/>
    </row>
    <row r="543" spans="1:33" x14ac:dyDescent="0.25">
      <c r="A543" s="77" t="s">
        <v>13</v>
      </c>
      <c r="B543" s="77">
        <v>52.698576899999999</v>
      </c>
      <c r="C543" s="77">
        <v>0</v>
      </c>
      <c r="D543" s="77">
        <v>52.698576899999999</v>
      </c>
      <c r="E543" s="77">
        <v>40.555668500000003</v>
      </c>
      <c r="F543" s="77">
        <v>0</v>
      </c>
      <c r="G543" s="77">
        <v>0</v>
      </c>
      <c r="H543" s="77">
        <v>0</v>
      </c>
      <c r="I543" s="77">
        <v>0</v>
      </c>
      <c r="J543" s="77">
        <v>0</v>
      </c>
      <c r="K543" s="77">
        <v>12.1429083</v>
      </c>
      <c r="L543" s="77">
        <v>0</v>
      </c>
      <c r="M543" s="77">
        <v>0</v>
      </c>
      <c r="N543" s="77">
        <v>0</v>
      </c>
      <c r="O543" s="77">
        <v>0</v>
      </c>
      <c r="P543" s="77">
        <v>0</v>
      </c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  <c r="AG543" s="77"/>
    </row>
    <row r="544" spans="1:33" x14ac:dyDescent="0.25">
      <c r="A544" s="77" t="s">
        <v>14</v>
      </c>
      <c r="B544" s="77">
        <v>-1.11013651E-13</v>
      </c>
      <c r="C544" s="77">
        <v>0</v>
      </c>
      <c r="D544" s="77">
        <v>-1.11013651E-13</v>
      </c>
      <c r="E544" s="77">
        <v>-8.8661909099999998E-14</v>
      </c>
      <c r="F544" s="77">
        <v>0</v>
      </c>
      <c r="G544" s="77">
        <v>-2.2351741799999999E-14</v>
      </c>
      <c r="H544" s="77">
        <v>0</v>
      </c>
      <c r="I544" s="105">
        <v>0</v>
      </c>
      <c r="J544" s="77">
        <v>0</v>
      </c>
      <c r="K544" s="77">
        <v>0</v>
      </c>
      <c r="L544" s="77">
        <v>0</v>
      </c>
      <c r="M544" s="77">
        <v>0</v>
      </c>
      <c r="N544" s="77">
        <v>0</v>
      </c>
      <c r="O544" s="77">
        <v>0</v>
      </c>
      <c r="P544" s="77">
        <v>0</v>
      </c>
      <c r="R544" s="77"/>
      <c r="S544" s="77"/>
      <c r="T544" s="77"/>
      <c r="U544" s="77"/>
      <c r="V544" s="77"/>
      <c r="W544" s="77"/>
      <c r="X544" s="77"/>
      <c r="Y544" s="77"/>
      <c r="Z544" s="105"/>
      <c r="AA544" s="77"/>
      <c r="AB544" s="77"/>
      <c r="AC544" s="77"/>
      <c r="AD544" s="77"/>
      <c r="AE544" s="77"/>
      <c r="AF544" s="77"/>
      <c r="AG544" s="77"/>
    </row>
    <row r="545" spans="1:33" x14ac:dyDescent="0.25">
      <c r="A545" s="77" t="s">
        <v>439</v>
      </c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  <c r="AG545" s="77"/>
    </row>
    <row r="546" spans="1:33" x14ac:dyDescent="0.25">
      <c r="A546" s="77" t="s">
        <v>360</v>
      </c>
      <c r="B546" s="77" t="s">
        <v>18</v>
      </c>
      <c r="C546" s="77" t="s">
        <v>19</v>
      </c>
      <c r="D546" s="77" t="s">
        <v>20</v>
      </c>
      <c r="E546" s="77" t="s">
        <v>21</v>
      </c>
      <c r="F546" s="77" t="s">
        <v>22</v>
      </c>
      <c r="G546" s="77" t="s">
        <v>23</v>
      </c>
      <c r="H546" s="77" t="s">
        <v>361</v>
      </c>
      <c r="I546" s="77" t="s">
        <v>25</v>
      </c>
      <c r="J546" s="77" t="s">
        <v>362</v>
      </c>
      <c r="K546" s="77" t="s">
        <v>5</v>
      </c>
      <c r="L546" s="77" t="s">
        <v>6</v>
      </c>
      <c r="M546" s="77" t="s">
        <v>7</v>
      </c>
      <c r="N546" s="77" t="s">
        <v>8</v>
      </c>
      <c r="O546" s="77" t="s">
        <v>9</v>
      </c>
      <c r="P546" s="77" t="s">
        <v>363</v>
      </c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  <c r="AG546" s="77"/>
    </row>
    <row r="547" spans="1:33" x14ac:dyDescent="0.25">
      <c r="A547" s="77" t="s">
        <v>364</v>
      </c>
      <c r="B547" s="77" t="s">
        <v>370</v>
      </c>
      <c r="C547" s="77" t="s">
        <v>370</v>
      </c>
      <c r="D547" s="77" t="s">
        <v>370</v>
      </c>
      <c r="E547" s="77" t="s">
        <v>370</v>
      </c>
      <c r="F547" s="77" t="s">
        <v>370</v>
      </c>
      <c r="G547" s="77" t="s">
        <v>370</v>
      </c>
      <c r="H547" s="77" t="s">
        <v>370</v>
      </c>
      <c r="I547" s="77" t="s">
        <v>370</v>
      </c>
      <c r="J547" s="77" t="s">
        <v>370</v>
      </c>
      <c r="K547" s="77" t="s">
        <v>370</v>
      </c>
      <c r="L547" s="77" t="s">
        <v>370</v>
      </c>
      <c r="M547" s="77" t="s">
        <v>370</v>
      </c>
      <c r="N547" s="77" t="s">
        <v>370</v>
      </c>
      <c r="O547" s="77" t="s">
        <v>370</v>
      </c>
      <c r="P547" s="77" t="s">
        <v>370</v>
      </c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  <c r="AG547" s="77"/>
    </row>
    <row r="548" spans="1:33" x14ac:dyDescent="0.25">
      <c r="A548" s="77" t="s">
        <v>1</v>
      </c>
      <c r="B548" s="77">
        <v>0</v>
      </c>
      <c r="C548" s="77">
        <v>0</v>
      </c>
      <c r="D548" s="77">
        <v>0</v>
      </c>
      <c r="E548" s="77">
        <v>0</v>
      </c>
      <c r="F548" s="77">
        <v>0</v>
      </c>
      <c r="G548" s="77">
        <v>0</v>
      </c>
      <c r="H548" s="77">
        <v>0</v>
      </c>
      <c r="I548" s="77">
        <v>0</v>
      </c>
      <c r="J548" s="77">
        <v>0</v>
      </c>
      <c r="K548" s="77">
        <v>0</v>
      </c>
      <c r="L548" s="77">
        <v>0</v>
      </c>
      <c r="M548" s="77">
        <v>0</v>
      </c>
      <c r="N548" s="77">
        <v>0</v>
      </c>
      <c r="O548" s="77">
        <v>0</v>
      </c>
      <c r="P548" s="77">
        <v>0</v>
      </c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  <c r="AG548" s="77"/>
    </row>
    <row r="549" spans="1:33" x14ac:dyDescent="0.25">
      <c r="A549" s="77" t="s">
        <v>2</v>
      </c>
      <c r="B549" s="77">
        <v>2.1022093100000001</v>
      </c>
      <c r="C549" s="77">
        <v>0</v>
      </c>
      <c r="D549" s="77">
        <v>2.1022093100000001</v>
      </c>
      <c r="E549" s="77">
        <v>0</v>
      </c>
      <c r="F549" s="77">
        <v>0</v>
      </c>
      <c r="G549" s="77">
        <v>0</v>
      </c>
      <c r="H549" s="77">
        <v>0</v>
      </c>
      <c r="I549" s="77">
        <v>0</v>
      </c>
      <c r="J549" s="77">
        <v>0</v>
      </c>
      <c r="K549" s="77">
        <v>2.1022093100000001</v>
      </c>
      <c r="L549" s="77">
        <v>0</v>
      </c>
      <c r="M549" s="77">
        <v>0</v>
      </c>
      <c r="N549" s="77">
        <v>0</v>
      </c>
      <c r="O549" s="77">
        <v>0</v>
      </c>
      <c r="P549" s="77">
        <v>0</v>
      </c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  <c r="AG549" s="77"/>
    </row>
    <row r="550" spans="1:33" x14ac:dyDescent="0.25">
      <c r="A550" s="77" t="s">
        <v>3</v>
      </c>
      <c r="B550" s="77">
        <v>5.2838204400000004</v>
      </c>
      <c r="C550" s="77">
        <v>0</v>
      </c>
      <c r="D550" s="77">
        <v>5.2838204400000004</v>
      </c>
      <c r="E550" s="77">
        <v>3.5135086100000001</v>
      </c>
      <c r="F550" s="77">
        <v>0</v>
      </c>
      <c r="G550" s="77">
        <v>1.2021471500000001</v>
      </c>
      <c r="H550" s="77">
        <v>0</v>
      </c>
      <c r="I550" s="77">
        <v>0</v>
      </c>
      <c r="J550" s="77">
        <v>0</v>
      </c>
      <c r="K550" s="77">
        <v>0.56816467900000001</v>
      </c>
      <c r="L550" s="77">
        <v>0</v>
      </c>
      <c r="M550" s="77">
        <v>0</v>
      </c>
      <c r="N550" s="77">
        <v>0</v>
      </c>
      <c r="O550" s="77">
        <v>0</v>
      </c>
      <c r="P550" s="77">
        <v>0</v>
      </c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  <c r="AG550" s="77"/>
    </row>
    <row r="551" spans="1:33" x14ac:dyDescent="0.25">
      <c r="A551" s="77" t="s">
        <v>4</v>
      </c>
      <c r="B551" s="77">
        <v>2.7905743200000002</v>
      </c>
      <c r="C551" s="77">
        <v>0</v>
      </c>
      <c r="D551" s="77">
        <v>2.7905743200000002</v>
      </c>
      <c r="E551" s="77">
        <v>1.44426169</v>
      </c>
      <c r="F551" s="77">
        <v>0</v>
      </c>
      <c r="G551" s="77">
        <v>1.3463126299999999</v>
      </c>
      <c r="H551" s="77">
        <v>0</v>
      </c>
      <c r="I551" s="77">
        <v>0</v>
      </c>
      <c r="J551" s="77">
        <v>0</v>
      </c>
      <c r="K551" s="77">
        <v>0</v>
      </c>
      <c r="L551" s="77">
        <v>0</v>
      </c>
      <c r="M551" s="77">
        <v>0</v>
      </c>
      <c r="N551" s="77">
        <v>0</v>
      </c>
      <c r="O551" s="77">
        <v>0</v>
      </c>
      <c r="P551" s="77">
        <v>0</v>
      </c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  <c r="AG551" s="77"/>
    </row>
    <row r="552" spans="1:33" x14ac:dyDescent="0.25">
      <c r="A552" s="77" t="s">
        <v>5</v>
      </c>
      <c r="B552" s="77">
        <v>2.1022093100000001</v>
      </c>
      <c r="C552" s="77">
        <v>2.6703739899999999</v>
      </c>
      <c r="D552" s="77">
        <v>-0.56816467900000001</v>
      </c>
      <c r="E552" s="77">
        <v>1.29789595</v>
      </c>
      <c r="F552" s="77">
        <v>0</v>
      </c>
      <c r="G552" s="77">
        <v>0.80431336499999995</v>
      </c>
      <c r="H552" s="77">
        <v>0</v>
      </c>
      <c r="I552" s="77">
        <v>0</v>
      </c>
      <c r="J552" s="77">
        <v>0</v>
      </c>
      <c r="K552" s="77">
        <v>0</v>
      </c>
      <c r="L552" s="77">
        <v>0</v>
      </c>
      <c r="M552" s="77">
        <v>0</v>
      </c>
      <c r="N552" s="77">
        <v>0</v>
      </c>
      <c r="O552" s="77">
        <v>0</v>
      </c>
      <c r="P552" s="77">
        <v>0</v>
      </c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  <c r="AG552" s="77"/>
    </row>
    <row r="553" spans="1:33" x14ac:dyDescent="0.25">
      <c r="A553" s="77" t="s">
        <v>6</v>
      </c>
      <c r="B553" s="77">
        <v>0</v>
      </c>
      <c r="C553" s="77">
        <v>0</v>
      </c>
      <c r="D553" s="77">
        <v>0</v>
      </c>
      <c r="E553" s="77">
        <v>0</v>
      </c>
      <c r="F553" s="77">
        <v>0</v>
      </c>
      <c r="G553" s="77">
        <v>0</v>
      </c>
      <c r="H553" s="77">
        <v>0</v>
      </c>
      <c r="I553" s="77">
        <v>0</v>
      </c>
      <c r="J553" s="77">
        <v>0</v>
      </c>
      <c r="K553" s="77">
        <v>0</v>
      </c>
      <c r="L553" s="77">
        <v>0</v>
      </c>
      <c r="M553" s="77">
        <v>0</v>
      </c>
      <c r="N553" s="77">
        <v>0</v>
      </c>
      <c r="O553" s="77">
        <v>0</v>
      </c>
      <c r="P553" s="77">
        <v>0</v>
      </c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  <c r="AG553" s="77"/>
    </row>
    <row r="554" spans="1:33" x14ac:dyDescent="0.25">
      <c r="A554" s="77" t="s">
        <v>7</v>
      </c>
      <c r="B554" s="77">
        <v>0</v>
      </c>
      <c r="C554" s="77">
        <v>0</v>
      </c>
      <c r="D554" s="77">
        <v>0</v>
      </c>
      <c r="E554" s="77">
        <v>0</v>
      </c>
      <c r="F554" s="77">
        <v>0</v>
      </c>
      <c r="G554" s="77">
        <v>0</v>
      </c>
      <c r="H554" s="77">
        <v>0</v>
      </c>
      <c r="I554" s="77">
        <v>0</v>
      </c>
      <c r="J554" s="77">
        <v>0</v>
      </c>
      <c r="K554" s="77">
        <v>0</v>
      </c>
      <c r="L554" s="77">
        <v>0</v>
      </c>
      <c r="M554" s="77">
        <v>0</v>
      </c>
      <c r="N554" s="77">
        <v>0</v>
      </c>
      <c r="O554" s="77">
        <v>0</v>
      </c>
      <c r="P554" s="77">
        <v>0</v>
      </c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  <c r="AG554" s="77"/>
    </row>
    <row r="555" spans="1:33" x14ac:dyDescent="0.25">
      <c r="A555" s="77" t="s">
        <v>8</v>
      </c>
      <c r="B555" s="77">
        <v>0</v>
      </c>
      <c r="C555" s="77">
        <v>0</v>
      </c>
      <c r="D555" s="77">
        <v>0</v>
      </c>
      <c r="E555" s="77">
        <v>0</v>
      </c>
      <c r="F555" s="77">
        <v>0</v>
      </c>
      <c r="G555" s="77">
        <v>0</v>
      </c>
      <c r="H555" s="77">
        <v>0</v>
      </c>
      <c r="I555" s="77">
        <v>0</v>
      </c>
      <c r="J555" s="77">
        <v>0</v>
      </c>
      <c r="K555" s="77">
        <v>0</v>
      </c>
      <c r="L555" s="77">
        <v>0</v>
      </c>
      <c r="M555" s="77">
        <v>0</v>
      </c>
      <c r="N555" s="77">
        <v>0</v>
      </c>
      <c r="O555" s="77">
        <v>0</v>
      </c>
      <c r="P555" s="77">
        <v>0</v>
      </c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  <c r="AG555" s="77"/>
    </row>
    <row r="556" spans="1:33" x14ac:dyDescent="0.25">
      <c r="A556" s="77" t="s">
        <v>9</v>
      </c>
      <c r="B556" s="77">
        <v>0</v>
      </c>
      <c r="C556" s="77">
        <v>0</v>
      </c>
      <c r="D556" s="77">
        <v>0</v>
      </c>
      <c r="E556" s="77">
        <v>0</v>
      </c>
      <c r="F556" s="77">
        <v>0</v>
      </c>
      <c r="G556" s="77">
        <v>0</v>
      </c>
      <c r="H556" s="77">
        <v>0</v>
      </c>
      <c r="I556" s="77">
        <v>0</v>
      </c>
      <c r="J556" s="77">
        <v>0</v>
      </c>
      <c r="K556" s="77">
        <v>0</v>
      </c>
      <c r="L556" s="77">
        <v>0</v>
      </c>
      <c r="M556" s="77">
        <v>0</v>
      </c>
      <c r="N556" s="77">
        <v>0</v>
      </c>
      <c r="O556" s="77">
        <v>0</v>
      </c>
      <c r="P556" s="77">
        <v>0</v>
      </c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  <c r="AG556" s="77"/>
    </row>
    <row r="557" spans="1:33" x14ac:dyDescent="0.25">
      <c r="A557" s="77" t="s">
        <v>10</v>
      </c>
      <c r="B557" s="77">
        <v>0</v>
      </c>
      <c r="C557" s="77">
        <v>0</v>
      </c>
      <c r="D557" s="77">
        <v>0</v>
      </c>
      <c r="E557" s="77">
        <v>0</v>
      </c>
      <c r="F557" s="77">
        <v>0</v>
      </c>
      <c r="G557" s="77">
        <v>0</v>
      </c>
      <c r="H557" s="77">
        <v>0</v>
      </c>
      <c r="I557" s="77">
        <v>0</v>
      </c>
      <c r="J557" s="77">
        <v>0</v>
      </c>
      <c r="K557" s="77">
        <v>0</v>
      </c>
      <c r="L557" s="77">
        <v>0</v>
      </c>
      <c r="M557" s="77">
        <v>0</v>
      </c>
      <c r="N557" s="77">
        <v>0</v>
      </c>
      <c r="O557" s="77">
        <v>0</v>
      </c>
      <c r="P557" s="77">
        <v>0</v>
      </c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  <c r="AG557" s="77"/>
    </row>
    <row r="558" spans="1:33" x14ac:dyDescent="0.25">
      <c r="A558" s="77" t="s">
        <v>11</v>
      </c>
      <c r="B558" s="77">
        <v>0</v>
      </c>
      <c r="C558" s="77">
        <v>0</v>
      </c>
      <c r="D558" s="77">
        <v>0</v>
      </c>
      <c r="E558" s="77">
        <v>0</v>
      </c>
      <c r="F558" s="77">
        <v>0</v>
      </c>
      <c r="G558" s="77">
        <v>0</v>
      </c>
      <c r="H558" s="77">
        <v>0</v>
      </c>
      <c r="I558" s="77">
        <v>0</v>
      </c>
      <c r="J558" s="77">
        <v>0</v>
      </c>
      <c r="K558" s="77">
        <v>0</v>
      </c>
      <c r="L558" s="77">
        <v>0</v>
      </c>
      <c r="M558" s="77">
        <v>0</v>
      </c>
      <c r="N558" s="77">
        <v>0</v>
      </c>
      <c r="O558" s="77">
        <v>0</v>
      </c>
      <c r="P558" s="77">
        <v>0</v>
      </c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  <c r="AG558" s="77"/>
    </row>
    <row r="559" spans="1:33" x14ac:dyDescent="0.25">
      <c r="A559" s="77" t="s">
        <v>12</v>
      </c>
      <c r="B559" s="77">
        <v>0</v>
      </c>
      <c r="C559" s="77">
        <v>0</v>
      </c>
      <c r="D559" s="77">
        <v>0</v>
      </c>
      <c r="E559" s="77">
        <v>0</v>
      </c>
      <c r="F559" s="77">
        <v>0</v>
      </c>
      <c r="G559" s="77">
        <v>0</v>
      </c>
      <c r="H559" s="77">
        <v>0</v>
      </c>
      <c r="I559" s="77">
        <v>0</v>
      </c>
      <c r="J559" s="77">
        <v>0</v>
      </c>
      <c r="K559" s="77">
        <v>0</v>
      </c>
      <c r="L559" s="77">
        <v>0</v>
      </c>
      <c r="M559" s="77">
        <v>0</v>
      </c>
      <c r="N559" s="77">
        <v>0</v>
      </c>
      <c r="O559" s="77">
        <v>0</v>
      </c>
      <c r="P559" s="77">
        <v>0</v>
      </c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  <c r="AG559" s="77"/>
    </row>
    <row r="560" spans="1:33" x14ac:dyDescent="0.25">
      <c r="A560" s="77" t="s">
        <v>13</v>
      </c>
      <c r="B560" s="77">
        <v>0</v>
      </c>
      <c r="C560" s="77">
        <v>0</v>
      </c>
      <c r="D560" s="77">
        <v>0</v>
      </c>
      <c r="E560" s="77">
        <v>0</v>
      </c>
      <c r="F560" s="77">
        <v>0</v>
      </c>
      <c r="G560" s="77">
        <v>0</v>
      </c>
      <c r="H560" s="77">
        <v>0</v>
      </c>
      <c r="I560" s="77">
        <v>0</v>
      </c>
      <c r="J560" s="77">
        <v>0</v>
      </c>
      <c r="K560" s="77">
        <v>0</v>
      </c>
      <c r="L560" s="77">
        <v>0</v>
      </c>
      <c r="M560" s="77">
        <v>0</v>
      </c>
      <c r="N560" s="77">
        <v>0</v>
      </c>
      <c r="O560" s="77">
        <v>0</v>
      </c>
      <c r="P560" s="77">
        <v>0</v>
      </c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  <c r="AG560" s="77"/>
    </row>
    <row r="561" spans="1:33" x14ac:dyDescent="0.25">
      <c r="A561" s="77" t="s">
        <v>14</v>
      </c>
      <c r="B561" s="77">
        <v>0</v>
      </c>
      <c r="C561" s="77">
        <v>0</v>
      </c>
      <c r="D561" s="77">
        <v>0</v>
      </c>
      <c r="E561" s="77">
        <v>0</v>
      </c>
      <c r="F561" s="77">
        <v>0</v>
      </c>
      <c r="G561" s="77">
        <v>0</v>
      </c>
      <c r="H561" s="77">
        <v>0</v>
      </c>
      <c r="I561" s="77">
        <v>0</v>
      </c>
      <c r="J561" s="77">
        <v>0</v>
      </c>
      <c r="K561" s="77">
        <v>0</v>
      </c>
      <c r="L561" s="77">
        <v>0</v>
      </c>
      <c r="M561" s="77">
        <v>0</v>
      </c>
      <c r="N561" s="77">
        <v>0</v>
      </c>
      <c r="O561" s="77">
        <v>0</v>
      </c>
      <c r="P561" s="77">
        <v>0</v>
      </c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  <c r="AG561" s="77"/>
    </row>
    <row r="562" spans="1:33" x14ac:dyDescent="0.25">
      <c r="A562" s="77" t="s">
        <v>440</v>
      </c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  <c r="AG562" s="77"/>
    </row>
    <row r="563" spans="1:33" x14ac:dyDescent="0.25">
      <c r="A563" s="77" t="s">
        <v>360</v>
      </c>
      <c r="B563" s="77" t="s">
        <v>18</v>
      </c>
      <c r="C563" s="77" t="s">
        <v>19</v>
      </c>
      <c r="D563" s="77" t="s">
        <v>20</v>
      </c>
      <c r="E563" s="77" t="s">
        <v>21</v>
      </c>
      <c r="F563" s="77" t="s">
        <v>22</v>
      </c>
      <c r="G563" s="77" t="s">
        <v>23</v>
      </c>
      <c r="H563" s="77" t="s">
        <v>361</v>
      </c>
      <c r="I563" s="77" t="s">
        <v>25</v>
      </c>
      <c r="J563" s="77" t="s">
        <v>362</v>
      </c>
      <c r="K563" s="77" t="s">
        <v>5</v>
      </c>
      <c r="L563" s="77" t="s">
        <v>6</v>
      </c>
      <c r="M563" s="77" t="s">
        <v>7</v>
      </c>
      <c r="N563" s="77" t="s">
        <v>8</v>
      </c>
      <c r="O563" s="77" t="s">
        <v>9</v>
      </c>
      <c r="P563" s="77" t="s">
        <v>363</v>
      </c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  <c r="AG563" s="77"/>
    </row>
    <row r="564" spans="1:33" x14ac:dyDescent="0.25">
      <c r="A564" s="77" t="s">
        <v>364</v>
      </c>
      <c r="B564" s="77" t="s">
        <v>365</v>
      </c>
      <c r="C564" s="77" t="s">
        <v>365</v>
      </c>
      <c r="D564" s="77" t="s">
        <v>365</v>
      </c>
      <c r="E564" s="77" t="s">
        <v>365</v>
      </c>
      <c r="F564" s="77" t="s">
        <v>365</v>
      </c>
      <c r="G564" s="77" t="s">
        <v>365</v>
      </c>
      <c r="H564" s="77" t="s">
        <v>365</v>
      </c>
      <c r="I564" s="77" t="s">
        <v>365</v>
      </c>
      <c r="J564" s="77" t="s">
        <v>365</v>
      </c>
      <c r="K564" s="77" t="s">
        <v>365</v>
      </c>
      <c r="L564" s="77" t="s">
        <v>365</v>
      </c>
      <c r="M564" s="77" t="s">
        <v>365</v>
      </c>
      <c r="N564" s="77" t="s">
        <v>365</v>
      </c>
      <c r="O564" s="77" t="s">
        <v>365</v>
      </c>
      <c r="P564" s="77" t="s">
        <v>365</v>
      </c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  <c r="AG564" s="77"/>
    </row>
    <row r="565" spans="1:33" x14ac:dyDescent="0.25">
      <c r="A565" s="77" t="s">
        <v>1</v>
      </c>
      <c r="B565" s="77">
        <v>0</v>
      </c>
      <c r="C565" s="77">
        <v>0</v>
      </c>
      <c r="D565" s="77">
        <v>0</v>
      </c>
      <c r="E565" s="77">
        <v>0</v>
      </c>
      <c r="F565" s="77">
        <v>0</v>
      </c>
      <c r="G565" s="77">
        <v>0</v>
      </c>
      <c r="H565" s="77">
        <v>0</v>
      </c>
      <c r="I565" s="77">
        <v>0</v>
      </c>
      <c r="J565" s="77">
        <v>0</v>
      </c>
      <c r="K565" s="77">
        <v>0</v>
      </c>
      <c r="L565" s="77">
        <v>0</v>
      </c>
      <c r="M565" s="77">
        <v>0</v>
      </c>
      <c r="N565" s="77">
        <v>0</v>
      </c>
      <c r="O565" s="77">
        <v>0</v>
      </c>
      <c r="P565" s="77">
        <v>0</v>
      </c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  <c r="AG565" s="77"/>
    </row>
    <row r="566" spans="1:33" x14ac:dyDescent="0.25">
      <c r="A566" s="77" t="s">
        <v>2</v>
      </c>
      <c r="B566" s="77">
        <v>0</v>
      </c>
      <c r="C566" s="77">
        <v>0</v>
      </c>
      <c r="D566" s="77">
        <v>0</v>
      </c>
      <c r="E566" s="77">
        <v>0</v>
      </c>
      <c r="F566" s="77">
        <v>0</v>
      </c>
      <c r="G566" s="77">
        <v>0</v>
      </c>
      <c r="H566" s="77">
        <v>0</v>
      </c>
      <c r="I566" s="77">
        <v>0</v>
      </c>
      <c r="J566" s="77">
        <v>0</v>
      </c>
      <c r="K566" s="77">
        <v>0</v>
      </c>
      <c r="L566" s="77">
        <v>0</v>
      </c>
      <c r="M566" s="77">
        <v>0</v>
      </c>
      <c r="N566" s="77">
        <v>0</v>
      </c>
      <c r="O566" s="77">
        <v>0</v>
      </c>
      <c r="P566" s="77">
        <v>0</v>
      </c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  <c r="AG566" s="77"/>
    </row>
    <row r="567" spans="1:33" x14ac:dyDescent="0.25">
      <c r="A567" s="77" t="s">
        <v>3</v>
      </c>
      <c r="B567" s="77">
        <v>46.9824117</v>
      </c>
      <c r="C567" s="77">
        <v>0</v>
      </c>
      <c r="D567" s="77">
        <v>46.9824117</v>
      </c>
      <c r="E567" s="77">
        <v>22.104878899999999</v>
      </c>
      <c r="F567" s="77">
        <v>0.34096257200000002</v>
      </c>
      <c r="G567" s="77">
        <v>8.7343643100000001</v>
      </c>
      <c r="H567" s="77">
        <v>9.2276064599999999E-2</v>
      </c>
      <c r="I567" s="77">
        <v>0</v>
      </c>
      <c r="J567" s="77">
        <v>0</v>
      </c>
      <c r="K567" s="77">
        <v>15.709929900000001</v>
      </c>
      <c r="L567" s="77">
        <v>0</v>
      </c>
      <c r="M567" s="77">
        <v>0</v>
      </c>
      <c r="N567" s="77">
        <v>0</v>
      </c>
      <c r="O567" s="77">
        <v>0</v>
      </c>
      <c r="P567" s="77">
        <v>0</v>
      </c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  <c r="AG567" s="77"/>
    </row>
    <row r="568" spans="1:33" x14ac:dyDescent="0.25">
      <c r="A568" s="77" t="s">
        <v>4</v>
      </c>
      <c r="B568" s="77">
        <v>209.847331</v>
      </c>
      <c r="C568" s="77">
        <v>0</v>
      </c>
      <c r="D568" s="77">
        <v>209.847331</v>
      </c>
      <c r="E568" s="77">
        <v>81.918568800000003</v>
      </c>
      <c r="F568" s="77">
        <v>12.2382241</v>
      </c>
      <c r="G568" s="77">
        <v>74.471662100000003</v>
      </c>
      <c r="H568" s="77">
        <v>3.8053738400000001</v>
      </c>
      <c r="I568" s="77">
        <v>0</v>
      </c>
      <c r="J568" s="77">
        <v>0</v>
      </c>
      <c r="K568" s="77">
        <v>0</v>
      </c>
      <c r="L568" s="77">
        <v>0</v>
      </c>
      <c r="M568" s="77">
        <v>37.4135019</v>
      </c>
      <c r="N568" s="77">
        <v>0</v>
      </c>
      <c r="O568" s="77">
        <v>0</v>
      </c>
      <c r="P568" s="77">
        <v>0</v>
      </c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  <c r="AG568" s="77"/>
    </row>
    <row r="569" spans="1:33" x14ac:dyDescent="0.25">
      <c r="A569" s="77" t="s">
        <v>5</v>
      </c>
      <c r="B569" s="77">
        <v>15.709929900000001</v>
      </c>
      <c r="C569" s="77">
        <v>15.709929900000001</v>
      </c>
      <c r="D569" s="77">
        <v>-1.7763568400000001E-15</v>
      </c>
      <c r="E569" s="77">
        <v>9.8427108600000004</v>
      </c>
      <c r="F569" s="77">
        <v>2.7277068</v>
      </c>
      <c r="G569" s="77">
        <v>2.9444521199999998</v>
      </c>
      <c r="H569" s="77">
        <v>0.19506011400000001</v>
      </c>
      <c r="I569" s="77">
        <v>0</v>
      </c>
      <c r="J569" s="77">
        <v>0</v>
      </c>
      <c r="K569" s="77">
        <v>0</v>
      </c>
      <c r="L569" s="77">
        <v>0</v>
      </c>
      <c r="M569" s="77">
        <v>0</v>
      </c>
      <c r="N569" s="77">
        <v>0</v>
      </c>
      <c r="O569" s="77">
        <v>0</v>
      </c>
      <c r="P569" s="77">
        <v>0</v>
      </c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  <c r="AG569" s="77"/>
    </row>
    <row r="570" spans="1:33" x14ac:dyDescent="0.25">
      <c r="A570" s="77" t="s">
        <v>6</v>
      </c>
      <c r="B570" s="77">
        <v>0</v>
      </c>
      <c r="C570" s="77">
        <v>0</v>
      </c>
      <c r="D570" s="105">
        <v>0</v>
      </c>
      <c r="E570" s="77">
        <v>0</v>
      </c>
      <c r="F570" s="77">
        <v>0</v>
      </c>
      <c r="G570" s="77">
        <v>0</v>
      </c>
      <c r="H570" s="77">
        <v>0</v>
      </c>
      <c r="I570" s="77">
        <v>0</v>
      </c>
      <c r="J570" s="77">
        <v>0</v>
      </c>
      <c r="K570" s="77">
        <v>0</v>
      </c>
      <c r="L570" s="77">
        <v>0</v>
      </c>
      <c r="M570" s="77">
        <v>0</v>
      </c>
      <c r="N570" s="77">
        <v>0</v>
      </c>
      <c r="O570" s="77">
        <v>0</v>
      </c>
      <c r="P570" s="77">
        <v>0</v>
      </c>
      <c r="R570" s="77"/>
      <c r="S570" s="77"/>
      <c r="T570" s="77"/>
      <c r="U570" s="105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  <c r="AG570" s="77"/>
    </row>
    <row r="571" spans="1:33" x14ac:dyDescent="0.25">
      <c r="A571" s="77" t="s">
        <v>7</v>
      </c>
      <c r="B571" s="77">
        <v>37.4135019</v>
      </c>
      <c r="C571" s="77">
        <v>37.4135019</v>
      </c>
      <c r="D571" s="77">
        <v>7.1054273600000004E-15</v>
      </c>
      <c r="E571" s="77">
        <v>27.963288599999998</v>
      </c>
      <c r="F571" s="77">
        <v>4.0000655099999998</v>
      </c>
      <c r="G571" s="77">
        <v>5.0917552099999996</v>
      </c>
      <c r="H571" s="77">
        <v>0.35839253100000001</v>
      </c>
      <c r="I571" s="77">
        <v>0</v>
      </c>
      <c r="J571" s="77">
        <v>0</v>
      </c>
      <c r="K571" s="77">
        <v>0</v>
      </c>
      <c r="L571" s="77">
        <v>0</v>
      </c>
      <c r="M571" s="77">
        <v>0</v>
      </c>
      <c r="N571" s="77">
        <v>0</v>
      </c>
      <c r="O571" s="77">
        <v>0</v>
      </c>
      <c r="P571" s="77">
        <v>0</v>
      </c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  <c r="AG571" s="77"/>
    </row>
    <row r="572" spans="1:33" x14ac:dyDescent="0.25">
      <c r="A572" s="77" t="s">
        <v>8</v>
      </c>
      <c r="B572" s="77">
        <v>0</v>
      </c>
      <c r="C572" s="77">
        <v>0</v>
      </c>
      <c r="D572" s="77">
        <v>0</v>
      </c>
      <c r="E572" s="77">
        <v>0</v>
      </c>
      <c r="F572" s="77">
        <v>0</v>
      </c>
      <c r="G572" s="77">
        <v>0</v>
      </c>
      <c r="H572" s="77">
        <v>0</v>
      </c>
      <c r="I572" s="77">
        <v>0</v>
      </c>
      <c r="J572" s="77">
        <v>0</v>
      </c>
      <c r="K572" s="77">
        <v>0</v>
      </c>
      <c r="L572" s="77">
        <v>0</v>
      </c>
      <c r="M572" s="77">
        <v>0</v>
      </c>
      <c r="N572" s="77">
        <v>0</v>
      </c>
      <c r="O572" s="77">
        <v>0</v>
      </c>
      <c r="P572" s="77">
        <v>0</v>
      </c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  <c r="AG572" s="77"/>
    </row>
    <row r="573" spans="1:33" x14ac:dyDescent="0.25">
      <c r="A573" s="77" t="s">
        <v>9</v>
      </c>
      <c r="B573" s="77">
        <v>0</v>
      </c>
      <c r="C573" s="77">
        <v>0</v>
      </c>
      <c r="D573" s="77">
        <v>0</v>
      </c>
      <c r="E573" s="77">
        <v>0</v>
      </c>
      <c r="F573" s="77">
        <v>0</v>
      </c>
      <c r="G573" s="77">
        <v>0</v>
      </c>
      <c r="H573" s="77">
        <v>0</v>
      </c>
      <c r="I573" s="77">
        <v>0</v>
      </c>
      <c r="J573" s="77">
        <v>0</v>
      </c>
      <c r="K573" s="77">
        <v>0</v>
      </c>
      <c r="L573" s="77">
        <v>0</v>
      </c>
      <c r="M573" s="77">
        <v>0</v>
      </c>
      <c r="N573" s="77">
        <v>0</v>
      </c>
      <c r="O573" s="77">
        <v>0</v>
      </c>
      <c r="P573" s="77">
        <v>0</v>
      </c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  <c r="AG573" s="77"/>
    </row>
    <row r="574" spans="1:33" x14ac:dyDescent="0.25">
      <c r="A574" s="77" t="s">
        <v>10</v>
      </c>
      <c r="B574" s="77">
        <v>0</v>
      </c>
      <c r="C574" s="77">
        <v>0</v>
      </c>
      <c r="D574" s="77">
        <v>0</v>
      </c>
      <c r="E574" s="77">
        <v>0</v>
      </c>
      <c r="F574" s="77">
        <v>0</v>
      </c>
      <c r="G574" s="77">
        <v>0</v>
      </c>
      <c r="H574" s="77">
        <v>0</v>
      </c>
      <c r="I574" s="77">
        <v>0</v>
      </c>
      <c r="J574" s="77">
        <v>0</v>
      </c>
      <c r="K574" s="77">
        <v>0</v>
      </c>
      <c r="L574" s="77">
        <v>0</v>
      </c>
      <c r="M574" s="77">
        <v>0</v>
      </c>
      <c r="N574" s="77">
        <v>0</v>
      </c>
      <c r="O574" s="77">
        <v>0</v>
      </c>
      <c r="P574" s="77">
        <v>0</v>
      </c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  <c r="AG574" s="77"/>
    </row>
    <row r="575" spans="1:33" x14ac:dyDescent="0.25">
      <c r="A575" s="77" t="s">
        <v>11</v>
      </c>
      <c r="B575" s="77">
        <v>0</v>
      </c>
      <c r="C575" s="77">
        <v>0</v>
      </c>
      <c r="D575" s="77">
        <v>0</v>
      </c>
      <c r="E575" s="77">
        <v>0</v>
      </c>
      <c r="F575" s="77">
        <v>0</v>
      </c>
      <c r="G575" s="77">
        <v>0</v>
      </c>
      <c r="H575" s="77">
        <v>0</v>
      </c>
      <c r="I575" s="77">
        <v>0</v>
      </c>
      <c r="J575" s="77">
        <v>0</v>
      </c>
      <c r="K575" s="77">
        <v>0</v>
      </c>
      <c r="L575" s="77">
        <v>0</v>
      </c>
      <c r="M575" s="77">
        <v>0</v>
      </c>
      <c r="N575" s="77">
        <v>0</v>
      </c>
      <c r="O575" s="77">
        <v>0</v>
      </c>
      <c r="P575" s="77">
        <v>0</v>
      </c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  <c r="AG575" s="77"/>
    </row>
    <row r="576" spans="1:33" x14ac:dyDescent="0.25">
      <c r="A576" s="77" t="s">
        <v>12</v>
      </c>
      <c r="B576" s="77">
        <v>0</v>
      </c>
      <c r="C576" s="77">
        <v>0</v>
      </c>
      <c r="D576" s="77">
        <v>0</v>
      </c>
      <c r="E576" s="77">
        <v>0</v>
      </c>
      <c r="F576" s="77">
        <v>0</v>
      </c>
      <c r="G576" s="77">
        <v>0</v>
      </c>
      <c r="H576" s="77">
        <v>0</v>
      </c>
      <c r="I576" s="77">
        <v>0</v>
      </c>
      <c r="J576" s="77">
        <v>0</v>
      </c>
      <c r="K576" s="77">
        <v>0</v>
      </c>
      <c r="L576" s="77">
        <v>0</v>
      </c>
      <c r="M576" s="77">
        <v>0</v>
      </c>
      <c r="N576" s="77">
        <v>0</v>
      </c>
      <c r="O576" s="77">
        <v>0</v>
      </c>
      <c r="P576" s="77">
        <v>0</v>
      </c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  <c r="AG576" s="77"/>
    </row>
    <row r="577" spans="1:33" x14ac:dyDescent="0.25">
      <c r="A577" s="77" t="s">
        <v>13</v>
      </c>
      <c r="B577" s="77">
        <v>0</v>
      </c>
      <c r="C577" s="77">
        <v>0</v>
      </c>
      <c r="D577" s="77">
        <v>0</v>
      </c>
      <c r="E577" s="77">
        <v>0</v>
      </c>
      <c r="F577" s="77">
        <v>0</v>
      </c>
      <c r="G577" s="77">
        <v>0</v>
      </c>
      <c r="H577" s="77">
        <v>0</v>
      </c>
      <c r="I577" s="77">
        <v>0</v>
      </c>
      <c r="J577" s="77">
        <v>0</v>
      </c>
      <c r="K577" s="77">
        <v>0</v>
      </c>
      <c r="L577" s="77">
        <v>0</v>
      </c>
      <c r="M577" s="77">
        <v>0</v>
      </c>
      <c r="N577" s="77">
        <v>0</v>
      </c>
      <c r="O577" s="77">
        <v>0</v>
      </c>
      <c r="P577" s="77">
        <v>0</v>
      </c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  <c r="AG577" s="77"/>
    </row>
    <row r="578" spans="1:33" x14ac:dyDescent="0.25">
      <c r="A578" s="77" t="s">
        <v>14</v>
      </c>
      <c r="B578" s="77">
        <v>0</v>
      </c>
      <c r="C578" s="77">
        <v>0</v>
      </c>
      <c r="D578" s="77">
        <v>0</v>
      </c>
      <c r="E578" s="77">
        <v>0</v>
      </c>
      <c r="F578" s="77">
        <v>0</v>
      </c>
      <c r="G578" s="77">
        <v>0</v>
      </c>
      <c r="H578" s="77">
        <v>0</v>
      </c>
      <c r="I578" s="77">
        <v>0</v>
      </c>
      <c r="J578" s="77">
        <v>0</v>
      </c>
      <c r="K578" s="77">
        <v>0</v>
      </c>
      <c r="L578" s="77">
        <v>0</v>
      </c>
      <c r="M578" s="77">
        <v>0</v>
      </c>
      <c r="N578" s="77">
        <v>0</v>
      </c>
      <c r="O578" s="77">
        <v>0</v>
      </c>
      <c r="P578" s="77">
        <v>0</v>
      </c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  <c r="AG578" s="77"/>
    </row>
    <row r="579" spans="1:33" x14ac:dyDescent="0.25">
      <c r="A579" s="77" t="s">
        <v>441</v>
      </c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  <c r="AG579" s="77"/>
    </row>
    <row r="580" spans="1:33" x14ac:dyDescent="0.25">
      <c r="A580" s="77" t="s">
        <v>360</v>
      </c>
      <c r="B580" s="77" t="s">
        <v>366</v>
      </c>
      <c r="C580" s="77" t="s">
        <v>367</v>
      </c>
      <c r="D580" s="77" t="s">
        <v>368</v>
      </c>
      <c r="E580" s="77" t="s">
        <v>21</v>
      </c>
      <c r="F580" s="77" t="s">
        <v>22</v>
      </c>
      <c r="G580" s="77" t="s">
        <v>23</v>
      </c>
      <c r="H580" s="77" t="s">
        <v>361</v>
      </c>
      <c r="I580" s="77" t="s">
        <v>25</v>
      </c>
      <c r="J580" s="77" t="s">
        <v>362</v>
      </c>
      <c r="K580" s="77" t="s">
        <v>5</v>
      </c>
      <c r="L580" s="77" t="s">
        <v>6</v>
      </c>
      <c r="M580" s="77" t="s">
        <v>7</v>
      </c>
      <c r="N580" s="77" t="s">
        <v>8</v>
      </c>
      <c r="O580" s="77" t="s">
        <v>9</v>
      </c>
      <c r="P580" s="77" t="s">
        <v>363</v>
      </c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  <c r="AG580" s="77"/>
    </row>
    <row r="581" spans="1:33" x14ac:dyDescent="0.25">
      <c r="A581" s="77" t="s">
        <v>364</v>
      </c>
      <c r="B581" s="77" t="s">
        <v>369</v>
      </c>
      <c r="C581" s="77" t="s">
        <v>369</v>
      </c>
      <c r="D581" s="77" t="s">
        <v>369</v>
      </c>
      <c r="E581" s="77" t="s">
        <v>369</v>
      </c>
      <c r="F581" s="77" t="s">
        <v>369</v>
      </c>
      <c r="G581" s="77" t="s">
        <v>369</v>
      </c>
      <c r="H581" s="77" t="s">
        <v>369</v>
      </c>
      <c r="I581" s="77" t="s">
        <v>369</v>
      </c>
      <c r="J581" s="77" t="s">
        <v>369</v>
      </c>
      <c r="K581" s="77" t="s">
        <v>369</v>
      </c>
      <c r="L581" s="77" t="s">
        <v>369</v>
      </c>
      <c r="M581" s="77" t="s">
        <v>369</v>
      </c>
      <c r="N581" s="77" t="s">
        <v>369</v>
      </c>
      <c r="O581" s="77" t="s">
        <v>369</v>
      </c>
      <c r="P581" s="77" t="s">
        <v>369</v>
      </c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  <c r="AG581" s="77"/>
    </row>
    <row r="582" spans="1:33" x14ac:dyDescent="0.25">
      <c r="A582" s="77" t="s">
        <v>1</v>
      </c>
      <c r="B582" s="77">
        <v>161.06259499999999</v>
      </c>
      <c r="C582" s="77">
        <v>0</v>
      </c>
      <c r="D582" s="77">
        <v>161.06259499999999</v>
      </c>
      <c r="E582" s="77">
        <v>69.634953499999995</v>
      </c>
      <c r="F582" s="77">
        <v>0</v>
      </c>
      <c r="G582" s="77">
        <v>45.6777522</v>
      </c>
      <c r="H582" s="77">
        <v>0</v>
      </c>
      <c r="I582" s="77">
        <v>0</v>
      </c>
      <c r="J582" s="77">
        <v>0</v>
      </c>
      <c r="K582" s="77">
        <v>0</v>
      </c>
      <c r="L582" s="77">
        <v>0</v>
      </c>
      <c r="M582" s="77">
        <v>45.749888900000002</v>
      </c>
      <c r="N582" s="77">
        <v>0</v>
      </c>
      <c r="O582" s="77">
        <v>0</v>
      </c>
      <c r="P582" s="77">
        <v>0</v>
      </c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  <c r="AG582" s="77"/>
    </row>
    <row r="583" spans="1:33" x14ac:dyDescent="0.25">
      <c r="A583" s="77" t="s">
        <v>2</v>
      </c>
      <c r="B583" s="77">
        <v>6.5266473500000002</v>
      </c>
      <c r="C583" s="77">
        <v>0</v>
      </c>
      <c r="D583" s="77">
        <v>6.5266473500000002</v>
      </c>
      <c r="E583" s="77">
        <v>0</v>
      </c>
      <c r="F583" s="77">
        <v>0</v>
      </c>
      <c r="G583" s="77">
        <v>0</v>
      </c>
      <c r="H583" s="77">
        <v>0</v>
      </c>
      <c r="I583" s="77">
        <v>0</v>
      </c>
      <c r="J583" s="77">
        <v>0</v>
      </c>
      <c r="K583" s="77">
        <v>6.5266473500000002</v>
      </c>
      <c r="L583" s="77">
        <v>0</v>
      </c>
      <c r="M583" s="77">
        <v>0</v>
      </c>
      <c r="N583" s="77">
        <v>0</v>
      </c>
      <c r="O583" s="77">
        <v>0</v>
      </c>
      <c r="P583" s="77">
        <v>0</v>
      </c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  <c r="AG583" s="77"/>
    </row>
    <row r="584" spans="1:33" x14ac:dyDescent="0.25">
      <c r="A584" s="77" t="s">
        <v>3</v>
      </c>
      <c r="B584" s="77">
        <v>51.922755000000002</v>
      </c>
      <c r="C584" s="77">
        <v>0</v>
      </c>
      <c r="D584" s="77">
        <v>51.922755000000002</v>
      </c>
      <c r="E584" s="77">
        <v>8.2967351899999997</v>
      </c>
      <c r="F584" s="77">
        <v>0.14153078699999999</v>
      </c>
      <c r="G584" s="77">
        <v>5.4786161099999999</v>
      </c>
      <c r="H584" s="77">
        <v>4.3661204299999999E-2</v>
      </c>
      <c r="I584" s="77">
        <v>0</v>
      </c>
      <c r="J584" s="77">
        <v>0</v>
      </c>
      <c r="K584" s="77">
        <v>3.2655472300000001</v>
      </c>
      <c r="L584" s="77">
        <v>0</v>
      </c>
      <c r="M584" s="77">
        <v>0</v>
      </c>
      <c r="N584" s="77">
        <v>0</v>
      </c>
      <c r="O584" s="77">
        <v>0</v>
      </c>
      <c r="P584" s="77">
        <v>34.696664499999997</v>
      </c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  <c r="AG584" s="77"/>
    </row>
    <row r="585" spans="1:33" x14ac:dyDescent="0.25">
      <c r="A585" s="77" t="s">
        <v>4</v>
      </c>
      <c r="B585" s="77">
        <v>124.680651</v>
      </c>
      <c r="C585" s="77">
        <v>0</v>
      </c>
      <c r="D585" s="77">
        <v>124.680651</v>
      </c>
      <c r="E585" s="77">
        <v>60.2235662</v>
      </c>
      <c r="F585" s="77">
        <v>9.8747818499999997</v>
      </c>
      <c r="G585" s="77">
        <v>45.867540499999997</v>
      </c>
      <c r="H585" s="77">
        <v>2.0765736700000001</v>
      </c>
      <c r="I585" s="77">
        <v>0</v>
      </c>
      <c r="J585" s="77">
        <v>0</v>
      </c>
      <c r="K585" s="77">
        <v>0</v>
      </c>
      <c r="L585" s="77">
        <v>0</v>
      </c>
      <c r="M585" s="77">
        <v>12.299856399999999</v>
      </c>
      <c r="N585" s="77">
        <v>0</v>
      </c>
      <c r="O585" s="77">
        <v>0</v>
      </c>
      <c r="P585" s="77">
        <v>-5.6616678900000004</v>
      </c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  <c r="AG585" s="77"/>
    </row>
    <row r="586" spans="1:33" x14ac:dyDescent="0.25">
      <c r="A586" s="77" t="s">
        <v>5</v>
      </c>
      <c r="B586" s="77">
        <v>43.036432599999998</v>
      </c>
      <c r="C586" s="77">
        <v>51.119373199999998</v>
      </c>
      <c r="D586" s="77">
        <v>-8.0829406299999995</v>
      </c>
      <c r="E586" s="77">
        <v>23.454906900000001</v>
      </c>
      <c r="F586" s="77">
        <v>5.97951253</v>
      </c>
      <c r="G586" s="77">
        <v>13.1525558</v>
      </c>
      <c r="H586" s="77">
        <v>0.44945727499999999</v>
      </c>
      <c r="I586" s="77">
        <v>0</v>
      </c>
      <c r="J586" s="77">
        <v>0</v>
      </c>
      <c r="K586" s="77">
        <v>0</v>
      </c>
      <c r="L586" s="77">
        <v>0</v>
      </c>
      <c r="M586" s="77">
        <v>0</v>
      </c>
      <c r="N586" s="77">
        <v>0</v>
      </c>
      <c r="O586" s="77">
        <v>0</v>
      </c>
      <c r="P586" s="77">
        <v>0</v>
      </c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  <c r="AG586" s="77"/>
    </row>
    <row r="587" spans="1:33" x14ac:dyDescent="0.25">
      <c r="A587" s="77" t="s">
        <v>6</v>
      </c>
      <c r="B587" s="77">
        <v>0</v>
      </c>
      <c r="C587" s="77">
        <v>0</v>
      </c>
      <c r="D587" s="77">
        <v>0</v>
      </c>
      <c r="E587" s="77">
        <v>0</v>
      </c>
      <c r="F587" s="77">
        <v>0</v>
      </c>
      <c r="G587" s="77">
        <v>0</v>
      </c>
      <c r="H587" s="77">
        <v>0</v>
      </c>
      <c r="I587" s="77">
        <v>0</v>
      </c>
      <c r="J587" s="77">
        <v>0</v>
      </c>
      <c r="K587" s="77">
        <v>0</v>
      </c>
      <c r="L587" s="77">
        <v>0</v>
      </c>
      <c r="M587" s="77">
        <v>0</v>
      </c>
      <c r="N587" s="77">
        <v>0</v>
      </c>
      <c r="O587" s="77">
        <v>0</v>
      </c>
      <c r="P587" s="77">
        <v>0</v>
      </c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  <c r="AG587" s="77"/>
    </row>
    <row r="588" spans="1:33" x14ac:dyDescent="0.25">
      <c r="A588" s="77" t="s">
        <v>7</v>
      </c>
      <c r="B588" s="77">
        <v>84.245104699999999</v>
      </c>
      <c r="C588" s="77">
        <v>89.986144499999995</v>
      </c>
      <c r="D588" s="77">
        <v>-5.7410397700000004</v>
      </c>
      <c r="E588" s="77">
        <v>61.2599296</v>
      </c>
      <c r="F588" s="77">
        <v>9.0311274299999997</v>
      </c>
      <c r="G588" s="77">
        <v>13.232239</v>
      </c>
      <c r="H588" s="77">
        <v>0.72180865299999997</v>
      </c>
      <c r="I588" s="77">
        <v>0</v>
      </c>
      <c r="J588" s="77">
        <v>0</v>
      </c>
      <c r="K588" s="77">
        <v>0</v>
      </c>
      <c r="L588" s="77">
        <v>0</v>
      </c>
      <c r="M588" s="77">
        <v>0</v>
      </c>
      <c r="N588" s="77">
        <v>0</v>
      </c>
      <c r="O588" s="77">
        <v>0</v>
      </c>
      <c r="P588" s="77">
        <v>0</v>
      </c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  <c r="AG588" s="77"/>
    </row>
    <row r="589" spans="1:33" x14ac:dyDescent="0.25">
      <c r="A589" s="77" t="s">
        <v>8</v>
      </c>
      <c r="B589" s="77">
        <v>0</v>
      </c>
      <c r="C589" s="77">
        <v>0</v>
      </c>
      <c r="D589" s="77">
        <v>0</v>
      </c>
      <c r="E589" s="77">
        <v>0</v>
      </c>
      <c r="F589" s="77">
        <v>0</v>
      </c>
      <c r="G589" s="77">
        <v>0</v>
      </c>
      <c r="H589" s="77">
        <v>0</v>
      </c>
      <c r="I589" s="77">
        <v>0</v>
      </c>
      <c r="J589" s="77">
        <v>0</v>
      </c>
      <c r="K589" s="77">
        <v>0</v>
      </c>
      <c r="L589" s="77">
        <v>0</v>
      </c>
      <c r="M589" s="77">
        <v>0</v>
      </c>
      <c r="N589" s="77">
        <v>0</v>
      </c>
      <c r="O589" s="77">
        <v>0</v>
      </c>
      <c r="P589" s="77">
        <v>0</v>
      </c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  <c r="AG589" s="77"/>
    </row>
    <row r="590" spans="1:33" x14ac:dyDescent="0.25">
      <c r="A590" s="77" t="s">
        <v>9</v>
      </c>
      <c r="B590" s="77">
        <v>0</v>
      </c>
      <c r="C590" s="77">
        <v>0</v>
      </c>
      <c r="D590" s="77">
        <v>0</v>
      </c>
      <c r="E590" s="77">
        <v>0</v>
      </c>
      <c r="F590" s="77">
        <v>0</v>
      </c>
      <c r="G590" s="77">
        <v>0</v>
      </c>
      <c r="H590" s="77">
        <v>0</v>
      </c>
      <c r="I590" s="77">
        <v>0</v>
      </c>
      <c r="J590" s="77">
        <v>0</v>
      </c>
      <c r="K590" s="77">
        <v>0</v>
      </c>
      <c r="L590" s="77">
        <v>0</v>
      </c>
      <c r="M590" s="77">
        <v>0</v>
      </c>
      <c r="N590" s="77">
        <v>0</v>
      </c>
      <c r="O590" s="77">
        <v>0</v>
      </c>
      <c r="P590" s="77">
        <v>0</v>
      </c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  <c r="AG590" s="77"/>
    </row>
    <row r="591" spans="1:33" x14ac:dyDescent="0.25">
      <c r="A591" s="77" t="s">
        <v>10</v>
      </c>
      <c r="B591" s="77">
        <v>6.2467468899999998</v>
      </c>
      <c r="C591" s="77">
        <v>0</v>
      </c>
      <c r="D591" s="77">
        <v>6.2467468899999998</v>
      </c>
      <c r="E591" s="77">
        <v>-19.5945</v>
      </c>
      <c r="F591" s="77">
        <v>-1.964</v>
      </c>
      <c r="G591" s="77">
        <v>0</v>
      </c>
      <c r="H591" s="77">
        <v>0</v>
      </c>
      <c r="I591" s="77">
        <v>0</v>
      </c>
      <c r="J591" s="77">
        <v>0</v>
      </c>
      <c r="K591" s="77">
        <v>27.3478016</v>
      </c>
      <c r="L591" s="77">
        <v>0</v>
      </c>
      <c r="M591" s="77">
        <v>0.4574453</v>
      </c>
      <c r="N591" s="77">
        <v>0</v>
      </c>
      <c r="O591" s="77">
        <v>0</v>
      </c>
      <c r="P591" s="77">
        <v>0</v>
      </c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  <c r="AG591" s="77"/>
    </row>
    <row r="592" spans="1:33" x14ac:dyDescent="0.25">
      <c r="A592" s="77" t="s">
        <v>11</v>
      </c>
      <c r="B592" s="77">
        <v>1.0186763599999999</v>
      </c>
      <c r="C592" s="77">
        <v>0</v>
      </c>
      <c r="D592" s="77">
        <v>1.0186763599999999</v>
      </c>
      <c r="E592" s="77">
        <v>0.39766295600000001</v>
      </c>
      <c r="F592" s="77">
        <v>5.9408854800000001E-2</v>
      </c>
      <c r="G592" s="77">
        <v>0.36151292299999999</v>
      </c>
      <c r="H592" s="77">
        <v>1.8472688599999999E-2</v>
      </c>
      <c r="I592" s="77">
        <v>0</v>
      </c>
      <c r="J592" s="77">
        <v>0</v>
      </c>
      <c r="K592" s="77">
        <v>0</v>
      </c>
      <c r="L592" s="77">
        <v>0</v>
      </c>
      <c r="M592" s="77">
        <v>0.18161894100000001</v>
      </c>
      <c r="N592" s="77">
        <v>0</v>
      </c>
      <c r="O592" s="77">
        <v>0</v>
      </c>
      <c r="P592" s="77">
        <v>0</v>
      </c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  <c r="AG592" s="77"/>
    </row>
    <row r="593" spans="1:33" x14ac:dyDescent="0.25">
      <c r="A593" s="77" t="s">
        <v>12</v>
      </c>
      <c r="B593" s="77">
        <v>65.670752699999994</v>
      </c>
      <c r="C593" s="77">
        <v>29.034996599999999</v>
      </c>
      <c r="D593" s="77">
        <v>36.635756100000002</v>
      </c>
      <c r="E593" s="77">
        <v>39.744802900000003</v>
      </c>
      <c r="F593" s="77">
        <v>0.79372774899999998</v>
      </c>
      <c r="G593" s="77">
        <v>8.9278898499999997</v>
      </c>
      <c r="H593" s="77">
        <v>0.23486278599999999</v>
      </c>
      <c r="I593" s="77">
        <v>0</v>
      </c>
      <c r="J593" s="77">
        <v>0</v>
      </c>
      <c r="K593" s="77">
        <v>2.2456766199999998</v>
      </c>
      <c r="L593" s="77">
        <v>0</v>
      </c>
      <c r="M593" s="77">
        <v>13.7237928</v>
      </c>
      <c r="N593" s="77">
        <v>0</v>
      </c>
      <c r="O593" s="77">
        <v>0</v>
      </c>
      <c r="P593" s="77">
        <v>0</v>
      </c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  <c r="AG593" s="77"/>
    </row>
    <row r="594" spans="1:33" x14ac:dyDescent="0.25">
      <c r="A594" s="77" t="s">
        <v>13</v>
      </c>
      <c r="B594" s="77">
        <v>73.013462700000005</v>
      </c>
      <c r="C594" s="77">
        <v>0</v>
      </c>
      <c r="D594" s="77">
        <v>73.013462700000005</v>
      </c>
      <c r="E594" s="77">
        <v>50.010015500000002</v>
      </c>
      <c r="F594" s="77">
        <v>5.4348187299999999</v>
      </c>
      <c r="G594" s="77">
        <v>0</v>
      </c>
      <c r="H594" s="77">
        <v>0</v>
      </c>
      <c r="I594" s="77">
        <v>0</v>
      </c>
      <c r="J594" s="77">
        <v>0</v>
      </c>
      <c r="K594" s="77">
        <v>11.7337004</v>
      </c>
      <c r="L594" s="77">
        <v>0</v>
      </c>
      <c r="M594" s="77">
        <v>5.8349279999999997</v>
      </c>
      <c r="N594" s="77">
        <v>0</v>
      </c>
      <c r="O594" s="77">
        <v>0</v>
      </c>
      <c r="P594" s="77">
        <v>0</v>
      </c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  <c r="AG594" s="77"/>
    </row>
    <row r="595" spans="1:33" x14ac:dyDescent="0.25">
      <c r="A595" s="77" t="s">
        <v>14</v>
      </c>
      <c r="B595" s="77">
        <v>53.1115098</v>
      </c>
      <c r="C595" s="77">
        <v>0</v>
      </c>
      <c r="D595" s="77">
        <v>53.1115098</v>
      </c>
      <c r="E595" s="77">
        <v>15.638734700000001</v>
      </c>
      <c r="F595" s="77">
        <v>0.61777381899999995</v>
      </c>
      <c r="G595" s="77">
        <v>25.052120299999999</v>
      </c>
      <c r="H595" s="77">
        <v>6.4266829799999994E-2</v>
      </c>
      <c r="I595" s="105">
        <v>0</v>
      </c>
      <c r="J595" s="77">
        <v>0</v>
      </c>
      <c r="K595" s="77">
        <v>0</v>
      </c>
      <c r="L595" s="77">
        <v>0</v>
      </c>
      <c r="M595" s="77">
        <v>11.738614200000001</v>
      </c>
      <c r="N595" s="77">
        <v>0</v>
      </c>
      <c r="O595" s="77">
        <v>0</v>
      </c>
      <c r="P595" s="77">
        <v>0</v>
      </c>
      <c r="R595" s="77"/>
      <c r="S595" s="77"/>
      <c r="T595" s="77"/>
      <c r="U595" s="77"/>
      <c r="V595" s="77"/>
      <c r="W595" s="77"/>
      <c r="X595" s="77"/>
      <c r="Y595" s="77"/>
      <c r="Z595" s="105"/>
      <c r="AA595" s="77"/>
      <c r="AB595" s="77"/>
      <c r="AC595" s="77"/>
      <c r="AD595" s="77"/>
      <c r="AE595" s="77"/>
      <c r="AF595" s="77"/>
      <c r="AG595" s="77"/>
    </row>
    <row r="596" spans="1:33" x14ac:dyDescent="0.25">
      <c r="A596" s="77" t="s">
        <v>442</v>
      </c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  <c r="AG596" s="77"/>
    </row>
    <row r="597" spans="1:33" x14ac:dyDescent="0.25">
      <c r="A597" s="77" t="s">
        <v>360</v>
      </c>
      <c r="B597" s="77" t="s">
        <v>18</v>
      </c>
      <c r="C597" s="77" t="s">
        <v>19</v>
      </c>
      <c r="D597" s="77" t="s">
        <v>20</v>
      </c>
      <c r="E597" s="77" t="s">
        <v>21</v>
      </c>
      <c r="F597" s="77" t="s">
        <v>22</v>
      </c>
      <c r="G597" s="77" t="s">
        <v>23</v>
      </c>
      <c r="H597" s="77" t="s">
        <v>361</v>
      </c>
      <c r="I597" s="77" t="s">
        <v>25</v>
      </c>
      <c r="J597" s="77" t="s">
        <v>362</v>
      </c>
      <c r="K597" s="77" t="s">
        <v>5</v>
      </c>
      <c r="L597" s="77" t="s">
        <v>6</v>
      </c>
      <c r="M597" s="77" t="s">
        <v>7</v>
      </c>
      <c r="N597" s="77" t="s">
        <v>8</v>
      </c>
      <c r="O597" s="77" t="s">
        <v>9</v>
      </c>
      <c r="P597" s="77" t="s">
        <v>363</v>
      </c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  <c r="AG597" s="77"/>
    </row>
    <row r="598" spans="1:33" x14ac:dyDescent="0.25">
      <c r="A598" s="77" t="s">
        <v>364</v>
      </c>
      <c r="B598" s="77" t="s">
        <v>370</v>
      </c>
      <c r="C598" s="77" t="s">
        <v>370</v>
      </c>
      <c r="D598" s="77" t="s">
        <v>370</v>
      </c>
      <c r="E598" s="77" t="s">
        <v>370</v>
      </c>
      <c r="F598" s="77" t="s">
        <v>370</v>
      </c>
      <c r="G598" s="77" t="s">
        <v>370</v>
      </c>
      <c r="H598" s="77" t="s">
        <v>370</v>
      </c>
      <c r="I598" s="77" t="s">
        <v>370</v>
      </c>
      <c r="J598" s="77" t="s">
        <v>370</v>
      </c>
      <c r="K598" s="77" t="s">
        <v>370</v>
      </c>
      <c r="L598" s="77" t="s">
        <v>370</v>
      </c>
      <c r="M598" s="77" t="s">
        <v>370</v>
      </c>
      <c r="N598" s="77" t="s">
        <v>370</v>
      </c>
      <c r="O598" s="77" t="s">
        <v>370</v>
      </c>
      <c r="P598" s="77" t="s">
        <v>370</v>
      </c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  <c r="AG598" s="77"/>
    </row>
    <row r="599" spans="1:33" x14ac:dyDescent="0.25">
      <c r="A599" s="77" t="s">
        <v>1</v>
      </c>
      <c r="B599" s="77">
        <v>0</v>
      </c>
      <c r="C599" s="77">
        <v>0</v>
      </c>
      <c r="D599" s="77">
        <v>0</v>
      </c>
      <c r="E599" s="77">
        <v>0</v>
      </c>
      <c r="F599" s="77">
        <v>0</v>
      </c>
      <c r="G599" s="77">
        <v>0</v>
      </c>
      <c r="H599" s="77">
        <v>0</v>
      </c>
      <c r="I599" s="77">
        <v>0</v>
      </c>
      <c r="J599" s="77">
        <v>0</v>
      </c>
      <c r="K599" s="77">
        <v>0</v>
      </c>
      <c r="L599" s="77">
        <v>0</v>
      </c>
      <c r="M599" s="77">
        <v>0</v>
      </c>
      <c r="N599" s="77">
        <v>0</v>
      </c>
      <c r="O599" s="77">
        <v>0</v>
      </c>
      <c r="P599" s="77">
        <v>0</v>
      </c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  <c r="AG599" s="77"/>
    </row>
    <row r="600" spans="1:33" x14ac:dyDescent="0.25">
      <c r="A600" s="77" t="s">
        <v>2</v>
      </c>
      <c r="B600" s="77">
        <v>1.1483841100000001</v>
      </c>
      <c r="C600" s="77">
        <v>0</v>
      </c>
      <c r="D600" s="77">
        <v>1.1483841100000001</v>
      </c>
      <c r="E600" s="77">
        <v>0</v>
      </c>
      <c r="F600" s="77">
        <v>0</v>
      </c>
      <c r="G600" s="77">
        <v>0</v>
      </c>
      <c r="H600" s="77">
        <v>0</v>
      </c>
      <c r="I600" s="77">
        <v>0</v>
      </c>
      <c r="J600" s="77">
        <v>0</v>
      </c>
      <c r="K600" s="77">
        <v>1.1483841100000001</v>
      </c>
      <c r="L600" s="77">
        <v>0</v>
      </c>
      <c r="M600" s="77">
        <v>0</v>
      </c>
      <c r="N600" s="77">
        <v>0</v>
      </c>
      <c r="O600" s="77">
        <v>0</v>
      </c>
      <c r="P600" s="77">
        <v>0</v>
      </c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  <c r="AG600" s="77"/>
    </row>
    <row r="601" spans="1:33" x14ac:dyDescent="0.25">
      <c r="A601" s="77" t="s">
        <v>3</v>
      </c>
      <c r="B601" s="77">
        <v>0.92821056899999999</v>
      </c>
      <c r="C601" s="77">
        <v>0</v>
      </c>
      <c r="D601" s="77">
        <v>0.92821056899999999</v>
      </c>
      <c r="E601" s="77">
        <v>0.43671623999999998</v>
      </c>
      <c r="F601" s="77">
        <v>6.7362455700000004E-3</v>
      </c>
      <c r="G601" s="77">
        <v>0.17256094299999999</v>
      </c>
      <c r="H601" s="77">
        <v>1.82305708E-3</v>
      </c>
      <c r="I601" s="77">
        <v>0</v>
      </c>
      <c r="J601" s="77">
        <v>0</v>
      </c>
      <c r="K601" s="77">
        <v>0.31037408300000002</v>
      </c>
      <c r="L601" s="77">
        <v>0</v>
      </c>
      <c r="M601" s="77">
        <v>0</v>
      </c>
      <c r="N601" s="77">
        <v>0</v>
      </c>
      <c r="O601" s="77">
        <v>0</v>
      </c>
      <c r="P601" s="77">
        <v>0</v>
      </c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  <c r="AG601" s="77"/>
    </row>
    <row r="602" spans="1:33" x14ac:dyDescent="0.25">
      <c r="A602" s="77" t="s">
        <v>4</v>
      </c>
      <c r="B602" s="77">
        <v>3.6672349099999999</v>
      </c>
      <c r="C602" s="77">
        <v>0</v>
      </c>
      <c r="D602" s="77">
        <v>3.6672349099999999</v>
      </c>
      <c r="E602" s="77">
        <v>1.4315866399999999</v>
      </c>
      <c r="F602" s="77">
        <v>0.21387187699999999</v>
      </c>
      <c r="G602" s="77">
        <v>1.3014465200000001</v>
      </c>
      <c r="H602" s="77">
        <v>6.6501678800000005E-2</v>
      </c>
      <c r="I602" s="77">
        <v>0</v>
      </c>
      <c r="J602" s="77">
        <v>0</v>
      </c>
      <c r="K602" s="77">
        <v>0</v>
      </c>
      <c r="L602" s="77">
        <v>0</v>
      </c>
      <c r="M602" s="77">
        <v>0.65382818799999998</v>
      </c>
      <c r="N602" s="77">
        <v>0</v>
      </c>
      <c r="O602" s="77">
        <v>0</v>
      </c>
      <c r="P602" s="77">
        <v>0</v>
      </c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  <c r="AG602" s="77"/>
    </row>
    <row r="603" spans="1:33" x14ac:dyDescent="0.25">
      <c r="A603" s="77" t="s">
        <v>5</v>
      </c>
      <c r="B603" s="77">
        <v>1.1483841100000001</v>
      </c>
      <c r="C603" s="77">
        <v>1.45875819</v>
      </c>
      <c r="D603" s="77">
        <v>-0.31037408300000002</v>
      </c>
      <c r="E603" s="77">
        <v>0.71949479100000002</v>
      </c>
      <c r="F603" s="77">
        <v>0.19939332400000001</v>
      </c>
      <c r="G603" s="77">
        <v>0.21523724399999999</v>
      </c>
      <c r="H603" s="77">
        <v>1.4258748200000001E-2</v>
      </c>
      <c r="I603" s="77">
        <v>0</v>
      </c>
      <c r="J603" s="77">
        <v>0</v>
      </c>
      <c r="K603" s="77">
        <v>0</v>
      </c>
      <c r="L603" s="77">
        <v>0</v>
      </c>
      <c r="M603" s="77">
        <v>0</v>
      </c>
      <c r="N603" s="77">
        <v>0</v>
      </c>
      <c r="O603" s="77">
        <v>0</v>
      </c>
      <c r="P603" s="77">
        <v>0</v>
      </c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  <c r="AG603" s="77"/>
    </row>
    <row r="604" spans="1:33" x14ac:dyDescent="0.25">
      <c r="A604" s="77" t="s">
        <v>6</v>
      </c>
      <c r="B604" s="77">
        <v>0</v>
      </c>
      <c r="C604" s="77">
        <v>0</v>
      </c>
      <c r="D604" s="77">
        <v>0</v>
      </c>
      <c r="E604" s="77">
        <v>0</v>
      </c>
      <c r="F604" s="77">
        <v>0</v>
      </c>
      <c r="G604" s="77">
        <v>0</v>
      </c>
      <c r="H604" s="77">
        <v>0</v>
      </c>
      <c r="I604" s="77">
        <v>0</v>
      </c>
      <c r="J604" s="77">
        <v>0</v>
      </c>
      <c r="K604" s="77">
        <v>0</v>
      </c>
      <c r="L604" s="77">
        <v>0</v>
      </c>
      <c r="M604" s="77">
        <v>0</v>
      </c>
      <c r="N604" s="77">
        <v>0</v>
      </c>
      <c r="O604" s="77">
        <v>0</v>
      </c>
      <c r="P604" s="77">
        <v>0</v>
      </c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  <c r="AG604" s="77"/>
    </row>
    <row r="605" spans="1:33" x14ac:dyDescent="0.25">
      <c r="A605" s="77" t="s">
        <v>7</v>
      </c>
      <c r="B605" s="77">
        <v>1.5893170299999999</v>
      </c>
      <c r="C605" s="77">
        <v>0.65382818799999998</v>
      </c>
      <c r="D605" s="77">
        <v>0.93548884600000004</v>
      </c>
      <c r="E605" s="77">
        <v>1.18787413</v>
      </c>
      <c r="F605" s="77">
        <v>0.169921871</v>
      </c>
      <c r="G605" s="77">
        <v>0.216296601</v>
      </c>
      <c r="H605" s="77">
        <v>1.52244331E-2</v>
      </c>
      <c r="I605" s="77">
        <v>0</v>
      </c>
      <c r="J605" s="77">
        <v>0</v>
      </c>
      <c r="K605" s="77">
        <v>0</v>
      </c>
      <c r="L605" s="77">
        <v>0</v>
      </c>
      <c r="M605" s="77">
        <v>0</v>
      </c>
      <c r="N605" s="77">
        <v>0</v>
      </c>
      <c r="O605" s="77">
        <v>0</v>
      </c>
      <c r="P605" s="77">
        <v>0</v>
      </c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  <c r="AG605" s="77"/>
    </row>
    <row r="606" spans="1:33" x14ac:dyDescent="0.25">
      <c r="A606" s="77" t="s">
        <v>8</v>
      </c>
      <c r="B606" s="77">
        <v>0</v>
      </c>
      <c r="C606" s="77">
        <v>0</v>
      </c>
      <c r="D606" s="77">
        <v>0</v>
      </c>
      <c r="E606" s="77">
        <v>0</v>
      </c>
      <c r="F606" s="77">
        <v>0</v>
      </c>
      <c r="G606" s="77">
        <v>0</v>
      </c>
      <c r="H606" s="77">
        <v>0</v>
      </c>
      <c r="I606" s="77">
        <v>0</v>
      </c>
      <c r="J606" s="77">
        <v>0</v>
      </c>
      <c r="K606" s="77">
        <v>0</v>
      </c>
      <c r="L606" s="77">
        <v>0</v>
      </c>
      <c r="M606" s="77">
        <v>0</v>
      </c>
      <c r="N606" s="77">
        <v>0</v>
      </c>
      <c r="O606" s="77">
        <v>0</v>
      </c>
      <c r="P606" s="77">
        <v>0</v>
      </c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  <c r="AG606" s="77"/>
    </row>
    <row r="607" spans="1:33" x14ac:dyDescent="0.25">
      <c r="A607" s="77" t="s">
        <v>9</v>
      </c>
      <c r="B607" s="77">
        <v>0</v>
      </c>
      <c r="C607" s="77">
        <v>0</v>
      </c>
      <c r="D607" s="77">
        <v>0</v>
      </c>
      <c r="E607" s="77">
        <v>0</v>
      </c>
      <c r="F607" s="77">
        <v>0</v>
      </c>
      <c r="G607" s="77">
        <v>0</v>
      </c>
      <c r="H607" s="77">
        <v>0</v>
      </c>
      <c r="I607" s="77">
        <v>0</v>
      </c>
      <c r="J607" s="77">
        <v>0</v>
      </c>
      <c r="K607" s="77">
        <v>0</v>
      </c>
      <c r="L607" s="77">
        <v>0</v>
      </c>
      <c r="M607" s="77">
        <v>0</v>
      </c>
      <c r="N607" s="77">
        <v>0</v>
      </c>
      <c r="O607" s="77">
        <v>0</v>
      </c>
      <c r="P607" s="77">
        <v>0</v>
      </c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  <c r="AG607" s="77"/>
    </row>
    <row r="608" spans="1:33" x14ac:dyDescent="0.25">
      <c r="A608" s="77" t="s">
        <v>10</v>
      </c>
      <c r="B608" s="77">
        <v>0</v>
      </c>
      <c r="C608" s="77">
        <v>0</v>
      </c>
      <c r="D608" s="77">
        <v>0</v>
      </c>
      <c r="E608" s="77">
        <v>0</v>
      </c>
      <c r="F608" s="77">
        <v>0</v>
      </c>
      <c r="G608" s="77">
        <v>0</v>
      </c>
      <c r="H608" s="77">
        <v>0</v>
      </c>
      <c r="I608" s="77">
        <v>0</v>
      </c>
      <c r="J608" s="77">
        <v>0</v>
      </c>
      <c r="K608" s="77">
        <v>0</v>
      </c>
      <c r="L608" s="77">
        <v>0</v>
      </c>
      <c r="M608" s="77">
        <v>0</v>
      </c>
      <c r="N608" s="77">
        <v>0</v>
      </c>
      <c r="O608" s="77">
        <v>0</v>
      </c>
      <c r="P608" s="77">
        <v>0</v>
      </c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  <c r="AG608" s="77"/>
    </row>
    <row r="609" spans="1:33" x14ac:dyDescent="0.25">
      <c r="A609" s="77" t="s">
        <v>11</v>
      </c>
      <c r="B609" s="77">
        <v>0</v>
      </c>
      <c r="C609" s="77">
        <v>0</v>
      </c>
      <c r="D609" s="77">
        <v>0</v>
      </c>
      <c r="E609" s="77">
        <v>0</v>
      </c>
      <c r="F609" s="77">
        <v>0</v>
      </c>
      <c r="G609" s="77">
        <v>0</v>
      </c>
      <c r="H609" s="77">
        <v>0</v>
      </c>
      <c r="I609" s="77">
        <v>0</v>
      </c>
      <c r="J609" s="77">
        <v>0</v>
      </c>
      <c r="K609" s="77">
        <v>0</v>
      </c>
      <c r="L609" s="77">
        <v>0</v>
      </c>
      <c r="M609" s="77">
        <v>0</v>
      </c>
      <c r="N609" s="77">
        <v>0</v>
      </c>
      <c r="O609" s="77">
        <v>0</v>
      </c>
      <c r="P609" s="77">
        <v>0</v>
      </c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  <c r="AG609" s="77"/>
    </row>
    <row r="610" spans="1:33" x14ac:dyDescent="0.25">
      <c r="A610" s="77" t="s">
        <v>12</v>
      </c>
      <c r="B610" s="77">
        <v>0</v>
      </c>
      <c r="C610" s="77">
        <v>0</v>
      </c>
      <c r="D610" s="77">
        <v>0</v>
      </c>
      <c r="E610" s="77">
        <v>0</v>
      </c>
      <c r="F610" s="77">
        <v>0</v>
      </c>
      <c r="G610" s="77">
        <v>0</v>
      </c>
      <c r="H610" s="77">
        <v>0</v>
      </c>
      <c r="I610" s="77">
        <v>0</v>
      </c>
      <c r="J610" s="77">
        <v>0</v>
      </c>
      <c r="K610" s="77">
        <v>0</v>
      </c>
      <c r="L610" s="77">
        <v>0</v>
      </c>
      <c r="M610" s="77">
        <v>0</v>
      </c>
      <c r="N610" s="77">
        <v>0</v>
      </c>
      <c r="O610" s="77">
        <v>0</v>
      </c>
      <c r="P610" s="77">
        <v>0</v>
      </c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  <c r="AG610" s="77"/>
    </row>
    <row r="611" spans="1:33" x14ac:dyDescent="0.25">
      <c r="A611" s="77" t="s">
        <v>13</v>
      </c>
      <c r="B611" s="77">
        <v>0</v>
      </c>
      <c r="C611" s="77">
        <v>0</v>
      </c>
      <c r="D611" s="77">
        <v>0</v>
      </c>
      <c r="E611" s="77">
        <v>0</v>
      </c>
      <c r="F611" s="77">
        <v>0</v>
      </c>
      <c r="G611" s="77">
        <v>0</v>
      </c>
      <c r="H611" s="77">
        <v>0</v>
      </c>
      <c r="I611" s="77">
        <v>0</v>
      </c>
      <c r="J611" s="77">
        <v>0</v>
      </c>
      <c r="K611" s="77">
        <v>0</v>
      </c>
      <c r="L611" s="77">
        <v>0</v>
      </c>
      <c r="M611" s="77">
        <v>0</v>
      </c>
      <c r="N611" s="77">
        <v>0</v>
      </c>
      <c r="O611" s="77">
        <v>0</v>
      </c>
      <c r="P611" s="77">
        <v>0</v>
      </c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  <c r="AG611" s="77"/>
    </row>
    <row r="612" spans="1:33" x14ac:dyDescent="0.25">
      <c r="A612" s="77" t="s">
        <v>14</v>
      </c>
      <c r="B612" s="77">
        <v>0</v>
      </c>
      <c r="C612" s="77">
        <v>0</v>
      </c>
      <c r="D612" s="77">
        <v>0</v>
      </c>
      <c r="E612" s="77">
        <v>0</v>
      </c>
      <c r="F612" s="77">
        <v>0</v>
      </c>
      <c r="G612" s="77">
        <v>0</v>
      </c>
      <c r="H612" s="77">
        <v>0</v>
      </c>
      <c r="I612" s="77">
        <v>0</v>
      </c>
      <c r="J612" s="77">
        <v>0</v>
      </c>
      <c r="K612" s="77">
        <v>0</v>
      </c>
      <c r="L612" s="77">
        <v>0</v>
      </c>
      <c r="M612" s="77">
        <v>0</v>
      </c>
      <c r="N612" s="77">
        <v>0</v>
      </c>
      <c r="O612" s="77">
        <v>0</v>
      </c>
      <c r="P612" s="77">
        <v>0</v>
      </c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  <c r="AG612" s="77"/>
    </row>
    <row r="613" spans="1:33" x14ac:dyDescent="0.25">
      <c r="A613" s="77" t="s">
        <v>443</v>
      </c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  <c r="AG613" s="77"/>
    </row>
    <row r="614" spans="1:33" x14ac:dyDescent="0.25">
      <c r="A614" s="77" t="s">
        <v>360</v>
      </c>
      <c r="B614" s="77" t="s">
        <v>18</v>
      </c>
      <c r="C614" s="77" t="s">
        <v>19</v>
      </c>
      <c r="D614" s="77" t="s">
        <v>20</v>
      </c>
      <c r="E614" s="77" t="s">
        <v>21</v>
      </c>
      <c r="F614" s="77" t="s">
        <v>22</v>
      </c>
      <c r="G614" s="77" t="s">
        <v>23</v>
      </c>
      <c r="H614" s="77" t="s">
        <v>361</v>
      </c>
      <c r="I614" s="77" t="s">
        <v>25</v>
      </c>
      <c r="J614" s="77" t="s">
        <v>362</v>
      </c>
      <c r="K614" s="77" t="s">
        <v>5</v>
      </c>
      <c r="L614" s="77" t="s">
        <v>6</v>
      </c>
      <c r="M614" s="77" t="s">
        <v>7</v>
      </c>
      <c r="N614" s="77" t="s">
        <v>8</v>
      </c>
      <c r="O614" s="77" t="s">
        <v>9</v>
      </c>
      <c r="P614" s="77" t="s">
        <v>363</v>
      </c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  <c r="AG614" s="77"/>
    </row>
    <row r="615" spans="1:33" x14ac:dyDescent="0.25">
      <c r="A615" s="77" t="s">
        <v>364</v>
      </c>
      <c r="B615" s="77" t="s">
        <v>365</v>
      </c>
      <c r="C615" s="77" t="s">
        <v>365</v>
      </c>
      <c r="D615" s="77" t="s">
        <v>365</v>
      </c>
      <c r="E615" s="77" t="s">
        <v>365</v>
      </c>
      <c r="F615" s="77" t="s">
        <v>365</v>
      </c>
      <c r="G615" s="77" t="s">
        <v>365</v>
      </c>
      <c r="H615" s="77" t="s">
        <v>365</v>
      </c>
      <c r="I615" s="77" t="s">
        <v>365</v>
      </c>
      <c r="J615" s="77" t="s">
        <v>365</v>
      </c>
      <c r="K615" s="77" t="s">
        <v>365</v>
      </c>
      <c r="L615" s="77" t="s">
        <v>365</v>
      </c>
      <c r="M615" s="77" t="s">
        <v>365</v>
      </c>
      <c r="N615" s="77" t="s">
        <v>365</v>
      </c>
      <c r="O615" s="77" t="s">
        <v>365</v>
      </c>
      <c r="P615" s="77" t="s">
        <v>365</v>
      </c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  <c r="AG615" s="77"/>
    </row>
    <row r="616" spans="1:33" x14ac:dyDescent="0.25">
      <c r="A616" s="77" t="s">
        <v>1</v>
      </c>
      <c r="B616" s="77">
        <v>0</v>
      </c>
      <c r="C616" s="77">
        <v>0</v>
      </c>
      <c r="D616" s="77">
        <v>0</v>
      </c>
      <c r="E616" s="77">
        <v>0</v>
      </c>
      <c r="F616" s="77">
        <v>0</v>
      </c>
      <c r="G616" s="77">
        <v>0</v>
      </c>
      <c r="H616" s="77">
        <v>0</v>
      </c>
      <c r="I616" s="77">
        <v>0</v>
      </c>
      <c r="J616" s="77">
        <v>0</v>
      </c>
      <c r="K616" s="77">
        <v>0</v>
      </c>
      <c r="L616" s="77">
        <v>0</v>
      </c>
      <c r="M616" s="77">
        <v>0</v>
      </c>
      <c r="N616" s="77">
        <v>0</v>
      </c>
      <c r="O616" s="77">
        <v>0</v>
      </c>
      <c r="P616" s="77">
        <v>0</v>
      </c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  <c r="AG616" s="77"/>
    </row>
    <row r="617" spans="1:33" x14ac:dyDescent="0.25">
      <c r="A617" s="77" t="s">
        <v>2</v>
      </c>
      <c r="B617" s="77">
        <v>0</v>
      </c>
      <c r="C617" s="77">
        <v>0</v>
      </c>
      <c r="D617" s="77">
        <v>0</v>
      </c>
      <c r="E617" s="77">
        <v>0</v>
      </c>
      <c r="F617" s="77">
        <v>0</v>
      </c>
      <c r="G617" s="77">
        <v>0</v>
      </c>
      <c r="H617" s="77">
        <v>0</v>
      </c>
      <c r="I617" s="77">
        <v>0</v>
      </c>
      <c r="J617" s="77">
        <v>0</v>
      </c>
      <c r="K617" s="77">
        <v>0</v>
      </c>
      <c r="L617" s="77">
        <v>0</v>
      </c>
      <c r="M617" s="77">
        <v>0</v>
      </c>
      <c r="N617" s="77">
        <v>0</v>
      </c>
      <c r="O617" s="77">
        <v>0</v>
      </c>
      <c r="P617" s="77">
        <v>0</v>
      </c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  <c r="AG617" s="77"/>
    </row>
    <row r="618" spans="1:33" x14ac:dyDescent="0.25">
      <c r="A618" s="77" t="s">
        <v>3</v>
      </c>
      <c r="B618" s="77">
        <v>43.500128699999998</v>
      </c>
      <c r="C618" s="77">
        <v>0</v>
      </c>
      <c r="D618" s="77">
        <v>43.500128699999998</v>
      </c>
      <c r="E618" s="77">
        <v>21.1489534</v>
      </c>
      <c r="F618" s="77">
        <v>0.32778671500000001</v>
      </c>
      <c r="G618" s="77">
        <v>6.5505106199999998</v>
      </c>
      <c r="H618" s="77">
        <v>8.9976255699999994E-2</v>
      </c>
      <c r="I618" s="77">
        <v>0</v>
      </c>
      <c r="J618" s="77">
        <v>0</v>
      </c>
      <c r="K618" s="77">
        <v>15.3829017</v>
      </c>
      <c r="L618" s="77">
        <v>0</v>
      </c>
      <c r="M618" s="77">
        <v>0</v>
      </c>
      <c r="N618" s="77">
        <v>0</v>
      </c>
      <c r="O618" s="77">
        <v>0</v>
      </c>
      <c r="P618" s="77">
        <v>0</v>
      </c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  <c r="AG618" s="77"/>
    </row>
    <row r="619" spans="1:33" x14ac:dyDescent="0.25">
      <c r="A619" s="77" t="s">
        <v>4</v>
      </c>
      <c r="B619" s="77">
        <v>62.139777100000003</v>
      </c>
      <c r="C619" s="77">
        <v>0</v>
      </c>
      <c r="D619" s="77">
        <v>62.139777100000003</v>
      </c>
      <c r="E619" s="77">
        <v>24.257440299999999</v>
      </c>
      <c r="F619" s="77">
        <v>3.6239401400000002</v>
      </c>
      <c r="G619" s="77">
        <v>21.994769399999999</v>
      </c>
      <c r="H619" s="77">
        <v>1.1268339999999999</v>
      </c>
      <c r="I619" s="77">
        <v>0</v>
      </c>
      <c r="J619" s="77">
        <v>0</v>
      </c>
      <c r="K619" s="77">
        <v>0</v>
      </c>
      <c r="L619" s="77">
        <v>0</v>
      </c>
      <c r="M619" s="77">
        <v>11.1367932</v>
      </c>
      <c r="N619" s="77">
        <v>0</v>
      </c>
      <c r="O619" s="77">
        <v>0</v>
      </c>
      <c r="P619" s="77">
        <v>0</v>
      </c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  <c r="AG619" s="77"/>
    </row>
    <row r="620" spans="1:33" x14ac:dyDescent="0.25">
      <c r="A620" s="77" t="s">
        <v>5</v>
      </c>
      <c r="B620" s="77">
        <v>15.3829017</v>
      </c>
      <c r="C620" s="77">
        <v>15.3829017</v>
      </c>
      <c r="D620" s="77">
        <v>-1.7763568400000001E-15</v>
      </c>
      <c r="E620" s="77">
        <v>9.6572152399999993</v>
      </c>
      <c r="F620" s="77">
        <v>2.66810495</v>
      </c>
      <c r="G620" s="77">
        <v>2.86771105</v>
      </c>
      <c r="H620" s="77">
        <v>0.18987043000000001</v>
      </c>
      <c r="I620" s="77">
        <v>0</v>
      </c>
      <c r="J620" s="77">
        <v>0</v>
      </c>
      <c r="K620" s="77">
        <v>0</v>
      </c>
      <c r="L620" s="77">
        <v>0</v>
      </c>
      <c r="M620" s="77">
        <v>0</v>
      </c>
      <c r="N620" s="77">
        <v>0</v>
      </c>
      <c r="O620" s="77">
        <v>0</v>
      </c>
      <c r="P620" s="77">
        <v>0</v>
      </c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  <c r="AG620" s="77"/>
    </row>
    <row r="621" spans="1:33" x14ac:dyDescent="0.25">
      <c r="A621" s="77" t="s">
        <v>6</v>
      </c>
      <c r="B621" s="77">
        <v>0</v>
      </c>
      <c r="C621" s="77">
        <v>0</v>
      </c>
      <c r="D621" s="105">
        <v>0</v>
      </c>
      <c r="E621" s="77">
        <v>0</v>
      </c>
      <c r="F621" s="77">
        <v>0</v>
      </c>
      <c r="G621" s="77">
        <v>0</v>
      </c>
      <c r="H621" s="77">
        <v>0</v>
      </c>
      <c r="I621" s="77">
        <v>0</v>
      </c>
      <c r="J621" s="77">
        <v>0</v>
      </c>
      <c r="K621" s="77">
        <v>0</v>
      </c>
      <c r="L621" s="77">
        <v>0</v>
      </c>
      <c r="M621" s="77">
        <v>0</v>
      </c>
      <c r="N621" s="77">
        <v>0</v>
      </c>
      <c r="O621" s="77">
        <v>0</v>
      </c>
      <c r="P621" s="77">
        <v>0</v>
      </c>
      <c r="R621" s="77"/>
      <c r="S621" s="77"/>
      <c r="T621" s="77"/>
      <c r="U621" s="105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  <c r="AG621" s="77"/>
    </row>
    <row r="622" spans="1:33" x14ac:dyDescent="0.25">
      <c r="A622" s="77" t="s">
        <v>7</v>
      </c>
      <c r="B622" s="77">
        <v>11.1367932</v>
      </c>
      <c r="C622" s="77">
        <v>11.1367932</v>
      </c>
      <c r="D622" s="77">
        <v>1.7763568400000001E-15</v>
      </c>
      <c r="E622" s="77">
        <v>8.2499347400000005</v>
      </c>
      <c r="F622" s="77">
        <v>1.1673393299999999</v>
      </c>
      <c r="G622" s="77">
        <v>1.6151925499999999</v>
      </c>
      <c r="H622" s="77">
        <v>0.104326608</v>
      </c>
      <c r="I622" s="77">
        <v>0</v>
      </c>
      <c r="J622" s="77">
        <v>0</v>
      </c>
      <c r="K622" s="77">
        <v>0</v>
      </c>
      <c r="L622" s="77">
        <v>0</v>
      </c>
      <c r="M622" s="77">
        <v>0</v>
      </c>
      <c r="N622" s="77">
        <v>0</v>
      </c>
      <c r="O622" s="77">
        <v>0</v>
      </c>
      <c r="P622" s="77">
        <v>0</v>
      </c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  <c r="AG622" s="77"/>
    </row>
    <row r="623" spans="1:33" x14ac:dyDescent="0.25">
      <c r="A623" s="77" t="s">
        <v>8</v>
      </c>
      <c r="B623" s="77">
        <v>0</v>
      </c>
      <c r="C623" s="77">
        <v>0</v>
      </c>
      <c r="D623" s="77">
        <v>0</v>
      </c>
      <c r="E623" s="77">
        <v>0</v>
      </c>
      <c r="F623" s="77">
        <v>0</v>
      </c>
      <c r="G623" s="77">
        <v>0</v>
      </c>
      <c r="H623" s="77">
        <v>0</v>
      </c>
      <c r="I623" s="77">
        <v>0</v>
      </c>
      <c r="J623" s="77">
        <v>0</v>
      </c>
      <c r="K623" s="77">
        <v>0</v>
      </c>
      <c r="L623" s="77">
        <v>0</v>
      </c>
      <c r="M623" s="77">
        <v>0</v>
      </c>
      <c r="N623" s="77">
        <v>0</v>
      </c>
      <c r="O623" s="77">
        <v>0</v>
      </c>
      <c r="P623" s="77">
        <v>0</v>
      </c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  <c r="AG623" s="77"/>
    </row>
    <row r="624" spans="1:33" x14ac:dyDescent="0.25">
      <c r="A624" s="77" t="s">
        <v>9</v>
      </c>
      <c r="B624" s="77">
        <v>0</v>
      </c>
      <c r="C624" s="77">
        <v>0</v>
      </c>
      <c r="D624" s="77">
        <v>0</v>
      </c>
      <c r="E624" s="77">
        <v>0</v>
      </c>
      <c r="F624" s="77">
        <v>0</v>
      </c>
      <c r="G624" s="77">
        <v>0</v>
      </c>
      <c r="H624" s="77">
        <v>0</v>
      </c>
      <c r="I624" s="77">
        <v>0</v>
      </c>
      <c r="J624" s="77">
        <v>0</v>
      </c>
      <c r="K624" s="77">
        <v>0</v>
      </c>
      <c r="L624" s="77">
        <v>0</v>
      </c>
      <c r="M624" s="77">
        <v>0</v>
      </c>
      <c r="N624" s="77">
        <v>0</v>
      </c>
      <c r="O624" s="77">
        <v>0</v>
      </c>
      <c r="P624" s="77">
        <v>0</v>
      </c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  <c r="AG624" s="77"/>
    </row>
    <row r="625" spans="1:33" x14ac:dyDescent="0.25">
      <c r="A625" s="77" t="s">
        <v>10</v>
      </c>
      <c r="B625" s="77">
        <v>0</v>
      </c>
      <c r="C625" s="77">
        <v>0</v>
      </c>
      <c r="D625" s="77">
        <v>0</v>
      </c>
      <c r="E625" s="77">
        <v>0</v>
      </c>
      <c r="F625" s="77">
        <v>0</v>
      </c>
      <c r="G625" s="77">
        <v>0</v>
      </c>
      <c r="H625" s="77">
        <v>0</v>
      </c>
      <c r="I625" s="77">
        <v>0</v>
      </c>
      <c r="J625" s="77">
        <v>0</v>
      </c>
      <c r="K625" s="77">
        <v>0</v>
      </c>
      <c r="L625" s="77">
        <v>0</v>
      </c>
      <c r="M625" s="77">
        <v>0</v>
      </c>
      <c r="N625" s="77">
        <v>0</v>
      </c>
      <c r="O625" s="77">
        <v>0</v>
      </c>
      <c r="P625" s="77">
        <v>0</v>
      </c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  <c r="AG625" s="77"/>
    </row>
    <row r="626" spans="1:33" x14ac:dyDescent="0.25">
      <c r="A626" s="77" t="s">
        <v>11</v>
      </c>
      <c r="B626" s="77">
        <v>0</v>
      </c>
      <c r="C626" s="77">
        <v>0</v>
      </c>
      <c r="D626" s="77">
        <v>0</v>
      </c>
      <c r="E626" s="77">
        <v>0</v>
      </c>
      <c r="F626" s="77">
        <v>0</v>
      </c>
      <c r="G626" s="77">
        <v>0</v>
      </c>
      <c r="H626" s="77">
        <v>0</v>
      </c>
      <c r="I626" s="77">
        <v>0</v>
      </c>
      <c r="J626" s="77">
        <v>0</v>
      </c>
      <c r="K626" s="77">
        <v>0</v>
      </c>
      <c r="L626" s="77">
        <v>0</v>
      </c>
      <c r="M626" s="77">
        <v>0</v>
      </c>
      <c r="N626" s="77">
        <v>0</v>
      </c>
      <c r="O626" s="77">
        <v>0</v>
      </c>
      <c r="P626" s="77">
        <v>0</v>
      </c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  <c r="AG626" s="77"/>
    </row>
    <row r="627" spans="1:33" x14ac:dyDescent="0.25">
      <c r="A627" s="77" t="s">
        <v>12</v>
      </c>
      <c r="B627" s="77">
        <v>0</v>
      </c>
      <c r="C627" s="77">
        <v>0</v>
      </c>
      <c r="D627" s="77">
        <v>0</v>
      </c>
      <c r="E627" s="77">
        <v>0</v>
      </c>
      <c r="F627" s="77">
        <v>0</v>
      </c>
      <c r="G627" s="77">
        <v>0</v>
      </c>
      <c r="H627" s="77">
        <v>0</v>
      </c>
      <c r="I627" s="77">
        <v>0</v>
      </c>
      <c r="J627" s="77">
        <v>0</v>
      </c>
      <c r="K627" s="77">
        <v>0</v>
      </c>
      <c r="L627" s="77">
        <v>0</v>
      </c>
      <c r="M627" s="77">
        <v>0</v>
      </c>
      <c r="N627" s="77">
        <v>0</v>
      </c>
      <c r="O627" s="77">
        <v>0</v>
      </c>
      <c r="P627" s="77">
        <v>0</v>
      </c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  <c r="AG627" s="77"/>
    </row>
    <row r="628" spans="1:33" x14ac:dyDescent="0.25">
      <c r="A628" s="77" t="s">
        <v>13</v>
      </c>
      <c r="B628" s="77">
        <v>0</v>
      </c>
      <c r="C628" s="77">
        <v>0</v>
      </c>
      <c r="D628" s="77">
        <v>0</v>
      </c>
      <c r="E628" s="77">
        <v>0</v>
      </c>
      <c r="F628" s="77">
        <v>0</v>
      </c>
      <c r="G628" s="77">
        <v>0</v>
      </c>
      <c r="H628" s="77">
        <v>0</v>
      </c>
      <c r="I628" s="77">
        <v>0</v>
      </c>
      <c r="J628" s="77">
        <v>0</v>
      </c>
      <c r="K628" s="77">
        <v>0</v>
      </c>
      <c r="L628" s="77">
        <v>0</v>
      </c>
      <c r="M628" s="77">
        <v>0</v>
      </c>
      <c r="N628" s="77">
        <v>0</v>
      </c>
      <c r="O628" s="77">
        <v>0</v>
      </c>
      <c r="P628" s="77">
        <v>0</v>
      </c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  <c r="AG628" s="77"/>
    </row>
    <row r="629" spans="1:33" x14ac:dyDescent="0.25">
      <c r="A629" s="77" t="s">
        <v>14</v>
      </c>
      <c r="B629" s="77">
        <v>0</v>
      </c>
      <c r="C629" s="77">
        <v>0</v>
      </c>
      <c r="D629" s="77">
        <v>0</v>
      </c>
      <c r="E629" s="77">
        <v>0</v>
      </c>
      <c r="F629" s="77">
        <v>0</v>
      </c>
      <c r="G629" s="77">
        <v>0</v>
      </c>
      <c r="H629" s="77">
        <v>0</v>
      </c>
      <c r="I629" s="77">
        <v>0</v>
      </c>
      <c r="J629" s="77">
        <v>0</v>
      </c>
      <c r="K629" s="77">
        <v>0</v>
      </c>
      <c r="L629" s="77">
        <v>0</v>
      </c>
      <c r="M629" s="77">
        <v>0</v>
      </c>
      <c r="N629" s="77">
        <v>0</v>
      </c>
      <c r="O629" s="77">
        <v>0</v>
      </c>
      <c r="P629" s="77">
        <v>0</v>
      </c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  <c r="AG629" s="77"/>
    </row>
    <row r="630" spans="1:33" x14ac:dyDescent="0.25">
      <c r="A630" s="77" t="s">
        <v>444</v>
      </c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  <c r="AG630" s="77"/>
    </row>
    <row r="631" spans="1:33" x14ac:dyDescent="0.25">
      <c r="A631" s="77" t="s">
        <v>360</v>
      </c>
      <c r="B631" s="77" t="s">
        <v>366</v>
      </c>
      <c r="C631" s="77" t="s">
        <v>367</v>
      </c>
      <c r="D631" s="77" t="s">
        <v>368</v>
      </c>
      <c r="E631" s="77" t="s">
        <v>21</v>
      </c>
      <c r="F631" s="77" t="s">
        <v>22</v>
      </c>
      <c r="G631" s="77" t="s">
        <v>23</v>
      </c>
      <c r="H631" s="77" t="s">
        <v>361</v>
      </c>
      <c r="I631" s="77" t="s">
        <v>25</v>
      </c>
      <c r="J631" s="77" t="s">
        <v>362</v>
      </c>
      <c r="K631" s="77" t="s">
        <v>5</v>
      </c>
      <c r="L631" s="77" t="s">
        <v>6</v>
      </c>
      <c r="M631" s="77" t="s">
        <v>7</v>
      </c>
      <c r="N631" s="77" t="s">
        <v>8</v>
      </c>
      <c r="O631" s="77" t="s">
        <v>9</v>
      </c>
      <c r="P631" s="77" t="s">
        <v>363</v>
      </c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  <c r="AG631" s="77"/>
    </row>
    <row r="632" spans="1:33" x14ac:dyDescent="0.25">
      <c r="A632" s="77" t="s">
        <v>364</v>
      </c>
      <c r="B632" s="77" t="s">
        <v>369</v>
      </c>
      <c r="C632" s="77" t="s">
        <v>369</v>
      </c>
      <c r="D632" s="77" t="s">
        <v>369</v>
      </c>
      <c r="E632" s="77" t="s">
        <v>369</v>
      </c>
      <c r="F632" s="77" t="s">
        <v>369</v>
      </c>
      <c r="G632" s="77" t="s">
        <v>369</v>
      </c>
      <c r="H632" s="77" t="s">
        <v>369</v>
      </c>
      <c r="I632" s="77" t="s">
        <v>369</v>
      </c>
      <c r="J632" s="77" t="s">
        <v>369</v>
      </c>
      <c r="K632" s="77" t="s">
        <v>369</v>
      </c>
      <c r="L632" s="77" t="s">
        <v>369</v>
      </c>
      <c r="M632" s="77" t="s">
        <v>369</v>
      </c>
      <c r="N632" s="77" t="s">
        <v>369</v>
      </c>
      <c r="O632" s="77" t="s">
        <v>369</v>
      </c>
      <c r="P632" s="77" t="s">
        <v>369</v>
      </c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  <c r="AG632" s="77"/>
    </row>
    <row r="633" spans="1:33" x14ac:dyDescent="0.25">
      <c r="A633" s="77" t="s">
        <v>1</v>
      </c>
      <c r="B633" s="77">
        <v>185.538175</v>
      </c>
      <c r="C633" s="77">
        <v>0</v>
      </c>
      <c r="D633" s="77">
        <v>185.538175</v>
      </c>
      <c r="E633" s="77">
        <v>69.634953499999995</v>
      </c>
      <c r="F633" s="77">
        <v>0</v>
      </c>
      <c r="G633" s="77">
        <v>45.6777522</v>
      </c>
      <c r="H633" s="77">
        <v>0</v>
      </c>
      <c r="I633" s="77">
        <v>0</v>
      </c>
      <c r="J633" s="77">
        <v>0</v>
      </c>
      <c r="K633" s="77">
        <v>0</v>
      </c>
      <c r="L633" s="77">
        <v>0</v>
      </c>
      <c r="M633" s="77">
        <v>70.225468899999996</v>
      </c>
      <c r="N633" s="77">
        <v>0</v>
      </c>
      <c r="O633" s="77">
        <v>0</v>
      </c>
      <c r="P633" s="77">
        <v>0</v>
      </c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  <c r="AG633" s="77"/>
    </row>
    <row r="634" spans="1:33" x14ac:dyDescent="0.25">
      <c r="A634" s="77" t="s">
        <v>2</v>
      </c>
      <c r="B634" s="77">
        <v>5.6725992500000002</v>
      </c>
      <c r="C634" s="77">
        <v>0</v>
      </c>
      <c r="D634" s="77">
        <v>5.6725992500000002</v>
      </c>
      <c r="E634" s="77">
        <v>0</v>
      </c>
      <c r="F634" s="77">
        <v>0</v>
      </c>
      <c r="G634" s="77">
        <v>0.53641162099999995</v>
      </c>
      <c r="H634" s="77">
        <v>0</v>
      </c>
      <c r="I634" s="77">
        <v>0</v>
      </c>
      <c r="J634" s="77">
        <v>0</v>
      </c>
      <c r="K634" s="77">
        <v>5.1361876300000002</v>
      </c>
      <c r="L634" s="77">
        <v>0</v>
      </c>
      <c r="M634" s="77">
        <v>0</v>
      </c>
      <c r="N634" s="77">
        <v>0</v>
      </c>
      <c r="O634" s="77">
        <v>0</v>
      </c>
      <c r="P634" s="77">
        <v>0</v>
      </c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  <c r="AG634" s="77"/>
    </row>
    <row r="635" spans="1:33" x14ac:dyDescent="0.25">
      <c r="A635" s="77" t="s">
        <v>3</v>
      </c>
      <c r="B635" s="77">
        <v>49.003567400000001</v>
      </c>
      <c r="C635" s="77">
        <v>0</v>
      </c>
      <c r="D635" s="77">
        <v>49.003567400000001</v>
      </c>
      <c r="E635" s="77">
        <v>7.0999150799999997</v>
      </c>
      <c r="F635" s="77">
        <v>0.12418586</v>
      </c>
      <c r="G635" s="77">
        <v>3.9929709199999999</v>
      </c>
      <c r="H635" s="77">
        <v>3.94714782E-2</v>
      </c>
      <c r="I635" s="77">
        <v>0</v>
      </c>
      <c r="J635" s="77">
        <v>0</v>
      </c>
      <c r="K635" s="77">
        <v>2.5638169400000002</v>
      </c>
      <c r="L635" s="77">
        <v>0</v>
      </c>
      <c r="M635" s="77">
        <v>0</v>
      </c>
      <c r="N635" s="77">
        <v>0</v>
      </c>
      <c r="O635" s="77">
        <v>0</v>
      </c>
      <c r="P635" s="77">
        <v>35.183207199999998</v>
      </c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  <c r="AG635" s="77"/>
    </row>
    <row r="636" spans="1:33" x14ac:dyDescent="0.25">
      <c r="A636" s="77" t="s">
        <v>4</v>
      </c>
      <c r="B636" s="77">
        <v>145.08806100000001</v>
      </c>
      <c r="C636" s="77">
        <v>0</v>
      </c>
      <c r="D636" s="77">
        <v>145.08806100000001</v>
      </c>
      <c r="E636" s="77">
        <v>68.176825300000004</v>
      </c>
      <c r="F636" s="77">
        <v>11.062958999999999</v>
      </c>
      <c r="G636" s="77">
        <v>53.000489399999999</v>
      </c>
      <c r="H636" s="77">
        <v>2.4460274399999999</v>
      </c>
      <c r="I636" s="77">
        <v>0</v>
      </c>
      <c r="J636" s="77">
        <v>0</v>
      </c>
      <c r="K636" s="77">
        <v>0</v>
      </c>
      <c r="L636" s="77">
        <v>0</v>
      </c>
      <c r="M636" s="77">
        <v>16.046589399999998</v>
      </c>
      <c r="N636" s="77">
        <v>0</v>
      </c>
      <c r="O636" s="77">
        <v>0</v>
      </c>
      <c r="P636" s="77">
        <v>-5.6448291299999998</v>
      </c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  <c r="AG636" s="77"/>
    </row>
    <row r="637" spans="1:33" x14ac:dyDescent="0.25">
      <c r="A637" s="77" t="s">
        <v>5</v>
      </c>
      <c r="B637" s="77">
        <v>39.070967799999998</v>
      </c>
      <c r="C637" s="77">
        <v>47.187126399999997</v>
      </c>
      <c r="D637" s="77">
        <v>-8.1161585800000005</v>
      </c>
      <c r="E637" s="77">
        <v>20.805738300000002</v>
      </c>
      <c r="F637" s="77">
        <v>5.2777233700000004</v>
      </c>
      <c r="G637" s="77">
        <v>12.5763485</v>
      </c>
      <c r="H637" s="77">
        <v>0.41115769800000002</v>
      </c>
      <c r="I637" s="77">
        <v>0</v>
      </c>
      <c r="J637" s="77">
        <v>0</v>
      </c>
      <c r="K637" s="77">
        <v>0</v>
      </c>
      <c r="L637" s="77">
        <v>0</v>
      </c>
      <c r="M637" s="77">
        <v>0</v>
      </c>
      <c r="N637" s="77">
        <v>0</v>
      </c>
      <c r="O637" s="77">
        <v>0</v>
      </c>
      <c r="P637" s="77">
        <v>0</v>
      </c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  <c r="AG637" s="77"/>
    </row>
    <row r="638" spans="1:33" x14ac:dyDescent="0.25">
      <c r="A638" s="77" t="s">
        <v>6</v>
      </c>
      <c r="B638" s="77">
        <v>0</v>
      </c>
      <c r="C638" s="77">
        <v>0</v>
      </c>
      <c r="D638" s="77">
        <v>0</v>
      </c>
      <c r="E638" s="77">
        <v>0</v>
      </c>
      <c r="F638" s="77">
        <v>0</v>
      </c>
      <c r="G638" s="77">
        <v>0</v>
      </c>
      <c r="H638" s="77">
        <v>0</v>
      </c>
      <c r="I638" s="77">
        <v>0</v>
      </c>
      <c r="J638" s="77">
        <v>0</v>
      </c>
      <c r="K638" s="77">
        <v>0</v>
      </c>
      <c r="L638" s="77">
        <v>0</v>
      </c>
      <c r="M638" s="77">
        <v>0</v>
      </c>
      <c r="N638" s="77">
        <v>0</v>
      </c>
      <c r="O638" s="77">
        <v>0</v>
      </c>
      <c r="P638" s="77">
        <v>0</v>
      </c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  <c r="AG638" s="77"/>
    </row>
    <row r="639" spans="1:33" x14ac:dyDescent="0.25">
      <c r="A639" s="77" t="s">
        <v>7</v>
      </c>
      <c r="B639" s="77">
        <v>86.498065699999998</v>
      </c>
      <c r="C639" s="77">
        <v>124.17985899999999</v>
      </c>
      <c r="D639" s="77">
        <v>-37.681793599999999</v>
      </c>
      <c r="E639" s="77">
        <v>60.067526800000003</v>
      </c>
      <c r="F639" s="77">
        <v>10.382693</v>
      </c>
      <c r="G639" s="77">
        <v>15.2795396</v>
      </c>
      <c r="H639" s="77">
        <v>0.76830635599999997</v>
      </c>
      <c r="I639" s="77">
        <v>0</v>
      </c>
      <c r="J639" s="77">
        <v>0</v>
      </c>
      <c r="K639" s="77">
        <v>0</v>
      </c>
      <c r="L639" s="77">
        <v>0</v>
      </c>
      <c r="M639" s="77">
        <v>0</v>
      </c>
      <c r="N639" s="77">
        <v>0</v>
      </c>
      <c r="O639" s="77">
        <v>0</v>
      </c>
      <c r="P639" s="77">
        <v>0</v>
      </c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  <c r="AG639" s="77"/>
    </row>
    <row r="640" spans="1:33" x14ac:dyDescent="0.25">
      <c r="A640" s="77" t="s">
        <v>8</v>
      </c>
      <c r="B640" s="77">
        <v>0</v>
      </c>
      <c r="C640" s="77">
        <v>0</v>
      </c>
      <c r="D640" s="77">
        <v>0</v>
      </c>
      <c r="E640" s="77">
        <v>0</v>
      </c>
      <c r="F640" s="77">
        <v>0</v>
      </c>
      <c r="G640" s="77">
        <v>0</v>
      </c>
      <c r="H640" s="77">
        <v>0</v>
      </c>
      <c r="I640" s="77">
        <v>0</v>
      </c>
      <c r="J640" s="77">
        <v>0</v>
      </c>
      <c r="K640" s="77">
        <v>0</v>
      </c>
      <c r="L640" s="77">
        <v>0</v>
      </c>
      <c r="M640" s="77">
        <v>0</v>
      </c>
      <c r="N640" s="77">
        <v>0</v>
      </c>
      <c r="O640" s="77">
        <v>0</v>
      </c>
      <c r="P640" s="77">
        <v>0</v>
      </c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  <c r="AG640" s="77"/>
    </row>
    <row r="641" spans="1:33" x14ac:dyDescent="0.25">
      <c r="A641" s="77" t="s">
        <v>9</v>
      </c>
      <c r="B641" s="77">
        <v>0</v>
      </c>
      <c r="C641" s="77">
        <v>0</v>
      </c>
      <c r="D641" s="77">
        <v>0</v>
      </c>
      <c r="E641" s="77">
        <v>0</v>
      </c>
      <c r="F641" s="77">
        <v>0</v>
      </c>
      <c r="G641" s="77">
        <v>0</v>
      </c>
      <c r="H641" s="77">
        <v>0</v>
      </c>
      <c r="I641" s="77">
        <v>0</v>
      </c>
      <c r="J641" s="77">
        <v>0</v>
      </c>
      <c r="K641" s="77">
        <v>0</v>
      </c>
      <c r="L641" s="77">
        <v>0</v>
      </c>
      <c r="M641" s="77">
        <v>0</v>
      </c>
      <c r="N641" s="77">
        <v>0</v>
      </c>
      <c r="O641" s="77">
        <v>0</v>
      </c>
      <c r="P641" s="77">
        <v>0</v>
      </c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  <c r="AG641" s="77"/>
    </row>
    <row r="642" spans="1:33" x14ac:dyDescent="0.25">
      <c r="A642" s="77" t="s">
        <v>10</v>
      </c>
      <c r="B642" s="77">
        <v>4.5207574299999997</v>
      </c>
      <c r="C642" s="77">
        <v>0</v>
      </c>
      <c r="D642" s="77">
        <v>4.5207574299999997</v>
      </c>
      <c r="E642" s="77">
        <v>-19.768999999999998</v>
      </c>
      <c r="F642" s="77">
        <v>-1.9652499999999999</v>
      </c>
      <c r="G642" s="77">
        <v>0.29820161099999998</v>
      </c>
      <c r="H642" s="77">
        <v>0</v>
      </c>
      <c r="I642" s="77">
        <v>0</v>
      </c>
      <c r="J642" s="77">
        <v>0</v>
      </c>
      <c r="K642" s="77">
        <v>25.5544923</v>
      </c>
      <c r="L642" s="77">
        <v>0</v>
      </c>
      <c r="M642" s="77">
        <v>0.40231355499999999</v>
      </c>
      <c r="N642" s="77">
        <v>0</v>
      </c>
      <c r="O642" s="77">
        <v>0</v>
      </c>
      <c r="P642" s="77">
        <v>0</v>
      </c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  <c r="AG642" s="77"/>
    </row>
    <row r="643" spans="1:33" x14ac:dyDescent="0.25">
      <c r="A643" s="77" t="s">
        <v>11</v>
      </c>
      <c r="B643" s="77">
        <v>2.0373697399999999</v>
      </c>
      <c r="C643" s="77">
        <v>0</v>
      </c>
      <c r="D643" s="77">
        <v>2.0373697399999999</v>
      </c>
      <c r="E643" s="77">
        <v>0.79532591100000005</v>
      </c>
      <c r="F643" s="77">
        <v>0.11881771000000001</v>
      </c>
      <c r="G643" s="77">
        <v>0.72113998000000001</v>
      </c>
      <c r="H643" s="77">
        <v>3.6945377100000003E-2</v>
      </c>
      <c r="I643" s="77">
        <v>0</v>
      </c>
      <c r="J643" s="77">
        <v>0</v>
      </c>
      <c r="K643" s="77">
        <v>0</v>
      </c>
      <c r="L643" s="77">
        <v>0</v>
      </c>
      <c r="M643" s="77">
        <v>0.36514076200000001</v>
      </c>
      <c r="N643" s="77">
        <v>0</v>
      </c>
      <c r="O643" s="77">
        <v>0</v>
      </c>
      <c r="P643" s="77">
        <v>0</v>
      </c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  <c r="AG643" s="77"/>
    </row>
    <row r="644" spans="1:33" x14ac:dyDescent="0.25">
      <c r="A644" s="77" t="s">
        <v>12</v>
      </c>
      <c r="B644" s="77">
        <v>65.169474399999999</v>
      </c>
      <c r="C644" s="77">
        <v>29.538378000000002</v>
      </c>
      <c r="D644" s="77">
        <v>35.631096399999997</v>
      </c>
      <c r="E644" s="77">
        <v>39.608156899999997</v>
      </c>
      <c r="F644" s="77">
        <v>0.79184430900000002</v>
      </c>
      <c r="G644" s="77">
        <v>8.6099013299999996</v>
      </c>
      <c r="H644" s="77">
        <v>0.234534037</v>
      </c>
      <c r="I644" s="77">
        <v>0</v>
      </c>
      <c r="J644" s="77">
        <v>0</v>
      </c>
      <c r="K644" s="77">
        <v>2.1989291400000002</v>
      </c>
      <c r="L644" s="77">
        <v>0</v>
      </c>
      <c r="M644" s="77">
        <v>13.726108699999999</v>
      </c>
      <c r="N644" s="77">
        <v>0</v>
      </c>
      <c r="O644" s="77">
        <v>0</v>
      </c>
      <c r="P644" s="77">
        <v>0</v>
      </c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  <c r="AG644" s="77"/>
    </row>
    <row r="645" spans="1:33" x14ac:dyDescent="0.25">
      <c r="A645" s="77" t="s">
        <v>13</v>
      </c>
      <c r="B645" s="77">
        <v>74.125052100000005</v>
      </c>
      <c r="C645" s="77">
        <v>0</v>
      </c>
      <c r="D645" s="77">
        <v>74.125052100000005</v>
      </c>
      <c r="E645" s="77">
        <v>50.676951299999999</v>
      </c>
      <c r="F645" s="77">
        <v>5.8292268700000003</v>
      </c>
      <c r="G645" s="77">
        <v>0</v>
      </c>
      <c r="H645" s="77">
        <v>0</v>
      </c>
      <c r="I645" s="77">
        <v>0</v>
      </c>
      <c r="J645" s="77">
        <v>0</v>
      </c>
      <c r="K645" s="77">
        <v>11.7337004</v>
      </c>
      <c r="L645" s="77">
        <v>0</v>
      </c>
      <c r="M645" s="77">
        <v>5.8851734999999996</v>
      </c>
      <c r="N645" s="77">
        <v>0</v>
      </c>
      <c r="O645" s="77">
        <v>0</v>
      </c>
      <c r="P645" s="77">
        <v>0</v>
      </c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  <c r="AG645" s="77"/>
    </row>
    <row r="646" spans="1:33" x14ac:dyDescent="0.25">
      <c r="A646" s="77" t="s">
        <v>14</v>
      </c>
      <c r="B646" s="77">
        <v>60.6688379</v>
      </c>
      <c r="C646" s="77">
        <v>0</v>
      </c>
      <c r="D646" s="77">
        <v>60.6688379</v>
      </c>
      <c r="E646" s="77">
        <v>16.229347799999999</v>
      </c>
      <c r="F646" s="77">
        <v>1.0389521399999999</v>
      </c>
      <c r="G646" s="77">
        <v>25.788398399999998</v>
      </c>
      <c r="H646" s="77">
        <v>8.3075126499999999E-2</v>
      </c>
      <c r="I646" s="105">
        <v>0</v>
      </c>
      <c r="J646" s="77">
        <v>0</v>
      </c>
      <c r="K646" s="77">
        <v>0</v>
      </c>
      <c r="L646" s="77">
        <v>0</v>
      </c>
      <c r="M646" s="77">
        <v>17.529064399999999</v>
      </c>
      <c r="N646" s="77">
        <v>0</v>
      </c>
      <c r="O646" s="77">
        <v>0</v>
      </c>
      <c r="P646" s="77">
        <v>0</v>
      </c>
      <c r="R646" s="77"/>
      <c r="S646" s="77"/>
      <c r="T646" s="77"/>
      <c r="U646" s="77"/>
      <c r="V646" s="77"/>
      <c r="W646" s="77"/>
      <c r="X646" s="77"/>
      <c r="Y646" s="77"/>
      <c r="Z646" s="105"/>
      <c r="AA646" s="77"/>
      <c r="AB646" s="77"/>
      <c r="AC646" s="77"/>
      <c r="AD646" s="77"/>
      <c r="AE646" s="77"/>
      <c r="AF646" s="77"/>
      <c r="AG646" s="77"/>
    </row>
    <row r="647" spans="1:33" x14ac:dyDescent="0.25">
      <c r="A647" s="77" t="s">
        <v>445</v>
      </c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  <c r="AG647" s="77"/>
    </row>
    <row r="648" spans="1:33" x14ac:dyDescent="0.25">
      <c r="A648" s="77" t="s">
        <v>360</v>
      </c>
      <c r="B648" s="77" t="s">
        <v>18</v>
      </c>
      <c r="C648" s="77" t="s">
        <v>19</v>
      </c>
      <c r="D648" s="77" t="s">
        <v>20</v>
      </c>
      <c r="E648" s="77" t="s">
        <v>21</v>
      </c>
      <c r="F648" s="77" t="s">
        <v>22</v>
      </c>
      <c r="G648" s="77" t="s">
        <v>23</v>
      </c>
      <c r="H648" s="77" t="s">
        <v>361</v>
      </c>
      <c r="I648" s="77" t="s">
        <v>25</v>
      </c>
      <c r="J648" s="77" t="s">
        <v>362</v>
      </c>
      <c r="K648" s="77" t="s">
        <v>5</v>
      </c>
      <c r="L648" s="77" t="s">
        <v>6</v>
      </c>
      <c r="M648" s="77" t="s">
        <v>7</v>
      </c>
      <c r="N648" s="77" t="s">
        <v>8</v>
      </c>
      <c r="O648" s="77" t="s">
        <v>9</v>
      </c>
      <c r="P648" s="77" t="s">
        <v>363</v>
      </c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  <c r="AG648" s="77"/>
    </row>
    <row r="649" spans="1:33" x14ac:dyDescent="0.25">
      <c r="A649" s="77" t="s">
        <v>364</v>
      </c>
      <c r="B649" s="77" t="s">
        <v>370</v>
      </c>
      <c r="C649" s="77" t="s">
        <v>370</v>
      </c>
      <c r="D649" s="77" t="s">
        <v>370</v>
      </c>
      <c r="E649" s="77" t="s">
        <v>370</v>
      </c>
      <c r="F649" s="77" t="s">
        <v>370</v>
      </c>
      <c r="G649" s="77" t="s">
        <v>370</v>
      </c>
      <c r="H649" s="77" t="s">
        <v>370</v>
      </c>
      <c r="I649" s="77" t="s">
        <v>370</v>
      </c>
      <c r="J649" s="77" t="s">
        <v>370</v>
      </c>
      <c r="K649" s="77" t="s">
        <v>370</v>
      </c>
      <c r="L649" s="77" t="s">
        <v>370</v>
      </c>
      <c r="M649" s="77" t="s">
        <v>370</v>
      </c>
      <c r="N649" s="77" t="s">
        <v>370</v>
      </c>
      <c r="O649" s="77" t="s">
        <v>370</v>
      </c>
      <c r="P649" s="77" t="s">
        <v>370</v>
      </c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  <c r="AG649" s="77"/>
    </row>
    <row r="650" spans="1:33" x14ac:dyDescent="0.25">
      <c r="A650" s="77" t="s">
        <v>1</v>
      </c>
      <c r="B650" s="77">
        <v>0</v>
      </c>
      <c r="C650" s="77">
        <v>0</v>
      </c>
      <c r="D650" s="77">
        <v>0</v>
      </c>
      <c r="E650" s="77">
        <v>0</v>
      </c>
      <c r="F650" s="77">
        <v>0</v>
      </c>
      <c r="G650" s="77">
        <v>0</v>
      </c>
      <c r="H650" s="77">
        <v>0</v>
      </c>
      <c r="I650" s="77">
        <v>0</v>
      </c>
      <c r="J650" s="77">
        <v>0</v>
      </c>
      <c r="K650" s="77">
        <v>0</v>
      </c>
      <c r="L650" s="77">
        <v>0</v>
      </c>
      <c r="M650" s="77">
        <v>0</v>
      </c>
      <c r="N650" s="77">
        <v>0</v>
      </c>
      <c r="O650" s="77">
        <v>0</v>
      </c>
      <c r="P650" s="77">
        <v>0</v>
      </c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  <c r="AG650" s="77"/>
    </row>
    <row r="651" spans="1:33" x14ac:dyDescent="0.25">
      <c r="A651" s="77" t="s">
        <v>2</v>
      </c>
      <c r="B651" s="77">
        <v>1.1244785900000001</v>
      </c>
      <c r="C651" s="77">
        <v>0</v>
      </c>
      <c r="D651" s="77">
        <v>1.1244785900000001</v>
      </c>
      <c r="E651" s="77">
        <v>0</v>
      </c>
      <c r="F651" s="77">
        <v>0</v>
      </c>
      <c r="G651" s="77">
        <v>0</v>
      </c>
      <c r="H651" s="77">
        <v>0</v>
      </c>
      <c r="I651" s="77">
        <v>0</v>
      </c>
      <c r="J651" s="77">
        <v>0</v>
      </c>
      <c r="K651" s="77">
        <v>1.1244785900000001</v>
      </c>
      <c r="L651" s="77">
        <v>0</v>
      </c>
      <c r="M651" s="77">
        <v>0</v>
      </c>
      <c r="N651" s="77">
        <v>0</v>
      </c>
      <c r="O651" s="77">
        <v>0</v>
      </c>
      <c r="P651" s="77">
        <v>0</v>
      </c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  <c r="AG651" s="77"/>
    </row>
    <row r="652" spans="1:33" x14ac:dyDescent="0.25">
      <c r="A652" s="77" t="s">
        <v>3</v>
      </c>
      <c r="B652" s="77">
        <v>0.85941265499999997</v>
      </c>
      <c r="C652" s="77">
        <v>0</v>
      </c>
      <c r="D652" s="77">
        <v>0.85941265499999997</v>
      </c>
      <c r="E652" s="77">
        <v>0.41783044699999999</v>
      </c>
      <c r="F652" s="77">
        <v>6.4759360399999997E-3</v>
      </c>
      <c r="G652" s="77">
        <v>0.12941551900000001</v>
      </c>
      <c r="H652" s="77">
        <v>1.7776207800000001E-3</v>
      </c>
      <c r="I652" s="77">
        <v>0</v>
      </c>
      <c r="J652" s="77">
        <v>0</v>
      </c>
      <c r="K652" s="77">
        <v>0.30391313199999997</v>
      </c>
      <c r="L652" s="77">
        <v>0</v>
      </c>
      <c r="M652" s="77">
        <v>0</v>
      </c>
      <c r="N652" s="77">
        <v>0</v>
      </c>
      <c r="O652" s="77">
        <v>0</v>
      </c>
      <c r="P652" s="77">
        <v>0</v>
      </c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  <c r="AG652" s="77"/>
    </row>
    <row r="653" spans="1:33" x14ac:dyDescent="0.25">
      <c r="A653" s="77" t="s">
        <v>4</v>
      </c>
      <c r="B653" s="77">
        <v>3.6672655299999999</v>
      </c>
      <c r="C653" s="77">
        <v>0</v>
      </c>
      <c r="D653" s="77">
        <v>3.6672655299999999</v>
      </c>
      <c r="E653" s="77">
        <v>1.4315866399999999</v>
      </c>
      <c r="F653" s="77">
        <v>0.21387187699999999</v>
      </c>
      <c r="G653" s="77">
        <v>1.29805196</v>
      </c>
      <c r="H653" s="77">
        <v>6.6501678800000005E-2</v>
      </c>
      <c r="I653" s="77">
        <v>0</v>
      </c>
      <c r="J653" s="77">
        <v>0</v>
      </c>
      <c r="K653" s="77">
        <v>0</v>
      </c>
      <c r="L653" s="77">
        <v>0</v>
      </c>
      <c r="M653" s="77">
        <v>0.65725337100000003</v>
      </c>
      <c r="N653" s="77">
        <v>0</v>
      </c>
      <c r="O653" s="77">
        <v>0</v>
      </c>
      <c r="P653" s="77">
        <v>0</v>
      </c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  <c r="AG653" s="77"/>
    </row>
    <row r="654" spans="1:33" x14ac:dyDescent="0.25">
      <c r="A654" s="77" t="s">
        <v>5</v>
      </c>
      <c r="B654" s="77">
        <v>1.1244785900000001</v>
      </c>
      <c r="C654" s="77">
        <v>1.42839172</v>
      </c>
      <c r="D654" s="77">
        <v>-0.30391313199999997</v>
      </c>
      <c r="E654" s="77">
        <v>0.70593519999999998</v>
      </c>
      <c r="F654" s="77">
        <v>0.19503647299999999</v>
      </c>
      <c r="G654" s="77">
        <v>0.20962753000000001</v>
      </c>
      <c r="H654" s="77">
        <v>1.38793862E-2</v>
      </c>
      <c r="I654" s="77">
        <v>0</v>
      </c>
      <c r="J654" s="77">
        <v>0</v>
      </c>
      <c r="K654" s="77">
        <v>0</v>
      </c>
      <c r="L654" s="77">
        <v>0</v>
      </c>
      <c r="M654" s="77">
        <v>0</v>
      </c>
      <c r="N654" s="77">
        <v>0</v>
      </c>
      <c r="O654" s="77">
        <v>0</v>
      </c>
      <c r="P654" s="77">
        <v>0</v>
      </c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  <c r="AG654" s="77"/>
    </row>
    <row r="655" spans="1:33" x14ac:dyDescent="0.25">
      <c r="A655" s="77" t="s">
        <v>6</v>
      </c>
      <c r="B655" s="77">
        <v>0</v>
      </c>
      <c r="C655" s="77">
        <v>0</v>
      </c>
      <c r="D655" s="77">
        <v>0</v>
      </c>
      <c r="E655" s="77">
        <v>0</v>
      </c>
      <c r="F655" s="77">
        <v>0</v>
      </c>
      <c r="G655" s="77">
        <v>0</v>
      </c>
      <c r="H655" s="77">
        <v>0</v>
      </c>
      <c r="I655" s="77">
        <v>0</v>
      </c>
      <c r="J655" s="77">
        <v>0</v>
      </c>
      <c r="K655" s="77">
        <v>0</v>
      </c>
      <c r="L655" s="77">
        <v>0</v>
      </c>
      <c r="M655" s="77">
        <v>0</v>
      </c>
      <c r="N655" s="77">
        <v>0</v>
      </c>
      <c r="O655" s="77">
        <v>0</v>
      </c>
      <c r="P655" s="77">
        <v>0</v>
      </c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  <c r="AG655" s="77"/>
    </row>
    <row r="656" spans="1:33" x14ac:dyDescent="0.25">
      <c r="A656" s="77" t="s">
        <v>7</v>
      </c>
      <c r="B656" s="77">
        <v>1.5865820900000001</v>
      </c>
      <c r="C656" s="77">
        <v>0.65725337100000003</v>
      </c>
      <c r="D656" s="77">
        <v>0.92932871500000003</v>
      </c>
      <c r="E656" s="77">
        <v>1.1753112800000001</v>
      </c>
      <c r="F656" s="77">
        <v>0.16630278000000001</v>
      </c>
      <c r="G656" s="77">
        <v>0.23010533699999999</v>
      </c>
      <c r="H656" s="77">
        <v>1.4862691900000001E-2</v>
      </c>
      <c r="I656" s="77">
        <v>0</v>
      </c>
      <c r="J656" s="77">
        <v>0</v>
      </c>
      <c r="K656" s="77">
        <v>0</v>
      </c>
      <c r="L656" s="77">
        <v>0</v>
      </c>
      <c r="M656" s="77">
        <v>0</v>
      </c>
      <c r="N656" s="77">
        <v>0</v>
      </c>
      <c r="O656" s="77">
        <v>0</v>
      </c>
      <c r="P656" s="77">
        <v>0</v>
      </c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  <c r="AG656" s="77"/>
    </row>
    <row r="657" spans="1:33" x14ac:dyDescent="0.25">
      <c r="A657" s="77" t="s">
        <v>8</v>
      </c>
      <c r="B657" s="77">
        <v>0</v>
      </c>
      <c r="C657" s="77">
        <v>0</v>
      </c>
      <c r="D657" s="77">
        <v>0</v>
      </c>
      <c r="E657" s="77">
        <v>0</v>
      </c>
      <c r="F657" s="77">
        <v>0</v>
      </c>
      <c r="G657" s="77">
        <v>0</v>
      </c>
      <c r="H657" s="77">
        <v>0</v>
      </c>
      <c r="I657" s="77">
        <v>0</v>
      </c>
      <c r="J657" s="77">
        <v>0</v>
      </c>
      <c r="K657" s="77">
        <v>0</v>
      </c>
      <c r="L657" s="77">
        <v>0</v>
      </c>
      <c r="M657" s="77">
        <v>0</v>
      </c>
      <c r="N657" s="77">
        <v>0</v>
      </c>
      <c r="O657" s="77">
        <v>0</v>
      </c>
      <c r="P657" s="77">
        <v>0</v>
      </c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  <c r="AG657" s="77"/>
    </row>
    <row r="658" spans="1:33" x14ac:dyDescent="0.25">
      <c r="A658" s="77" t="s">
        <v>9</v>
      </c>
      <c r="B658" s="77">
        <v>0</v>
      </c>
      <c r="C658" s="77">
        <v>0</v>
      </c>
      <c r="D658" s="77">
        <v>0</v>
      </c>
      <c r="E658" s="77">
        <v>0</v>
      </c>
      <c r="F658" s="77">
        <v>0</v>
      </c>
      <c r="G658" s="77">
        <v>0</v>
      </c>
      <c r="H658" s="77">
        <v>0</v>
      </c>
      <c r="I658" s="77">
        <v>0</v>
      </c>
      <c r="J658" s="77">
        <v>0</v>
      </c>
      <c r="K658" s="77">
        <v>0</v>
      </c>
      <c r="L658" s="77">
        <v>0</v>
      </c>
      <c r="M658" s="77">
        <v>0</v>
      </c>
      <c r="N658" s="77">
        <v>0</v>
      </c>
      <c r="O658" s="77">
        <v>0</v>
      </c>
      <c r="P658" s="77">
        <v>0</v>
      </c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  <c r="AG658" s="77"/>
    </row>
    <row r="659" spans="1:33" x14ac:dyDescent="0.25">
      <c r="A659" s="77" t="s">
        <v>10</v>
      </c>
      <c r="B659" s="77">
        <v>0</v>
      </c>
      <c r="C659" s="77">
        <v>0</v>
      </c>
      <c r="D659" s="77">
        <v>0</v>
      </c>
      <c r="E659" s="77">
        <v>0</v>
      </c>
      <c r="F659" s="77">
        <v>0</v>
      </c>
      <c r="G659" s="77">
        <v>0</v>
      </c>
      <c r="H659" s="77">
        <v>0</v>
      </c>
      <c r="I659" s="77">
        <v>0</v>
      </c>
      <c r="J659" s="77">
        <v>0</v>
      </c>
      <c r="K659" s="77">
        <v>0</v>
      </c>
      <c r="L659" s="77">
        <v>0</v>
      </c>
      <c r="M659" s="77">
        <v>0</v>
      </c>
      <c r="N659" s="77">
        <v>0</v>
      </c>
      <c r="O659" s="77">
        <v>0</v>
      </c>
      <c r="P659" s="77">
        <v>0</v>
      </c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  <c r="AG659" s="77"/>
    </row>
    <row r="660" spans="1:33" x14ac:dyDescent="0.25">
      <c r="A660" s="77" t="s">
        <v>11</v>
      </c>
      <c r="B660" s="77">
        <v>0</v>
      </c>
      <c r="C660" s="77">
        <v>0</v>
      </c>
      <c r="D660" s="77">
        <v>0</v>
      </c>
      <c r="E660" s="77">
        <v>0</v>
      </c>
      <c r="F660" s="77">
        <v>0</v>
      </c>
      <c r="G660" s="77">
        <v>0</v>
      </c>
      <c r="H660" s="77">
        <v>0</v>
      </c>
      <c r="I660" s="77">
        <v>0</v>
      </c>
      <c r="J660" s="77">
        <v>0</v>
      </c>
      <c r="K660" s="77">
        <v>0</v>
      </c>
      <c r="L660" s="77">
        <v>0</v>
      </c>
      <c r="M660" s="77">
        <v>0</v>
      </c>
      <c r="N660" s="77">
        <v>0</v>
      </c>
      <c r="O660" s="77">
        <v>0</v>
      </c>
      <c r="P660" s="77">
        <v>0</v>
      </c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  <c r="AG660" s="77"/>
    </row>
    <row r="661" spans="1:33" x14ac:dyDescent="0.25">
      <c r="A661" s="77" t="s">
        <v>12</v>
      </c>
      <c r="B661" s="77">
        <v>0</v>
      </c>
      <c r="C661" s="77">
        <v>0</v>
      </c>
      <c r="D661" s="77">
        <v>0</v>
      </c>
      <c r="E661" s="77">
        <v>0</v>
      </c>
      <c r="F661" s="77">
        <v>0</v>
      </c>
      <c r="G661" s="77">
        <v>0</v>
      </c>
      <c r="H661" s="77">
        <v>0</v>
      </c>
      <c r="I661" s="77">
        <v>0</v>
      </c>
      <c r="J661" s="77">
        <v>0</v>
      </c>
      <c r="K661" s="77">
        <v>0</v>
      </c>
      <c r="L661" s="77">
        <v>0</v>
      </c>
      <c r="M661" s="77">
        <v>0</v>
      </c>
      <c r="N661" s="77">
        <v>0</v>
      </c>
      <c r="O661" s="77">
        <v>0</v>
      </c>
      <c r="P661" s="77">
        <v>0</v>
      </c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  <c r="AG661" s="77"/>
    </row>
    <row r="662" spans="1:33" x14ac:dyDescent="0.25">
      <c r="A662" s="77" t="s">
        <v>13</v>
      </c>
      <c r="B662" s="77">
        <v>0</v>
      </c>
      <c r="C662" s="77">
        <v>0</v>
      </c>
      <c r="D662" s="77">
        <v>0</v>
      </c>
      <c r="E662" s="77">
        <v>0</v>
      </c>
      <c r="F662" s="77">
        <v>0</v>
      </c>
      <c r="G662" s="77">
        <v>0</v>
      </c>
      <c r="H662" s="77">
        <v>0</v>
      </c>
      <c r="I662" s="77">
        <v>0</v>
      </c>
      <c r="J662" s="77">
        <v>0</v>
      </c>
      <c r="K662" s="77">
        <v>0</v>
      </c>
      <c r="L662" s="77">
        <v>0</v>
      </c>
      <c r="M662" s="77">
        <v>0</v>
      </c>
      <c r="N662" s="77">
        <v>0</v>
      </c>
      <c r="O662" s="77">
        <v>0</v>
      </c>
      <c r="P662" s="77">
        <v>0</v>
      </c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  <c r="AG662" s="77"/>
    </row>
    <row r="663" spans="1:33" x14ac:dyDescent="0.25">
      <c r="A663" s="77" t="s">
        <v>14</v>
      </c>
      <c r="B663" s="77">
        <v>0</v>
      </c>
      <c r="C663" s="77">
        <v>0</v>
      </c>
      <c r="D663" s="77">
        <v>0</v>
      </c>
      <c r="E663" s="77">
        <v>0</v>
      </c>
      <c r="F663" s="77">
        <v>0</v>
      </c>
      <c r="G663" s="77">
        <v>0</v>
      </c>
      <c r="H663" s="77">
        <v>0</v>
      </c>
      <c r="I663" s="77">
        <v>0</v>
      </c>
      <c r="J663" s="77">
        <v>0</v>
      </c>
      <c r="K663" s="77">
        <v>0</v>
      </c>
      <c r="L663" s="77">
        <v>0</v>
      </c>
      <c r="M663" s="77">
        <v>0</v>
      </c>
      <c r="N663" s="77">
        <v>0</v>
      </c>
      <c r="O663" s="77">
        <v>0</v>
      </c>
      <c r="P663" s="77">
        <v>0</v>
      </c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  <c r="AG663" s="77"/>
    </row>
    <row r="664" spans="1:33" x14ac:dyDescent="0.25">
      <c r="A664" s="77" t="s">
        <v>446</v>
      </c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  <c r="AG664" s="77"/>
    </row>
    <row r="665" spans="1:33" x14ac:dyDescent="0.25">
      <c r="A665" s="77" t="s">
        <v>360</v>
      </c>
      <c r="B665" s="77" t="s">
        <v>18</v>
      </c>
      <c r="C665" s="77" t="s">
        <v>19</v>
      </c>
      <c r="D665" s="77" t="s">
        <v>20</v>
      </c>
      <c r="E665" s="77" t="s">
        <v>21</v>
      </c>
      <c r="F665" s="77" t="s">
        <v>22</v>
      </c>
      <c r="G665" s="77" t="s">
        <v>23</v>
      </c>
      <c r="H665" s="77" t="s">
        <v>361</v>
      </c>
      <c r="I665" s="77" t="s">
        <v>25</v>
      </c>
      <c r="J665" s="77" t="s">
        <v>362</v>
      </c>
      <c r="K665" s="77" t="s">
        <v>5</v>
      </c>
      <c r="L665" s="77" t="s">
        <v>6</v>
      </c>
      <c r="M665" s="77" t="s">
        <v>7</v>
      </c>
      <c r="N665" s="77" t="s">
        <v>8</v>
      </c>
      <c r="O665" s="77" t="s">
        <v>9</v>
      </c>
      <c r="P665" s="77" t="s">
        <v>363</v>
      </c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  <c r="AG665" s="77"/>
    </row>
    <row r="666" spans="1:33" x14ac:dyDescent="0.25">
      <c r="A666" s="77" t="s">
        <v>364</v>
      </c>
      <c r="B666" s="77" t="s">
        <v>365</v>
      </c>
      <c r="C666" s="77" t="s">
        <v>365</v>
      </c>
      <c r="D666" s="77" t="s">
        <v>365</v>
      </c>
      <c r="E666" s="77" t="s">
        <v>365</v>
      </c>
      <c r="F666" s="77" t="s">
        <v>365</v>
      </c>
      <c r="G666" s="77" t="s">
        <v>365</v>
      </c>
      <c r="H666" s="77" t="s">
        <v>365</v>
      </c>
      <c r="I666" s="77" t="s">
        <v>365</v>
      </c>
      <c r="J666" s="77" t="s">
        <v>365</v>
      </c>
      <c r="K666" s="77" t="s">
        <v>365</v>
      </c>
      <c r="L666" s="77" t="s">
        <v>365</v>
      </c>
      <c r="M666" s="77" t="s">
        <v>365</v>
      </c>
      <c r="N666" s="77" t="s">
        <v>365</v>
      </c>
      <c r="O666" s="77" t="s">
        <v>365</v>
      </c>
      <c r="P666" s="77" t="s">
        <v>365</v>
      </c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  <c r="AG666" s="77"/>
    </row>
    <row r="667" spans="1:33" x14ac:dyDescent="0.25">
      <c r="A667" s="77" t="s">
        <v>1</v>
      </c>
      <c r="B667" s="77">
        <v>0</v>
      </c>
      <c r="C667" s="77">
        <v>0</v>
      </c>
      <c r="D667" s="77">
        <v>0</v>
      </c>
      <c r="E667" s="77">
        <v>0</v>
      </c>
      <c r="F667" s="77">
        <v>0</v>
      </c>
      <c r="G667" s="77">
        <v>0</v>
      </c>
      <c r="H667" s="77">
        <v>0</v>
      </c>
      <c r="I667" s="77">
        <v>0</v>
      </c>
      <c r="J667" s="77">
        <v>0</v>
      </c>
      <c r="K667" s="77">
        <v>0</v>
      </c>
      <c r="L667" s="77">
        <v>0</v>
      </c>
      <c r="M667" s="77">
        <v>0</v>
      </c>
      <c r="N667" s="77">
        <v>0</v>
      </c>
      <c r="O667" s="77">
        <v>0</v>
      </c>
      <c r="P667" s="77">
        <v>0</v>
      </c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  <c r="AG667" s="77"/>
    </row>
    <row r="668" spans="1:33" x14ac:dyDescent="0.25">
      <c r="A668" s="77" t="s">
        <v>2</v>
      </c>
      <c r="B668" s="77">
        <v>0</v>
      </c>
      <c r="C668" s="77">
        <v>0</v>
      </c>
      <c r="D668" s="77">
        <v>0</v>
      </c>
      <c r="E668" s="77">
        <v>0</v>
      </c>
      <c r="F668" s="77">
        <v>0</v>
      </c>
      <c r="G668" s="77">
        <v>0</v>
      </c>
      <c r="H668" s="77">
        <v>0</v>
      </c>
      <c r="I668" s="77">
        <v>0</v>
      </c>
      <c r="J668" s="77">
        <v>0</v>
      </c>
      <c r="K668" s="77">
        <v>0</v>
      </c>
      <c r="L668" s="77">
        <v>0</v>
      </c>
      <c r="M668" s="77">
        <v>0</v>
      </c>
      <c r="N668" s="77">
        <v>0</v>
      </c>
      <c r="O668" s="77">
        <v>0</v>
      </c>
      <c r="P668" s="77">
        <v>0</v>
      </c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  <c r="AG668" s="77"/>
    </row>
    <row r="669" spans="1:33" x14ac:dyDescent="0.25">
      <c r="A669" s="77" t="s">
        <v>3</v>
      </c>
      <c r="B669" s="77">
        <v>37.7374698</v>
      </c>
      <c r="C669" s="77">
        <v>0</v>
      </c>
      <c r="D669" s="77">
        <v>37.7374698</v>
      </c>
      <c r="E669" s="77">
        <v>18.285680299999999</v>
      </c>
      <c r="F669" s="77">
        <v>0.31435100500000002</v>
      </c>
      <c r="G669" s="77">
        <v>4.0140464800000002</v>
      </c>
      <c r="H669" s="77">
        <v>6.6987299400000005E-2</v>
      </c>
      <c r="I669" s="77">
        <v>0</v>
      </c>
      <c r="J669" s="77">
        <v>0</v>
      </c>
      <c r="K669" s="77">
        <v>15.0564047</v>
      </c>
      <c r="L669" s="77">
        <v>0</v>
      </c>
      <c r="M669" s="77">
        <v>0</v>
      </c>
      <c r="N669" s="77">
        <v>0</v>
      </c>
      <c r="O669" s="77">
        <v>0</v>
      </c>
      <c r="P669" s="77">
        <v>0</v>
      </c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  <c r="AG669" s="77"/>
    </row>
    <row r="670" spans="1:33" x14ac:dyDescent="0.25">
      <c r="A670" s="77" t="s">
        <v>4</v>
      </c>
      <c r="B670" s="77">
        <v>49.122404199999998</v>
      </c>
      <c r="C670" s="77">
        <v>0</v>
      </c>
      <c r="D670" s="77">
        <v>49.122404199999998</v>
      </c>
      <c r="E670" s="77">
        <v>19.087821900000002</v>
      </c>
      <c r="F670" s="77">
        <v>2.8516250300000001</v>
      </c>
      <c r="G670" s="77">
        <v>17.256550900000001</v>
      </c>
      <c r="H670" s="77">
        <v>0.88346174499999996</v>
      </c>
      <c r="I670" s="77">
        <v>0</v>
      </c>
      <c r="J670" s="77">
        <v>0</v>
      </c>
      <c r="K670" s="77">
        <v>0</v>
      </c>
      <c r="L670" s="77">
        <v>0</v>
      </c>
      <c r="M670" s="77">
        <v>9.04294464</v>
      </c>
      <c r="N670" s="77">
        <v>0</v>
      </c>
      <c r="O670" s="77">
        <v>0</v>
      </c>
      <c r="P670" s="77">
        <v>0</v>
      </c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  <c r="AG670" s="77"/>
    </row>
    <row r="671" spans="1:33" x14ac:dyDescent="0.25">
      <c r="A671" s="77" t="s">
        <v>5</v>
      </c>
      <c r="B671" s="77">
        <v>15.0564047</v>
      </c>
      <c r="C671" s="77">
        <v>15.0564047</v>
      </c>
      <c r="D671" s="77">
        <v>1.7763568400000001E-15</v>
      </c>
      <c r="E671" s="77">
        <v>9.4720475499999992</v>
      </c>
      <c r="F671" s="77">
        <v>2.6085984199999999</v>
      </c>
      <c r="G671" s="77">
        <v>2.7910673899999998</v>
      </c>
      <c r="H671" s="77">
        <v>0.18469131699999999</v>
      </c>
      <c r="I671" s="77">
        <v>0</v>
      </c>
      <c r="J671" s="77">
        <v>0</v>
      </c>
      <c r="K671" s="77">
        <v>0</v>
      </c>
      <c r="L671" s="77">
        <v>0</v>
      </c>
      <c r="M671" s="77">
        <v>0</v>
      </c>
      <c r="N671" s="77">
        <v>0</v>
      </c>
      <c r="O671" s="77">
        <v>0</v>
      </c>
      <c r="P671" s="77">
        <v>0</v>
      </c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  <c r="AG671" s="77"/>
    </row>
    <row r="672" spans="1:33" x14ac:dyDescent="0.25">
      <c r="A672" s="77" t="s">
        <v>6</v>
      </c>
      <c r="B672" s="77">
        <v>0</v>
      </c>
      <c r="C672" s="77">
        <v>0</v>
      </c>
      <c r="D672" s="77">
        <v>0</v>
      </c>
      <c r="E672" s="77">
        <v>0</v>
      </c>
      <c r="F672" s="77">
        <v>0</v>
      </c>
      <c r="G672" s="77">
        <v>0</v>
      </c>
      <c r="H672" s="77">
        <v>0</v>
      </c>
      <c r="I672" s="77">
        <v>0</v>
      </c>
      <c r="J672" s="77">
        <v>0</v>
      </c>
      <c r="K672" s="77">
        <v>0</v>
      </c>
      <c r="L672" s="77">
        <v>0</v>
      </c>
      <c r="M672" s="77">
        <v>0</v>
      </c>
      <c r="N672" s="77">
        <v>0</v>
      </c>
      <c r="O672" s="77">
        <v>0</v>
      </c>
      <c r="P672" s="77">
        <v>0</v>
      </c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  <c r="AG672" s="77"/>
    </row>
    <row r="673" spans="1:33" x14ac:dyDescent="0.25">
      <c r="A673" s="77" t="s">
        <v>7</v>
      </c>
      <c r="B673" s="77">
        <v>9.04294464</v>
      </c>
      <c r="C673" s="77">
        <v>9.04294464</v>
      </c>
      <c r="D673" s="77">
        <v>0</v>
      </c>
      <c r="E673" s="77">
        <v>6.6214518</v>
      </c>
      <c r="F673" s="77">
        <v>0.90130242599999999</v>
      </c>
      <c r="G673" s="77">
        <v>1.4377801400000001</v>
      </c>
      <c r="H673" s="77">
        <v>8.2410273500000006E-2</v>
      </c>
      <c r="I673" s="77">
        <v>0</v>
      </c>
      <c r="J673" s="77">
        <v>0</v>
      </c>
      <c r="K673" s="77">
        <v>0</v>
      </c>
      <c r="L673" s="77">
        <v>0</v>
      </c>
      <c r="M673" s="77">
        <v>0</v>
      </c>
      <c r="N673" s="77">
        <v>0</v>
      </c>
      <c r="O673" s="77">
        <v>0</v>
      </c>
      <c r="P673" s="77">
        <v>0</v>
      </c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  <c r="AG673" s="77"/>
    </row>
    <row r="674" spans="1:33" x14ac:dyDescent="0.25">
      <c r="A674" s="77" t="s">
        <v>8</v>
      </c>
      <c r="B674" s="77">
        <v>0</v>
      </c>
      <c r="C674" s="77">
        <v>0</v>
      </c>
      <c r="D674" s="77">
        <v>0</v>
      </c>
      <c r="E674" s="77">
        <v>0</v>
      </c>
      <c r="F674" s="77">
        <v>0</v>
      </c>
      <c r="G674" s="77">
        <v>0</v>
      </c>
      <c r="H674" s="77">
        <v>0</v>
      </c>
      <c r="I674" s="77">
        <v>0</v>
      </c>
      <c r="J674" s="77">
        <v>0</v>
      </c>
      <c r="K674" s="77">
        <v>0</v>
      </c>
      <c r="L674" s="77">
        <v>0</v>
      </c>
      <c r="M674" s="77">
        <v>0</v>
      </c>
      <c r="N674" s="77">
        <v>0</v>
      </c>
      <c r="O674" s="77">
        <v>0</v>
      </c>
      <c r="P674" s="77">
        <v>0</v>
      </c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  <c r="AG674" s="77"/>
    </row>
    <row r="675" spans="1:33" x14ac:dyDescent="0.25">
      <c r="A675" s="77" t="s">
        <v>9</v>
      </c>
      <c r="B675" s="77">
        <v>0</v>
      </c>
      <c r="C675" s="77">
        <v>0</v>
      </c>
      <c r="D675" s="105">
        <v>0</v>
      </c>
      <c r="E675" s="77">
        <v>0</v>
      </c>
      <c r="F675" s="77">
        <v>0</v>
      </c>
      <c r="G675" s="77">
        <v>0</v>
      </c>
      <c r="H675" s="77">
        <v>0</v>
      </c>
      <c r="I675" s="77">
        <v>0</v>
      </c>
      <c r="J675" s="77">
        <v>0</v>
      </c>
      <c r="K675" s="77">
        <v>0</v>
      </c>
      <c r="L675" s="77">
        <v>0</v>
      </c>
      <c r="M675" s="77">
        <v>0</v>
      </c>
      <c r="N675" s="77">
        <v>0</v>
      </c>
      <c r="O675" s="77">
        <v>0</v>
      </c>
      <c r="P675" s="77">
        <v>0</v>
      </c>
      <c r="R675" s="77"/>
      <c r="S675" s="77"/>
      <c r="T675" s="77"/>
      <c r="U675" s="105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  <c r="AG675" s="77"/>
    </row>
    <row r="676" spans="1:33" x14ac:dyDescent="0.25">
      <c r="A676" s="77" t="s">
        <v>10</v>
      </c>
      <c r="B676" s="77">
        <v>0</v>
      </c>
      <c r="C676" s="77">
        <v>0</v>
      </c>
      <c r="D676" s="77">
        <v>0</v>
      </c>
      <c r="E676" s="77">
        <v>0</v>
      </c>
      <c r="F676" s="77">
        <v>0</v>
      </c>
      <c r="G676" s="77">
        <v>0</v>
      </c>
      <c r="H676" s="77">
        <v>0</v>
      </c>
      <c r="I676" s="77">
        <v>0</v>
      </c>
      <c r="J676" s="77">
        <v>0</v>
      </c>
      <c r="K676" s="77">
        <v>0</v>
      </c>
      <c r="L676" s="77">
        <v>0</v>
      </c>
      <c r="M676" s="77">
        <v>0</v>
      </c>
      <c r="N676" s="77">
        <v>0</v>
      </c>
      <c r="O676" s="77">
        <v>0</v>
      </c>
      <c r="P676" s="77">
        <v>0</v>
      </c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  <c r="AG676" s="77"/>
    </row>
    <row r="677" spans="1:33" x14ac:dyDescent="0.25">
      <c r="A677" s="77" t="s">
        <v>11</v>
      </c>
      <c r="B677" s="77">
        <v>0</v>
      </c>
      <c r="C677" s="77">
        <v>0</v>
      </c>
      <c r="D677" s="77">
        <v>0</v>
      </c>
      <c r="E677" s="77">
        <v>0</v>
      </c>
      <c r="F677" s="77">
        <v>0</v>
      </c>
      <c r="G677" s="77">
        <v>0</v>
      </c>
      <c r="H677" s="77">
        <v>0</v>
      </c>
      <c r="I677" s="77">
        <v>0</v>
      </c>
      <c r="J677" s="77">
        <v>0</v>
      </c>
      <c r="K677" s="77">
        <v>0</v>
      </c>
      <c r="L677" s="77">
        <v>0</v>
      </c>
      <c r="M677" s="77">
        <v>0</v>
      </c>
      <c r="N677" s="77">
        <v>0</v>
      </c>
      <c r="O677" s="77">
        <v>0</v>
      </c>
      <c r="P677" s="77">
        <v>0</v>
      </c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  <c r="AG677" s="77"/>
    </row>
    <row r="678" spans="1:33" x14ac:dyDescent="0.25">
      <c r="A678" s="77" t="s">
        <v>12</v>
      </c>
      <c r="B678" s="77">
        <v>0</v>
      </c>
      <c r="C678" s="77">
        <v>0</v>
      </c>
      <c r="D678" s="77">
        <v>0</v>
      </c>
      <c r="E678" s="77">
        <v>0</v>
      </c>
      <c r="F678" s="77">
        <v>0</v>
      </c>
      <c r="G678" s="77">
        <v>0</v>
      </c>
      <c r="H678" s="77">
        <v>0</v>
      </c>
      <c r="I678" s="77">
        <v>0</v>
      </c>
      <c r="J678" s="77">
        <v>0</v>
      </c>
      <c r="K678" s="77">
        <v>0</v>
      </c>
      <c r="L678" s="77">
        <v>0</v>
      </c>
      <c r="M678" s="77">
        <v>0</v>
      </c>
      <c r="N678" s="77">
        <v>0</v>
      </c>
      <c r="O678" s="77">
        <v>0</v>
      </c>
      <c r="P678" s="77">
        <v>0</v>
      </c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  <c r="AG678" s="77"/>
    </row>
    <row r="679" spans="1:33" x14ac:dyDescent="0.25">
      <c r="A679" s="77" t="s">
        <v>13</v>
      </c>
      <c r="B679" s="77">
        <v>0</v>
      </c>
      <c r="C679" s="77">
        <v>0</v>
      </c>
      <c r="D679" s="77">
        <v>0</v>
      </c>
      <c r="E679" s="77">
        <v>0</v>
      </c>
      <c r="F679" s="77">
        <v>0</v>
      </c>
      <c r="G679" s="77">
        <v>0</v>
      </c>
      <c r="H679" s="77">
        <v>0</v>
      </c>
      <c r="I679" s="77">
        <v>0</v>
      </c>
      <c r="J679" s="77">
        <v>0</v>
      </c>
      <c r="K679" s="77">
        <v>0</v>
      </c>
      <c r="L679" s="77">
        <v>0</v>
      </c>
      <c r="M679" s="77">
        <v>0</v>
      </c>
      <c r="N679" s="77">
        <v>0</v>
      </c>
      <c r="O679" s="77">
        <v>0</v>
      </c>
      <c r="P679" s="77">
        <v>0</v>
      </c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  <c r="AG679" s="77"/>
    </row>
    <row r="680" spans="1:33" x14ac:dyDescent="0.25">
      <c r="A680" s="77" t="s">
        <v>14</v>
      </c>
      <c r="B680" s="77">
        <v>0</v>
      </c>
      <c r="C680" s="77">
        <v>0</v>
      </c>
      <c r="D680" s="77">
        <v>0</v>
      </c>
      <c r="E680" s="77">
        <v>0</v>
      </c>
      <c r="F680" s="77">
        <v>0</v>
      </c>
      <c r="G680" s="77">
        <v>0</v>
      </c>
      <c r="H680" s="77">
        <v>0</v>
      </c>
      <c r="I680" s="77">
        <v>0</v>
      </c>
      <c r="J680" s="77">
        <v>0</v>
      </c>
      <c r="K680" s="77">
        <v>0</v>
      </c>
      <c r="L680" s="77">
        <v>0</v>
      </c>
      <c r="M680" s="77">
        <v>0</v>
      </c>
      <c r="N680" s="77">
        <v>0</v>
      </c>
      <c r="O680" s="77">
        <v>0</v>
      </c>
      <c r="P680" s="77">
        <v>0</v>
      </c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  <c r="AG680" s="77"/>
    </row>
    <row r="681" spans="1:33" x14ac:dyDescent="0.25">
      <c r="A681" s="77" t="s">
        <v>447</v>
      </c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  <c r="AG681" s="77"/>
    </row>
    <row r="682" spans="1:33" x14ac:dyDescent="0.25">
      <c r="A682" s="77" t="s">
        <v>360</v>
      </c>
      <c r="B682" s="77" t="s">
        <v>366</v>
      </c>
      <c r="C682" s="77" t="s">
        <v>367</v>
      </c>
      <c r="D682" s="77" t="s">
        <v>368</v>
      </c>
      <c r="E682" s="77" t="s">
        <v>21</v>
      </c>
      <c r="F682" s="77" t="s">
        <v>22</v>
      </c>
      <c r="G682" s="77" t="s">
        <v>23</v>
      </c>
      <c r="H682" s="77" t="s">
        <v>361</v>
      </c>
      <c r="I682" s="77" t="s">
        <v>25</v>
      </c>
      <c r="J682" s="77" t="s">
        <v>362</v>
      </c>
      <c r="K682" s="77" t="s">
        <v>5</v>
      </c>
      <c r="L682" s="77" t="s">
        <v>6</v>
      </c>
      <c r="M682" s="77" t="s">
        <v>7</v>
      </c>
      <c r="N682" s="77" t="s">
        <v>8</v>
      </c>
      <c r="O682" s="77" t="s">
        <v>9</v>
      </c>
      <c r="P682" s="77" t="s">
        <v>363</v>
      </c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  <c r="AG682" s="77"/>
    </row>
    <row r="683" spans="1:33" x14ac:dyDescent="0.25">
      <c r="A683" s="77" t="s">
        <v>364</v>
      </c>
      <c r="B683" s="77" t="s">
        <v>369</v>
      </c>
      <c r="C683" s="77" t="s">
        <v>369</v>
      </c>
      <c r="D683" s="77" t="s">
        <v>369</v>
      </c>
      <c r="E683" s="77" t="s">
        <v>369</v>
      </c>
      <c r="F683" s="77" t="s">
        <v>369</v>
      </c>
      <c r="G683" s="77" t="s">
        <v>369</v>
      </c>
      <c r="H683" s="77" t="s">
        <v>369</v>
      </c>
      <c r="I683" s="77" t="s">
        <v>369</v>
      </c>
      <c r="J683" s="77" t="s">
        <v>369</v>
      </c>
      <c r="K683" s="77" t="s">
        <v>369</v>
      </c>
      <c r="L683" s="77" t="s">
        <v>369</v>
      </c>
      <c r="M683" s="77" t="s">
        <v>369</v>
      </c>
      <c r="N683" s="77" t="s">
        <v>369</v>
      </c>
      <c r="O683" s="77" t="s">
        <v>369</v>
      </c>
      <c r="P683" s="77" t="s">
        <v>369</v>
      </c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  <c r="AG683" s="77"/>
    </row>
    <row r="684" spans="1:33" x14ac:dyDescent="0.25">
      <c r="A684" s="77" t="s">
        <v>1</v>
      </c>
      <c r="B684" s="77">
        <v>214.526749</v>
      </c>
      <c r="C684" s="77">
        <v>0</v>
      </c>
      <c r="D684" s="77">
        <v>214.526749</v>
      </c>
      <c r="E684" s="77">
        <v>69.634953499999995</v>
      </c>
      <c r="F684" s="77">
        <v>0</v>
      </c>
      <c r="G684" s="77">
        <v>45.6777522</v>
      </c>
      <c r="H684" s="77">
        <v>0</v>
      </c>
      <c r="I684" s="77">
        <v>0</v>
      </c>
      <c r="J684" s="77">
        <v>0</v>
      </c>
      <c r="K684" s="77">
        <v>0</v>
      </c>
      <c r="L684" s="77">
        <v>0</v>
      </c>
      <c r="M684" s="77">
        <v>99.2140433</v>
      </c>
      <c r="N684" s="77">
        <v>0</v>
      </c>
      <c r="O684" s="77">
        <v>0</v>
      </c>
      <c r="P684" s="77">
        <v>0</v>
      </c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  <c r="AG684" s="77"/>
    </row>
    <row r="685" spans="1:33" x14ac:dyDescent="0.25">
      <c r="A685" s="77" t="s">
        <v>2</v>
      </c>
      <c r="B685" s="77">
        <v>6.8376865499999999</v>
      </c>
      <c r="C685" s="77">
        <v>0</v>
      </c>
      <c r="D685" s="77">
        <v>6.8376865499999999</v>
      </c>
      <c r="E685" s="77">
        <v>0</v>
      </c>
      <c r="F685" s="77">
        <v>0</v>
      </c>
      <c r="G685" s="77">
        <v>0.76044335600000001</v>
      </c>
      <c r="H685" s="77">
        <v>0</v>
      </c>
      <c r="I685" s="77">
        <v>0</v>
      </c>
      <c r="J685" s="77">
        <v>0</v>
      </c>
      <c r="K685" s="77">
        <v>6.0772431999999998</v>
      </c>
      <c r="L685" s="77">
        <v>0</v>
      </c>
      <c r="M685" s="77">
        <v>0</v>
      </c>
      <c r="N685" s="77">
        <v>0</v>
      </c>
      <c r="O685" s="77">
        <v>0</v>
      </c>
      <c r="P685" s="77">
        <v>0</v>
      </c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  <c r="AG685" s="77"/>
    </row>
    <row r="686" spans="1:33" x14ac:dyDescent="0.25">
      <c r="A686" s="77" t="s">
        <v>3</v>
      </c>
      <c r="B686" s="77">
        <v>48.337301699999998</v>
      </c>
      <c r="C686" s="77">
        <v>0</v>
      </c>
      <c r="D686" s="77">
        <v>48.337301699999998</v>
      </c>
      <c r="E686" s="77">
        <v>6.2507944499999999</v>
      </c>
      <c r="F686" s="77">
        <v>0.121993029</v>
      </c>
      <c r="G686" s="77">
        <v>2.40855518</v>
      </c>
      <c r="H686" s="77">
        <v>3.2096424300000002E-2</v>
      </c>
      <c r="I686" s="77">
        <v>0</v>
      </c>
      <c r="J686" s="77">
        <v>0</v>
      </c>
      <c r="K686" s="77">
        <v>2.5939873200000001</v>
      </c>
      <c r="L686" s="77">
        <v>0</v>
      </c>
      <c r="M686" s="77">
        <v>0</v>
      </c>
      <c r="N686" s="77">
        <v>0</v>
      </c>
      <c r="O686" s="77">
        <v>0</v>
      </c>
      <c r="P686" s="77">
        <v>36.929875299999999</v>
      </c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  <c r="AG686" s="77"/>
    </row>
    <row r="687" spans="1:33" x14ac:dyDescent="0.25">
      <c r="A687" s="77" t="s">
        <v>4</v>
      </c>
      <c r="B687" s="77">
        <v>150.65615299999999</v>
      </c>
      <c r="C687" s="77">
        <v>0</v>
      </c>
      <c r="D687" s="77">
        <v>150.65615299999999</v>
      </c>
      <c r="E687" s="77">
        <v>70.165140100000002</v>
      </c>
      <c r="F687" s="77">
        <v>11.3600032</v>
      </c>
      <c r="G687" s="77">
        <v>54.6897728</v>
      </c>
      <c r="H687" s="77">
        <v>2.5312764099999998</v>
      </c>
      <c r="I687" s="77">
        <v>0</v>
      </c>
      <c r="J687" s="77">
        <v>0</v>
      </c>
      <c r="K687" s="77">
        <v>0</v>
      </c>
      <c r="L687" s="77">
        <v>0</v>
      </c>
      <c r="M687" s="77">
        <v>17.537620100000002</v>
      </c>
      <c r="N687" s="77">
        <v>0</v>
      </c>
      <c r="O687" s="77">
        <v>0</v>
      </c>
      <c r="P687" s="77">
        <v>-5.6276597400000004</v>
      </c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  <c r="AG687" s="77"/>
    </row>
    <row r="688" spans="1:33" x14ac:dyDescent="0.25">
      <c r="A688" s="77" t="s">
        <v>5</v>
      </c>
      <c r="B688" s="77">
        <v>38.432803</v>
      </c>
      <c r="C688" s="77">
        <v>46.957018400000003</v>
      </c>
      <c r="D688" s="77">
        <v>-8.5242153900000002</v>
      </c>
      <c r="E688" s="77">
        <v>20.313536299999999</v>
      </c>
      <c r="F688" s="77">
        <v>5.1616030200000003</v>
      </c>
      <c r="G688" s="77">
        <v>12.5484797</v>
      </c>
      <c r="H688" s="77">
        <v>0.409183884</v>
      </c>
      <c r="I688" s="77">
        <v>0</v>
      </c>
      <c r="J688" s="77">
        <v>0</v>
      </c>
      <c r="K688" s="77">
        <v>0</v>
      </c>
      <c r="L688" s="77">
        <v>0</v>
      </c>
      <c r="M688" s="77">
        <v>0</v>
      </c>
      <c r="N688" s="77">
        <v>0</v>
      </c>
      <c r="O688" s="77">
        <v>0</v>
      </c>
      <c r="P688" s="77">
        <v>0</v>
      </c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  <c r="AG688" s="77"/>
    </row>
    <row r="689" spans="1:33" x14ac:dyDescent="0.25">
      <c r="A689" s="77" t="s">
        <v>6</v>
      </c>
      <c r="B689" s="77">
        <v>0</v>
      </c>
      <c r="C689" s="77">
        <v>0</v>
      </c>
      <c r="D689" s="77">
        <v>0</v>
      </c>
      <c r="E689" s="77">
        <v>0</v>
      </c>
      <c r="F689" s="77">
        <v>0</v>
      </c>
      <c r="G689" s="77">
        <v>0</v>
      </c>
      <c r="H689" s="77">
        <v>0</v>
      </c>
      <c r="I689" s="77">
        <v>0</v>
      </c>
      <c r="J689" s="77">
        <v>0</v>
      </c>
      <c r="K689" s="77">
        <v>0</v>
      </c>
      <c r="L689" s="77">
        <v>0</v>
      </c>
      <c r="M689" s="77">
        <v>0</v>
      </c>
      <c r="N689" s="77">
        <v>0</v>
      </c>
      <c r="O689" s="77">
        <v>0</v>
      </c>
      <c r="P689" s="77">
        <v>0</v>
      </c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  <c r="AG689" s="77"/>
    </row>
    <row r="690" spans="1:33" x14ac:dyDescent="0.25">
      <c r="A690" s="77" t="s">
        <v>7</v>
      </c>
      <c r="B690" s="77">
        <v>95.571574600000005</v>
      </c>
      <c r="C690" s="77">
        <v>162.64832799999999</v>
      </c>
      <c r="D690" s="77">
        <v>-67.076753400000001</v>
      </c>
      <c r="E690" s="77">
        <v>63.733814899999999</v>
      </c>
      <c r="F690" s="77">
        <v>12.1036143</v>
      </c>
      <c r="G690" s="77">
        <v>18.8931006</v>
      </c>
      <c r="H690" s="77">
        <v>0.84104477200000005</v>
      </c>
      <c r="I690" s="77">
        <v>0</v>
      </c>
      <c r="J690" s="77">
        <v>0</v>
      </c>
      <c r="K690" s="77">
        <v>0</v>
      </c>
      <c r="L690" s="77">
        <v>0</v>
      </c>
      <c r="M690" s="77">
        <v>0</v>
      </c>
      <c r="N690" s="77">
        <v>0</v>
      </c>
      <c r="O690" s="77">
        <v>0</v>
      </c>
      <c r="P690" s="77">
        <v>0</v>
      </c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  <c r="AG690" s="77"/>
    </row>
    <row r="691" spans="1:33" x14ac:dyDescent="0.25">
      <c r="A691" s="77" t="s">
        <v>8</v>
      </c>
      <c r="B691" s="77">
        <v>0</v>
      </c>
      <c r="C691" s="77">
        <v>0</v>
      </c>
      <c r="D691" s="77">
        <v>0</v>
      </c>
      <c r="E691" s="77">
        <v>0</v>
      </c>
      <c r="F691" s="77">
        <v>0</v>
      </c>
      <c r="G691" s="77">
        <v>0</v>
      </c>
      <c r="H691" s="77">
        <v>0</v>
      </c>
      <c r="I691" s="77">
        <v>0</v>
      </c>
      <c r="J691" s="77">
        <v>0</v>
      </c>
      <c r="K691" s="77">
        <v>0</v>
      </c>
      <c r="L691" s="77">
        <v>0</v>
      </c>
      <c r="M691" s="77">
        <v>0</v>
      </c>
      <c r="N691" s="77">
        <v>0</v>
      </c>
      <c r="O691" s="77">
        <v>0</v>
      </c>
      <c r="P691" s="77">
        <v>0</v>
      </c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  <c r="AG691" s="77"/>
    </row>
    <row r="692" spans="1:33" x14ac:dyDescent="0.25">
      <c r="A692" s="77" t="s">
        <v>9</v>
      </c>
      <c r="B692" s="77">
        <v>0</v>
      </c>
      <c r="C692" s="77">
        <v>0</v>
      </c>
      <c r="D692" s="77">
        <v>0</v>
      </c>
      <c r="E692" s="77">
        <v>0</v>
      </c>
      <c r="F692" s="77">
        <v>0</v>
      </c>
      <c r="G692" s="77">
        <v>0</v>
      </c>
      <c r="H692" s="77">
        <v>0</v>
      </c>
      <c r="I692" s="77">
        <v>0</v>
      </c>
      <c r="J692" s="77">
        <v>0</v>
      </c>
      <c r="K692" s="77">
        <v>0</v>
      </c>
      <c r="L692" s="77">
        <v>0</v>
      </c>
      <c r="M692" s="77">
        <v>0</v>
      </c>
      <c r="N692" s="77">
        <v>0</v>
      </c>
      <c r="O692" s="77">
        <v>0</v>
      </c>
      <c r="P692" s="77">
        <v>0</v>
      </c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  <c r="AG692" s="77"/>
    </row>
    <row r="693" spans="1:33" x14ac:dyDescent="0.25">
      <c r="A693" s="77" t="s">
        <v>10</v>
      </c>
      <c r="B693" s="77">
        <v>2.8152266500000001</v>
      </c>
      <c r="C693" s="77">
        <v>0</v>
      </c>
      <c r="D693" s="77">
        <v>2.8152266500000001</v>
      </c>
      <c r="E693" s="77">
        <v>-20.432749999999999</v>
      </c>
      <c r="F693" s="77">
        <v>-1.9672499999999999</v>
      </c>
      <c r="G693" s="77">
        <v>0.42274519300000002</v>
      </c>
      <c r="H693" s="77">
        <v>0</v>
      </c>
      <c r="I693" s="77">
        <v>0</v>
      </c>
      <c r="J693" s="77">
        <v>0</v>
      </c>
      <c r="K693" s="77">
        <v>24.399829799999999</v>
      </c>
      <c r="L693" s="77">
        <v>0</v>
      </c>
      <c r="M693" s="77">
        <v>0.392651637</v>
      </c>
      <c r="N693" s="77">
        <v>0</v>
      </c>
      <c r="O693" s="77">
        <v>0</v>
      </c>
      <c r="P693" s="77">
        <v>0</v>
      </c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  <c r="AG693" s="77"/>
    </row>
    <row r="694" spans="1:33" x14ac:dyDescent="0.25">
      <c r="A694" s="77" t="s">
        <v>11</v>
      </c>
      <c r="B694" s="77">
        <v>4.0935336800000002</v>
      </c>
      <c r="C694" s="77">
        <v>0</v>
      </c>
      <c r="D694" s="77">
        <v>4.0935336800000002</v>
      </c>
      <c r="E694" s="77">
        <v>1.5906518199999999</v>
      </c>
      <c r="F694" s="77">
        <v>0.23763541899999999</v>
      </c>
      <c r="G694" s="77">
        <v>1.43804591</v>
      </c>
      <c r="H694" s="77">
        <v>7.3621811999999995E-2</v>
      </c>
      <c r="I694" s="77">
        <v>0</v>
      </c>
      <c r="J694" s="77">
        <v>0</v>
      </c>
      <c r="K694" s="77">
        <v>0</v>
      </c>
      <c r="L694" s="77">
        <v>0</v>
      </c>
      <c r="M694" s="77">
        <v>0.75357872000000004</v>
      </c>
      <c r="N694" s="77">
        <v>0</v>
      </c>
      <c r="O694" s="77">
        <v>0</v>
      </c>
      <c r="P694" s="77">
        <v>0</v>
      </c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  <c r="AG694" s="77"/>
    </row>
    <row r="695" spans="1:33" x14ac:dyDescent="0.25">
      <c r="A695" s="77" t="s">
        <v>12</v>
      </c>
      <c r="B695" s="77">
        <v>64.719765199999998</v>
      </c>
      <c r="C695" s="77">
        <v>31.3022156</v>
      </c>
      <c r="D695" s="77">
        <v>33.417549600000001</v>
      </c>
      <c r="E695" s="77">
        <v>39.198862599999998</v>
      </c>
      <c r="F695" s="77">
        <v>0.78992372399999999</v>
      </c>
      <c r="G695" s="77">
        <v>8.2352713200000007</v>
      </c>
      <c r="H695" s="77">
        <v>0.23148142399999999</v>
      </c>
      <c r="I695" s="77">
        <v>0</v>
      </c>
      <c r="J695" s="77">
        <v>0</v>
      </c>
      <c r="K695" s="77">
        <v>2.1522576</v>
      </c>
      <c r="L695" s="77">
        <v>0</v>
      </c>
      <c r="M695" s="77">
        <v>14.1119685</v>
      </c>
      <c r="N695" s="77">
        <v>0</v>
      </c>
      <c r="O695" s="77">
        <v>0</v>
      </c>
      <c r="P695" s="77">
        <v>0</v>
      </c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  <c r="AG695" s="77"/>
    </row>
    <row r="696" spans="1:33" x14ac:dyDescent="0.25">
      <c r="A696" s="77" t="s">
        <v>13</v>
      </c>
      <c r="B696" s="77">
        <v>75.714628500000003</v>
      </c>
      <c r="C696" s="77">
        <v>0</v>
      </c>
      <c r="D696" s="77">
        <v>75.714628500000003</v>
      </c>
      <c r="E696" s="77">
        <v>51.663806800000003</v>
      </c>
      <c r="F696" s="77">
        <v>6.2527022700000003</v>
      </c>
      <c r="G696" s="77">
        <v>0</v>
      </c>
      <c r="H696" s="77">
        <v>0</v>
      </c>
      <c r="I696" s="77">
        <v>0</v>
      </c>
      <c r="J696" s="77">
        <v>0</v>
      </c>
      <c r="K696" s="77">
        <v>11.7337004</v>
      </c>
      <c r="L696" s="77">
        <v>0</v>
      </c>
      <c r="M696" s="77">
        <v>6.064419</v>
      </c>
      <c r="N696" s="77">
        <v>0</v>
      </c>
      <c r="O696" s="77">
        <v>0</v>
      </c>
      <c r="P696" s="77">
        <v>0</v>
      </c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  <c r="AG696" s="77"/>
    </row>
    <row r="697" spans="1:33" x14ac:dyDescent="0.25">
      <c r="A697" s="77" t="s">
        <v>14</v>
      </c>
      <c r="B697" s="77">
        <v>69.411444200000005</v>
      </c>
      <c r="C697" s="77">
        <v>0</v>
      </c>
      <c r="D697" s="77">
        <v>69.411444200000005</v>
      </c>
      <c r="E697" s="77">
        <v>16.798846699999999</v>
      </c>
      <c r="F697" s="77">
        <v>1.4322404799999999</v>
      </c>
      <c r="G697" s="77">
        <v>26.505653599999999</v>
      </c>
      <c r="H697" s="77">
        <v>0.100656843</v>
      </c>
      <c r="I697" s="105">
        <v>0</v>
      </c>
      <c r="J697" s="77">
        <v>0</v>
      </c>
      <c r="K697" s="77">
        <v>0</v>
      </c>
      <c r="L697" s="77">
        <v>0</v>
      </c>
      <c r="M697" s="77">
        <v>24.574046599999999</v>
      </c>
      <c r="N697" s="77">
        <v>0</v>
      </c>
      <c r="O697" s="77">
        <v>0</v>
      </c>
      <c r="P697" s="77">
        <v>0</v>
      </c>
      <c r="R697" s="77"/>
      <c r="S697" s="77"/>
      <c r="T697" s="77"/>
      <c r="U697" s="77"/>
      <c r="V697" s="77"/>
      <c r="W697" s="77"/>
      <c r="X697" s="77"/>
      <c r="Y697" s="77"/>
      <c r="Z697" s="105"/>
      <c r="AA697" s="77"/>
      <c r="AB697" s="77"/>
      <c r="AC697" s="77"/>
      <c r="AD697" s="77"/>
      <c r="AE697" s="77"/>
      <c r="AF697" s="77"/>
      <c r="AG697" s="77"/>
    </row>
    <row r="698" spans="1:33" x14ac:dyDescent="0.25">
      <c r="A698" s="77" t="s">
        <v>448</v>
      </c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  <c r="AG698" s="77"/>
    </row>
    <row r="699" spans="1:33" x14ac:dyDescent="0.25">
      <c r="A699" s="77" t="s">
        <v>360</v>
      </c>
      <c r="B699" s="77" t="s">
        <v>18</v>
      </c>
      <c r="C699" s="77" t="s">
        <v>19</v>
      </c>
      <c r="D699" s="77" t="s">
        <v>20</v>
      </c>
      <c r="E699" s="77" t="s">
        <v>21</v>
      </c>
      <c r="F699" s="77" t="s">
        <v>22</v>
      </c>
      <c r="G699" s="77" t="s">
        <v>23</v>
      </c>
      <c r="H699" s="77" t="s">
        <v>361</v>
      </c>
      <c r="I699" s="77" t="s">
        <v>25</v>
      </c>
      <c r="J699" s="77" t="s">
        <v>362</v>
      </c>
      <c r="K699" s="77" t="s">
        <v>5</v>
      </c>
      <c r="L699" s="77" t="s">
        <v>6</v>
      </c>
      <c r="M699" s="77" t="s">
        <v>7</v>
      </c>
      <c r="N699" s="77" t="s">
        <v>8</v>
      </c>
      <c r="O699" s="77" t="s">
        <v>9</v>
      </c>
      <c r="P699" s="77" t="s">
        <v>363</v>
      </c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  <c r="AG699" s="77"/>
    </row>
    <row r="700" spans="1:33" x14ac:dyDescent="0.25">
      <c r="A700" s="77" t="s">
        <v>364</v>
      </c>
      <c r="B700" s="77" t="s">
        <v>370</v>
      </c>
      <c r="C700" s="77" t="s">
        <v>370</v>
      </c>
      <c r="D700" s="77" t="s">
        <v>370</v>
      </c>
      <c r="E700" s="77" t="s">
        <v>370</v>
      </c>
      <c r="F700" s="77" t="s">
        <v>370</v>
      </c>
      <c r="G700" s="77" t="s">
        <v>370</v>
      </c>
      <c r="H700" s="77" t="s">
        <v>370</v>
      </c>
      <c r="I700" s="77" t="s">
        <v>370</v>
      </c>
      <c r="J700" s="77" t="s">
        <v>370</v>
      </c>
      <c r="K700" s="77" t="s">
        <v>370</v>
      </c>
      <c r="L700" s="77" t="s">
        <v>370</v>
      </c>
      <c r="M700" s="77" t="s">
        <v>370</v>
      </c>
      <c r="N700" s="77" t="s">
        <v>370</v>
      </c>
      <c r="O700" s="77" t="s">
        <v>370</v>
      </c>
      <c r="P700" s="77" t="s">
        <v>370</v>
      </c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  <c r="AG700" s="77"/>
    </row>
    <row r="701" spans="1:33" x14ac:dyDescent="0.25">
      <c r="A701" s="77" t="s">
        <v>1</v>
      </c>
      <c r="B701" s="77">
        <v>0</v>
      </c>
      <c r="C701" s="77">
        <v>0</v>
      </c>
      <c r="D701" s="77">
        <v>0</v>
      </c>
      <c r="E701" s="77">
        <v>0</v>
      </c>
      <c r="F701" s="77">
        <v>0</v>
      </c>
      <c r="G701" s="77">
        <v>0</v>
      </c>
      <c r="H701" s="77">
        <v>0</v>
      </c>
      <c r="I701" s="77">
        <v>0</v>
      </c>
      <c r="J701" s="77">
        <v>0</v>
      </c>
      <c r="K701" s="77">
        <v>0</v>
      </c>
      <c r="L701" s="77">
        <v>0</v>
      </c>
      <c r="M701" s="77">
        <v>0</v>
      </c>
      <c r="N701" s="77">
        <v>0</v>
      </c>
      <c r="O701" s="77">
        <v>0</v>
      </c>
      <c r="P701" s="77">
        <v>0</v>
      </c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  <c r="AG701" s="77"/>
    </row>
    <row r="702" spans="1:33" x14ac:dyDescent="0.25">
      <c r="A702" s="77" t="s">
        <v>2</v>
      </c>
      <c r="B702" s="77">
        <v>1.1006119000000001</v>
      </c>
      <c r="C702" s="77">
        <v>0</v>
      </c>
      <c r="D702" s="77">
        <v>1.1006119000000001</v>
      </c>
      <c r="E702" s="77">
        <v>0</v>
      </c>
      <c r="F702" s="77">
        <v>0</v>
      </c>
      <c r="G702" s="77">
        <v>0</v>
      </c>
      <c r="H702" s="77">
        <v>0</v>
      </c>
      <c r="I702" s="77">
        <v>0</v>
      </c>
      <c r="J702" s="77">
        <v>0</v>
      </c>
      <c r="K702" s="77">
        <v>1.1006119000000001</v>
      </c>
      <c r="L702" s="77">
        <v>0</v>
      </c>
      <c r="M702" s="77">
        <v>0</v>
      </c>
      <c r="N702" s="77">
        <v>0</v>
      </c>
      <c r="O702" s="77">
        <v>0</v>
      </c>
      <c r="P702" s="77">
        <v>0</v>
      </c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  <c r="AG702" s="77"/>
    </row>
    <row r="703" spans="1:33" x14ac:dyDescent="0.25">
      <c r="A703" s="77" t="s">
        <v>3</v>
      </c>
      <c r="B703" s="77">
        <v>0.745562371</v>
      </c>
      <c r="C703" s="77">
        <v>0</v>
      </c>
      <c r="D703" s="77">
        <v>0.745562371</v>
      </c>
      <c r="E703" s="77">
        <v>0.36126203699999998</v>
      </c>
      <c r="F703" s="77">
        <v>6.2104927100000004E-3</v>
      </c>
      <c r="G703" s="77">
        <v>7.9303727300000001E-2</v>
      </c>
      <c r="H703" s="77">
        <v>1.3234382199999999E-3</v>
      </c>
      <c r="I703" s="77">
        <v>0</v>
      </c>
      <c r="J703" s="77">
        <v>0</v>
      </c>
      <c r="K703" s="77">
        <v>0.29746267700000001</v>
      </c>
      <c r="L703" s="77">
        <v>0</v>
      </c>
      <c r="M703" s="77">
        <v>0</v>
      </c>
      <c r="N703" s="77">
        <v>0</v>
      </c>
      <c r="O703" s="77">
        <v>0</v>
      </c>
      <c r="P703" s="77">
        <v>0</v>
      </c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  <c r="AG703" s="77"/>
    </row>
    <row r="704" spans="1:33" x14ac:dyDescent="0.25">
      <c r="A704" s="77" t="s">
        <v>4</v>
      </c>
      <c r="B704" s="77">
        <v>3.6841803199999998</v>
      </c>
      <c r="C704" s="77">
        <v>0</v>
      </c>
      <c r="D704" s="77">
        <v>3.6841803199999998</v>
      </c>
      <c r="E704" s="77">
        <v>1.4315866399999999</v>
      </c>
      <c r="F704" s="77">
        <v>0.21387187699999999</v>
      </c>
      <c r="G704" s="77">
        <v>1.29424132</v>
      </c>
      <c r="H704" s="77">
        <v>6.6259630799999997E-2</v>
      </c>
      <c r="I704" s="77">
        <v>0</v>
      </c>
      <c r="J704" s="77">
        <v>0</v>
      </c>
      <c r="K704" s="77">
        <v>0</v>
      </c>
      <c r="L704" s="77">
        <v>0</v>
      </c>
      <c r="M704" s="77">
        <v>0.67822084800000004</v>
      </c>
      <c r="N704" s="77">
        <v>0</v>
      </c>
      <c r="O704" s="77">
        <v>0</v>
      </c>
      <c r="P704" s="77">
        <v>0</v>
      </c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  <c r="AG704" s="77"/>
    </row>
    <row r="705" spans="1:33" x14ac:dyDescent="0.25">
      <c r="A705" s="77" t="s">
        <v>5</v>
      </c>
      <c r="B705" s="77">
        <v>1.1006119000000001</v>
      </c>
      <c r="C705" s="77">
        <v>1.3980745800000001</v>
      </c>
      <c r="D705" s="77">
        <v>-0.29746267700000001</v>
      </c>
      <c r="E705" s="77">
        <v>0.69239958099999999</v>
      </c>
      <c r="F705" s="77">
        <v>0.19068658999999999</v>
      </c>
      <c r="G705" s="77">
        <v>0.20402493499999999</v>
      </c>
      <c r="H705" s="77">
        <v>1.3500796900000001E-2</v>
      </c>
      <c r="I705" s="77">
        <v>0</v>
      </c>
      <c r="J705" s="77">
        <v>0</v>
      </c>
      <c r="K705" s="77">
        <v>0</v>
      </c>
      <c r="L705" s="77">
        <v>0</v>
      </c>
      <c r="M705" s="77">
        <v>0</v>
      </c>
      <c r="N705" s="77">
        <v>0</v>
      </c>
      <c r="O705" s="77">
        <v>0</v>
      </c>
      <c r="P705" s="77">
        <v>0</v>
      </c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  <c r="AG705" s="77"/>
    </row>
    <row r="706" spans="1:33" x14ac:dyDescent="0.25">
      <c r="A706" s="77" t="s">
        <v>6</v>
      </c>
      <c r="B706" s="77">
        <v>0</v>
      </c>
      <c r="C706" s="77">
        <v>0</v>
      </c>
      <c r="D706" s="77">
        <v>0</v>
      </c>
      <c r="E706" s="77">
        <v>0</v>
      </c>
      <c r="F706" s="77">
        <v>0</v>
      </c>
      <c r="G706" s="77">
        <v>0</v>
      </c>
      <c r="H706" s="77">
        <v>0</v>
      </c>
      <c r="I706" s="77">
        <v>0</v>
      </c>
      <c r="J706" s="77">
        <v>0</v>
      </c>
      <c r="K706" s="77">
        <v>0</v>
      </c>
      <c r="L706" s="77">
        <v>0</v>
      </c>
      <c r="M706" s="77">
        <v>0</v>
      </c>
      <c r="N706" s="77">
        <v>0</v>
      </c>
      <c r="O706" s="77">
        <v>0</v>
      </c>
      <c r="P706" s="77">
        <v>0</v>
      </c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  <c r="AG706" s="77"/>
    </row>
    <row r="707" spans="1:33" x14ac:dyDescent="0.25">
      <c r="A707" s="77" t="s">
        <v>7</v>
      </c>
      <c r="B707" s="77">
        <v>1.63233937</v>
      </c>
      <c r="C707" s="77">
        <v>0.67822084800000004</v>
      </c>
      <c r="D707" s="77">
        <v>0.954118523</v>
      </c>
      <c r="E707" s="77">
        <v>1.19523639</v>
      </c>
      <c r="F707" s="77">
        <v>0.162693845</v>
      </c>
      <c r="G707" s="77">
        <v>0.259533285</v>
      </c>
      <c r="H707" s="77">
        <v>1.48758551E-2</v>
      </c>
      <c r="I707" s="77">
        <v>0</v>
      </c>
      <c r="J707" s="77">
        <v>0</v>
      </c>
      <c r="K707" s="77">
        <v>0</v>
      </c>
      <c r="L707" s="77">
        <v>0</v>
      </c>
      <c r="M707" s="77">
        <v>0</v>
      </c>
      <c r="N707" s="77">
        <v>0</v>
      </c>
      <c r="O707" s="77">
        <v>0</v>
      </c>
      <c r="P707" s="77">
        <v>0</v>
      </c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  <c r="AG707" s="77"/>
    </row>
    <row r="708" spans="1:33" x14ac:dyDescent="0.25">
      <c r="A708" s="77" t="s">
        <v>8</v>
      </c>
      <c r="B708" s="77">
        <v>0</v>
      </c>
      <c r="C708" s="77">
        <v>0</v>
      </c>
      <c r="D708" s="77">
        <v>0</v>
      </c>
      <c r="E708" s="77">
        <v>0</v>
      </c>
      <c r="F708" s="77">
        <v>0</v>
      </c>
      <c r="G708" s="77">
        <v>0</v>
      </c>
      <c r="H708" s="77">
        <v>0</v>
      </c>
      <c r="I708" s="77">
        <v>0</v>
      </c>
      <c r="J708" s="77">
        <v>0</v>
      </c>
      <c r="K708" s="77">
        <v>0</v>
      </c>
      <c r="L708" s="77">
        <v>0</v>
      </c>
      <c r="M708" s="77">
        <v>0</v>
      </c>
      <c r="N708" s="77">
        <v>0</v>
      </c>
      <c r="O708" s="77">
        <v>0</v>
      </c>
      <c r="P708" s="77">
        <v>0</v>
      </c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  <c r="AG708" s="77"/>
    </row>
    <row r="709" spans="1:33" x14ac:dyDescent="0.25">
      <c r="A709" s="77" t="s">
        <v>9</v>
      </c>
      <c r="B709" s="77">
        <v>0</v>
      </c>
      <c r="C709" s="77">
        <v>0</v>
      </c>
      <c r="D709" s="77">
        <v>0</v>
      </c>
      <c r="E709" s="77">
        <v>0</v>
      </c>
      <c r="F709" s="77">
        <v>0</v>
      </c>
      <c r="G709" s="77">
        <v>0</v>
      </c>
      <c r="H709" s="77">
        <v>0</v>
      </c>
      <c r="I709" s="77">
        <v>0</v>
      </c>
      <c r="J709" s="77">
        <v>0</v>
      </c>
      <c r="K709" s="77">
        <v>0</v>
      </c>
      <c r="L709" s="77">
        <v>0</v>
      </c>
      <c r="M709" s="77">
        <v>0</v>
      </c>
      <c r="N709" s="77">
        <v>0</v>
      </c>
      <c r="O709" s="77">
        <v>0</v>
      </c>
      <c r="P709" s="77">
        <v>0</v>
      </c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  <c r="AG709" s="77"/>
    </row>
    <row r="710" spans="1:33" x14ac:dyDescent="0.25">
      <c r="A710" s="77" t="s">
        <v>10</v>
      </c>
      <c r="B710" s="77">
        <v>0</v>
      </c>
      <c r="C710" s="77">
        <v>0</v>
      </c>
      <c r="D710" s="77">
        <v>0</v>
      </c>
      <c r="E710" s="77">
        <v>0</v>
      </c>
      <c r="F710" s="77">
        <v>0</v>
      </c>
      <c r="G710" s="77">
        <v>0</v>
      </c>
      <c r="H710" s="77">
        <v>0</v>
      </c>
      <c r="I710" s="77">
        <v>0</v>
      </c>
      <c r="J710" s="77">
        <v>0</v>
      </c>
      <c r="K710" s="77">
        <v>0</v>
      </c>
      <c r="L710" s="77">
        <v>0</v>
      </c>
      <c r="M710" s="77">
        <v>0</v>
      </c>
      <c r="N710" s="77">
        <v>0</v>
      </c>
      <c r="O710" s="77">
        <v>0</v>
      </c>
      <c r="P710" s="77">
        <v>0</v>
      </c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  <c r="AG710" s="77"/>
    </row>
    <row r="711" spans="1:33" x14ac:dyDescent="0.25">
      <c r="A711" s="77" t="s">
        <v>11</v>
      </c>
      <c r="B711" s="77">
        <v>0</v>
      </c>
      <c r="C711" s="77">
        <v>0</v>
      </c>
      <c r="D711" s="77">
        <v>0</v>
      </c>
      <c r="E711" s="77">
        <v>0</v>
      </c>
      <c r="F711" s="77">
        <v>0</v>
      </c>
      <c r="G711" s="77">
        <v>0</v>
      </c>
      <c r="H711" s="77">
        <v>0</v>
      </c>
      <c r="I711" s="77">
        <v>0</v>
      </c>
      <c r="J711" s="77">
        <v>0</v>
      </c>
      <c r="K711" s="77">
        <v>0</v>
      </c>
      <c r="L711" s="77">
        <v>0</v>
      </c>
      <c r="M711" s="77">
        <v>0</v>
      </c>
      <c r="N711" s="77">
        <v>0</v>
      </c>
      <c r="O711" s="77">
        <v>0</v>
      </c>
      <c r="P711" s="77">
        <v>0</v>
      </c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  <c r="AG711" s="77"/>
    </row>
    <row r="712" spans="1:33" x14ac:dyDescent="0.25">
      <c r="A712" s="77" t="s">
        <v>12</v>
      </c>
      <c r="B712" s="77">
        <v>0</v>
      </c>
      <c r="C712" s="77">
        <v>0</v>
      </c>
      <c r="D712" s="77">
        <v>0</v>
      </c>
      <c r="E712" s="77">
        <v>0</v>
      </c>
      <c r="F712" s="77">
        <v>0</v>
      </c>
      <c r="G712" s="77">
        <v>0</v>
      </c>
      <c r="H712" s="77">
        <v>0</v>
      </c>
      <c r="I712" s="77">
        <v>0</v>
      </c>
      <c r="J712" s="77">
        <v>0</v>
      </c>
      <c r="K712" s="77">
        <v>0</v>
      </c>
      <c r="L712" s="77">
        <v>0</v>
      </c>
      <c r="M712" s="77">
        <v>0</v>
      </c>
      <c r="N712" s="77">
        <v>0</v>
      </c>
      <c r="O712" s="77">
        <v>0</v>
      </c>
      <c r="P712" s="77">
        <v>0</v>
      </c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  <c r="AG712" s="77"/>
    </row>
    <row r="713" spans="1:33" x14ac:dyDescent="0.25">
      <c r="A713" s="77" t="s">
        <v>13</v>
      </c>
      <c r="B713" s="77">
        <v>0</v>
      </c>
      <c r="C713" s="77">
        <v>0</v>
      </c>
      <c r="D713" s="77">
        <v>0</v>
      </c>
      <c r="E713" s="77">
        <v>0</v>
      </c>
      <c r="F713" s="77">
        <v>0</v>
      </c>
      <c r="G713" s="77">
        <v>0</v>
      </c>
      <c r="H713" s="77">
        <v>0</v>
      </c>
      <c r="I713" s="77">
        <v>0</v>
      </c>
      <c r="J713" s="77">
        <v>0</v>
      </c>
      <c r="K713" s="77">
        <v>0</v>
      </c>
      <c r="L713" s="77">
        <v>0</v>
      </c>
      <c r="M713" s="77">
        <v>0</v>
      </c>
      <c r="N713" s="77">
        <v>0</v>
      </c>
      <c r="O713" s="77">
        <v>0</v>
      </c>
      <c r="P713" s="77">
        <v>0</v>
      </c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  <c r="AG713" s="77"/>
    </row>
    <row r="714" spans="1:33" x14ac:dyDescent="0.25">
      <c r="A714" s="77" t="s">
        <v>14</v>
      </c>
      <c r="B714" s="77">
        <v>0</v>
      </c>
      <c r="C714" s="77">
        <v>0</v>
      </c>
      <c r="D714" s="77">
        <v>0</v>
      </c>
      <c r="E714" s="77">
        <v>0</v>
      </c>
      <c r="F714" s="77">
        <v>0</v>
      </c>
      <c r="G714" s="77">
        <v>0</v>
      </c>
      <c r="H714" s="77">
        <v>0</v>
      </c>
      <c r="I714" s="77">
        <v>0</v>
      </c>
      <c r="J714" s="77">
        <v>0</v>
      </c>
      <c r="K714" s="77">
        <v>0</v>
      </c>
      <c r="L714" s="77">
        <v>0</v>
      </c>
      <c r="M714" s="77">
        <v>0</v>
      </c>
      <c r="N714" s="77">
        <v>0</v>
      </c>
      <c r="O714" s="77">
        <v>0</v>
      </c>
      <c r="P714" s="77">
        <v>0</v>
      </c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  <c r="AG714" s="77"/>
    </row>
    <row r="715" spans="1:33" x14ac:dyDescent="0.25">
      <c r="A715" s="77" t="s">
        <v>449</v>
      </c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  <c r="AG715" s="77"/>
    </row>
    <row r="716" spans="1:33" x14ac:dyDescent="0.25">
      <c r="A716" s="77" t="s">
        <v>360</v>
      </c>
      <c r="B716" s="77" t="s">
        <v>18</v>
      </c>
      <c r="C716" s="77" t="s">
        <v>19</v>
      </c>
      <c r="D716" s="77" t="s">
        <v>20</v>
      </c>
      <c r="E716" s="77" t="s">
        <v>21</v>
      </c>
      <c r="F716" s="77" t="s">
        <v>22</v>
      </c>
      <c r="G716" s="77" t="s">
        <v>23</v>
      </c>
      <c r="H716" s="77" t="s">
        <v>361</v>
      </c>
      <c r="I716" s="77" t="s">
        <v>25</v>
      </c>
      <c r="J716" s="77" t="s">
        <v>362</v>
      </c>
      <c r="K716" s="77" t="s">
        <v>5</v>
      </c>
      <c r="L716" s="77" t="s">
        <v>6</v>
      </c>
      <c r="M716" s="77" t="s">
        <v>7</v>
      </c>
      <c r="N716" s="77" t="s">
        <v>8</v>
      </c>
      <c r="O716" s="77" t="s">
        <v>9</v>
      </c>
      <c r="P716" s="77" t="s">
        <v>363</v>
      </c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  <c r="AG716" s="77"/>
    </row>
    <row r="717" spans="1:33" x14ac:dyDescent="0.25">
      <c r="A717" s="77" t="s">
        <v>364</v>
      </c>
      <c r="B717" s="77" t="s">
        <v>365</v>
      </c>
      <c r="C717" s="77" t="s">
        <v>365</v>
      </c>
      <c r="D717" s="77" t="s">
        <v>365</v>
      </c>
      <c r="E717" s="77" t="s">
        <v>365</v>
      </c>
      <c r="F717" s="77" t="s">
        <v>365</v>
      </c>
      <c r="G717" s="77" t="s">
        <v>365</v>
      </c>
      <c r="H717" s="77" t="s">
        <v>365</v>
      </c>
      <c r="I717" s="77" t="s">
        <v>365</v>
      </c>
      <c r="J717" s="77" t="s">
        <v>365</v>
      </c>
      <c r="K717" s="77" t="s">
        <v>365</v>
      </c>
      <c r="L717" s="77" t="s">
        <v>365</v>
      </c>
      <c r="M717" s="77" t="s">
        <v>365</v>
      </c>
      <c r="N717" s="77" t="s">
        <v>365</v>
      </c>
      <c r="O717" s="77" t="s">
        <v>365</v>
      </c>
      <c r="P717" s="77" t="s">
        <v>365</v>
      </c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  <c r="AG717" s="77"/>
    </row>
    <row r="718" spans="1:33" x14ac:dyDescent="0.25">
      <c r="A718" s="77" t="s">
        <v>1</v>
      </c>
      <c r="B718" s="77">
        <v>0</v>
      </c>
      <c r="C718" s="77">
        <v>0</v>
      </c>
      <c r="D718" s="77">
        <v>0</v>
      </c>
      <c r="E718" s="77">
        <v>0</v>
      </c>
      <c r="F718" s="77">
        <v>0</v>
      </c>
      <c r="G718" s="77">
        <v>0</v>
      </c>
      <c r="H718" s="77">
        <v>0</v>
      </c>
      <c r="I718" s="77">
        <v>0</v>
      </c>
      <c r="J718" s="77">
        <v>0</v>
      </c>
      <c r="K718" s="77">
        <v>0</v>
      </c>
      <c r="L718" s="77">
        <v>0</v>
      </c>
      <c r="M718" s="77">
        <v>0</v>
      </c>
      <c r="N718" s="77">
        <v>0</v>
      </c>
      <c r="O718" s="77">
        <v>0</v>
      </c>
      <c r="P718" s="77">
        <v>0</v>
      </c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  <c r="AG718" s="77"/>
    </row>
    <row r="719" spans="1:33" x14ac:dyDescent="0.25">
      <c r="A719" s="77" t="s">
        <v>2</v>
      </c>
      <c r="B719" s="77">
        <v>0</v>
      </c>
      <c r="C719" s="77">
        <v>0</v>
      </c>
      <c r="D719" s="77">
        <v>0</v>
      </c>
      <c r="E719" s="77">
        <v>0</v>
      </c>
      <c r="F719" s="77">
        <v>0</v>
      </c>
      <c r="G719" s="77">
        <v>0</v>
      </c>
      <c r="H719" s="77">
        <v>0</v>
      </c>
      <c r="I719" s="77">
        <v>0</v>
      </c>
      <c r="J719" s="77">
        <v>0</v>
      </c>
      <c r="K719" s="77">
        <v>0</v>
      </c>
      <c r="L719" s="77">
        <v>0</v>
      </c>
      <c r="M719" s="77">
        <v>0</v>
      </c>
      <c r="N719" s="77">
        <v>0</v>
      </c>
      <c r="O719" s="77">
        <v>0</v>
      </c>
      <c r="P719" s="77">
        <v>0</v>
      </c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  <c r="AG719" s="77"/>
    </row>
    <row r="720" spans="1:33" x14ac:dyDescent="0.25">
      <c r="A720" s="77" t="s">
        <v>3</v>
      </c>
      <c r="B720" s="77">
        <v>33.6768778</v>
      </c>
      <c r="C720" s="77">
        <v>0</v>
      </c>
      <c r="D720" s="77">
        <v>33.6768778</v>
      </c>
      <c r="E720" s="77">
        <v>16.109883100000001</v>
      </c>
      <c r="F720" s="77">
        <v>0.29599982499999999</v>
      </c>
      <c r="G720" s="77">
        <v>2.4970795799999999</v>
      </c>
      <c r="H720" s="77">
        <v>4.4538889700000001E-2</v>
      </c>
      <c r="I720" s="77">
        <v>0</v>
      </c>
      <c r="J720" s="77">
        <v>0</v>
      </c>
      <c r="K720" s="77">
        <v>14.7293764</v>
      </c>
      <c r="L720" s="77">
        <v>0</v>
      </c>
      <c r="M720" s="77">
        <v>0</v>
      </c>
      <c r="N720" s="77">
        <v>0</v>
      </c>
      <c r="O720" s="77">
        <v>0</v>
      </c>
      <c r="P720" s="77">
        <v>0</v>
      </c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  <c r="AG720" s="77"/>
    </row>
    <row r="721" spans="1:33" x14ac:dyDescent="0.25">
      <c r="A721" s="77" t="s">
        <v>4</v>
      </c>
      <c r="B721" s="77">
        <v>36.918337100000002</v>
      </c>
      <c r="C721" s="77">
        <v>0</v>
      </c>
      <c r="D721" s="77">
        <v>36.918337100000002</v>
      </c>
      <c r="E721" s="77">
        <v>14.315866400000001</v>
      </c>
      <c r="F721" s="77">
        <v>2.1387187700000001</v>
      </c>
      <c r="G721" s="77">
        <v>12.925667900000001</v>
      </c>
      <c r="H721" s="77">
        <v>0.66142691399999998</v>
      </c>
      <c r="I721" s="77">
        <v>0</v>
      </c>
      <c r="J721" s="77">
        <v>0</v>
      </c>
      <c r="K721" s="77">
        <v>0</v>
      </c>
      <c r="L721" s="77">
        <v>0</v>
      </c>
      <c r="M721" s="77">
        <v>6.8766571399999998</v>
      </c>
      <c r="N721" s="77">
        <v>0</v>
      </c>
      <c r="O721" s="77">
        <v>0</v>
      </c>
      <c r="P721" s="77">
        <v>0</v>
      </c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  <c r="AG721" s="77"/>
    </row>
    <row r="722" spans="1:33" x14ac:dyDescent="0.25">
      <c r="A722" s="77" t="s">
        <v>5</v>
      </c>
      <c r="B722" s="77">
        <v>14.7293764</v>
      </c>
      <c r="C722" s="77">
        <v>14.7293764</v>
      </c>
      <c r="D722" s="105">
        <v>1.7763568400000001E-15</v>
      </c>
      <c r="E722" s="77">
        <v>9.2865518900000001</v>
      </c>
      <c r="F722" s="77">
        <v>2.5489965300000001</v>
      </c>
      <c r="G722" s="77">
        <v>2.7143263399999999</v>
      </c>
      <c r="H722" s="77">
        <v>0.17950163299999999</v>
      </c>
      <c r="I722" s="77">
        <v>0</v>
      </c>
      <c r="J722" s="77">
        <v>0</v>
      </c>
      <c r="K722" s="77">
        <v>0</v>
      </c>
      <c r="L722" s="77">
        <v>0</v>
      </c>
      <c r="M722" s="77">
        <v>0</v>
      </c>
      <c r="N722" s="77">
        <v>0</v>
      </c>
      <c r="O722" s="77">
        <v>0</v>
      </c>
      <c r="P722" s="77">
        <v>0</v>
      </c>
      <c r="R722" s="77"/>
      <c r="S722" s="77"/>
      <c r="T722" s="77"/>
      <c r="U722" s="105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  <c r="AG722" s="77"/>
    </row>
    <row r="723" spans="1:33" x14ac:dyDescent="0.25">
      <c r="A723" s="77" t="s">
        <v>6</v>
      </c>
      <c r="B723" s="77">
        <v>0</v>
      </c>
      <c r="C723" s="77">
        <v>0</v>
      </c>
      <c r="D723" s="105">
        <v>0</v>
      </c>
      <c r="E723" s="77">
        <v>0</v>
      </c>
      <c r="F723" s="77">
        <v>0</v>
      </c>
      <c r="G723" s="77">
        <v>0</v>
      </c>
      <c r="H723" s="77">
        <v>0</v>
      </c>
      <c r="I723" s="77">
        <v>0</v>
      </c>
      <c r="J723" s="77">
        <v>0</v>
      </c>
      <c r="K723" s="77">
        <v>0</v>
      </c>
      <c r="L723" s="77">
        <v>0</v>
      </c>
      <c r="M723" s="77">
        <v>0</v>
      </c>
      <c r="N723" s="77">
        <v>0</v>
      </c>
      <c r="O723" s="77">
        <v>0</v>
      </c>
      <c r="P723" s="77">
        <v>0</v>
      </c>
      <c r="R723" s="77"/>
      <c r="S723" s="77"/>
      <c r="T723" s="77"/>
      <c r="U723" s="105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  <c r="AG723" s="77"/>
    </row>
    <row r="724" spans="1:33" x14ac:dyDescent="0.25">
      <c r="A724" s="77" t="s">
        <v>7</v>
      </c>
      <c r="B724" s="77">
        <v>6.8766571399999998</v>
      </c>
      <c r="C724" s="77">
        <v>6.8766571399999998</v>
      </c>
      <c r="D724" s="77">
        <v>0</v>
      </c>
      <c r="E724" s="77">
        <v>5.0228037499999996</v>
      </c>
      <c r="F724" s="77">
        <v>0.66442601199999995</v>
      </c>
      <c r="G724" s="77">
        <v>1.1271768200000001</v>
      </c>
      <c r="H724" s="77">
        <v>6.2250561500000003E-2</v>
      </c>
      <c r="I724" s="77">
        <v>0</v>
      </c>
      <c r="J724" s="77">
        <v>0</v>
      </c>
      <c r="K724" s="77">
        <v>0</v>
      </c>
      <c r="L724" s="77">
        <v>0</v>
      </c>
      <c r="M724" s="77">
        <v>0</v>
      </c>
      <c r="N724" s="77">
        <v>0</v>
      </c>
      <c r="O724" s="77">
        <v>0</v>
      </c>
      <c r="P724" s="77">
        <v>0</v>
      </c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  <c r="AG724" s="77"/>
    </row>
    <row r="725" spans="1:33" x14ac:dyDescent="0.25">
      <c r="A725" s="77" t="s">
        <v>8</v>
      </c>
      <c r="B725" s="77">
        <v>0</v>
      </c>
      <c r="C725" s="77">
        <v>0</v>
      </c>
      <c r="D725" s="77">
        <v>0</v>
      </c>
      <c r="E725" s="77">
        <v>0</v>
      </c>
      <c r="F725" s="77">
        <v>0</v>
      </c>
      <c r="G725" s="77">
        <v>0</v>
      </c>
      <c r="H725" s="77">
        <v>0</v>
      </c>
      <c r="I725" s="77">
        <v>0</v>
      </c>
      <c r="J725" s="77">
        <v>0</v>
      </c>
      <c r="K725" s="77">
        <v>0</v>
      </c>
      <c r="L725" s="77">
        <v>0</v>
      </c>
      <c r="M725" s="77">
        <v>0</v>
      </c>
      <c r="N725" s="77">
        <v>0</v>
      </c>
      <c r="O725" s="77">
        <v>0</v>
      </c>
      <c r="P725" s="77">
        <v>0</v>
      </c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  <c r="AG725" s="77"/>
    </row>
    <row r="726" spans="1:33" x14ac:dyDescent="0.25">
      <c r="A726" s="77" t="s">
        <v>9</v>
      </c>
      <c r="B726" s="77">
        <v>0</v>
      </c>
      <c r="C726" s="77">
        <v>0</v>
      </c>
      <c r="D726" s="105">
        <v>0</v>
      </c>
      <c r="E726" s="77">
        <v>0</v>
      </c>
      <c r="F726" s="77">
        <v>0</v>
      </c>
      <c r="G726" s="77">
        <v>0</v>
      </c>
      <c r="H726" s="77">
        <v>0</v>
      </c>
      <c r="I726" s="77">
        <v>0</v>
      </c>
      <c r="J726" s="77">
        <v>0</v>
      </c>
      <c r="K726" s="77">
        <v>0</v>
      </c>
      <c r="L726" s="77">
        <v>0</v>
      </c>
      <c r="M726" s="77">
        <v>0</v>
      </c>
      <c r="N726" s="77">
        <v>0</v>
      </c>
      <c r="O726" s="77">
        <v>0</v>
      </c>
      <c r="P726" s="77">
        <v>0</v>
      </c>
      <c r="R726" s="77"/>
      <c r="S726" s="77"/>
      <c r="T726" s="77"/>
      <c r="U726" s="105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  <c r="AG726" s="77"/>
    </row>
    <row r="727" spans="1:33" x14ac:dyDescent="0.25">
      <c r="A727" s="77" t="s">
        <v>10</v>
      </c>
      <c r="B727" s="77">
        <v>0</v>
      </c>
      <c r="C727" s="77">
        <v>0</v>
      </c>
      <c r="D727" s="77">
        <v>0</v>
      </c>
      <c r="E727" s="77">
        <v>0</v>
      </c>
      <c r="F727" s="77">
        <v>0</v>
      </c>
      <c r="G727" s="77">
        <v>0</v>
      </c>
      <c r="H727" s="77">
        <v>0</v>
      </c>
      <c r="I727" s="77">
        <v>0</v>
      </c>
      <c r="J727" s="77">
        <v>0</v>
      </c>
      <c r="K727" s="77">
        <v>0</v>
      </c>
      <c r="L727" s="77">
        <v>0</v>
      </c>
      <c r="M727" s="77">
        <v>0</v>
      </c>
      <c r="N727" s="77">
        <v>0</v>
      </c>
      <c r="O727" s="77">
        <v>0</v>
      </c>
      <c r="P727" s="77">
        <v>0</v>
      </c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  <c r="AG727" s="77"/>
    </row>
    <row r="728" spans="1:33" x14ac:dyDescent="0.25">
      <c r="A728" s="77" t="s">
        <v>11</v>
      </c>
      <c r="B728" s="77">
        <v>0</v>
      </c>
      <c r="C728" s="77">
        <v>0</v>
      </c>
      <c r="D728" s="77">
        <v>0</v>
      </c>
      <c r="E728" s="77">
        <v>0</v>
      </c>
      <c r="F728" s="77">
        <v>0</v>
      </c>
      <c r="G728" s="77">
        <v>0</v>
      </c>
      <c r="H728" s="77">
        <v>0</v>
      </c>
      <c r="I728" s="77">
        <v>0</v>
      </c>
      <c r="J728" s="77">
        <v>0</v>
      </c>
      <c r="K728" s="77">
        <v>0</v>
      </c>
      <c r="L728" s="77">
        <v>0</v>
      </c>
      <c r="M728" s="77">
        <v>0</v>
      </c>
      <c r="N728" s="77">
        <v>0</v>
      </c>
      <c r="O728" s="77">
        <v>0</v>
      </c>
      <c r="P728" s="77">
        <v>0</v>
      </c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  <c r="AG728" s="77"/>
    </row>
    <row r="729" spans="1:33" x14ac:dyDescent="0.25">
      <c r="A729" s="77" t="s">
        <v>12</v>
      </c>
      <c r="B729" s="77">
        <v>0</v>
      </c>
      <c r="C729" s="77">
        <v>0</v>
      </c>
      <c r="D729" s="77">
        <v>0</v>
      </c>
      <c r="E729" s="77">
        <v>0</v>
      </c>
      <c r="F729" s="77">
        <v>0</v>
      </c>
      <c r="G729" s="77">
        <v>0</v>
      </c>
      <c r="H729" s="77">
        <v>0</v>
      </c>
      <c r="I729" s="77">
        <v>0</v>
      </c>
      <c r="J729" s="77">
        <v>0</v>
      </c>
      <c r="K729" s="77">
        <v>0</v>
      </c>
      <c r="L729" s="77">
        <v>0</v>
      </c>
      <c r="M729" s="77">
        <v>0</v>
      </c>
      <c r="N729" s="77">
        <v>0</v>
      </c>
      <c r="O729" s="77">
        <v>0</v>
      </c>
      <c r="P729" s="77">
        <v>0</v>
      </c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  <c r="AG729" s="77"/>
    </row>
    <row r="730" spans="1:33" x14ac:dyDescent="0.25">
      <c r="A730" s="77" t="s">
        <v>13</v>
      </c>
      <c r="B730" s="77">
        <v>0</v>
      </c>
      <c r="C730" s="77">
        <v>0</v>
      </c>
      <c r="D730" s="77">
        <v>0</v>
      </c>
      <c r="E730" s="77">
        <v>0</v>
      </c>
      <c r="F730" s="77">
        <v>0</v>
      </c>
      <c r="G730" s="77">
        <v>0</v>
      </c>
      <c r="H730" s="77">
        <v>0</v>
      </c>
      <c r="I730" s="77">
        <v>0</v>
      </c>
      <c r="J730" s="77">
        <v>0</v>
      </c>
      <c r="K730" s="77">
        <v>0</v>
      </c>
      <c r="L730" s="77">
        <v>0</v>
      </c>
      <c r="M730" s="77">
        <v>0</v>
      </c>
      <c r="N730" s="77">
        <v>0</v>
      </c>
      <c r="O730" s="77">
        <v>0</v>
      </c>
      <c r="P730" s="77">
        <v>0</v>
      </c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  <c r="AG730" s="77"/>
    </row>
    <row r="731" spans="1:33" x14ac:dyDescent="0.25">
      <c r="A731" s="77" t="s">
        <v>14</v>
      </c>
      <c r="B731" s="77">
        <v>0</v>
      </c>
      <c r="C731" s="77">
        <v>0</v>
      </c>
      <c r="D731" s="77">
        <v>0</v>
      </c>
      <c r="E731" s="77">
        <v>0</v>
      </c>
      <c r="F731" s="77">
        <v>0</v>
      </c>
      <c r="G731" s="77">
        <v>0</v>
      </c>
      <c r="H731" s="77">
        <v>0</v>
      </c>
      <c r="I731" s="77">
        <v>0</v>
      </c>
      <c r="J731" s="77">
        <v>0</v>
      </c>
      <c r="K731" s="77">
        <v>0</v>
      </c>
      <c r="L731" s="77">
        <v>0</v>
      </c>
      <c r="M731" s="77">
        <v>0</v>
      </c>
      <c r="N731" s="77">
        <v>0</v>
      </c>
      <c r="O731" s="77">
        <v>0</v>
      </c>
      <c r="P731" s="77">
        <v>0</v>
      </c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  <c r="AG731" s="77"/>
    </row>
    <row r="732" spans="1:33" x14ac:dyDescent="0.25">
      <c r="A732" s="77" t="s">
        <v>450</v>
      </c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  <c r="AG732" s="77"/>
    </row>
    <row r="733" spans="1:33" x14ac:dyDescent="0.25">
      <c r="A733" s="77" t="s">
        <v>360</v>
      </c>
      <c r="B733" s="77" t="s">
        <v>366</v>
      </c>
      <c r="C733" s="77" t="s">
        <v>367</v>
      </c>
      <c r="D733" s="77" t="s">
        <v>368</v>
      </c>
      <c r="E733" s="77" t="s">
        <v>21</v>
      </c>
      <c r="F733" s="77" t="s">
        <v>22</v>
      </c>
      <c r="G733" s="77" t="s">
        <v>23</v>
      </c>
      <c r="H733" s="77" t="s">
        <v>361</v>
      </c>
      <c r="I733" s="77" t="s">
        <v>25</v>
      </c>
      <c r="J733" s="77" t="s">
        <v>362</v>
      </c>
      <c r="K733" s="77" t="s">
        <v>5</v>
      </c>
      <c r="L733" s="77" t="s">
        <v>6</v>
      </c>
      <c r="M733" s="77" t="s">
        <v>7</v>
      </c>
      <c r="N733" s="77" t="s">
        <v>8</v>
      </c>
      <c r="O733" s="77" t="s">
        <v>9</v>
      </c>
      <c r="P733" s="77" t="s">
        <v>363</v>
      </c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  <c r="AG733" s="77"/>
    </row>
    <row r="734" spans="1:33" x14ac:dyDescent="0.25">
      <c r="A734" s="77" t="s">
        <v>364</v>
      </c>
      <c r="B734" s="77" t="s">
        <v>369</v>
      </c>
      <c r="C734" s="77" t="s">
        <v>369</v>
      </c>
      <c r="D734" s="77" t="s">
        <v>369</v>
      </c>
      <c r="E734" s="77" t="s">
        <v>369</v>
      </c>
      <c r="F734" s="77" t="s">
        <v>369</v>
      </c>
      <c r="G734" s="77" t="s">
        <v>369</v>
      </c>
      <c r="H734" s="77" t="s">
        <v>369</v>
      </c>
      <c r="I734" s="77" t="s">
        <v>369</v>
      </c>
      <c r="J734" s="77" t="s">
        <v>369</v>
      </c>
      <c r="K734" s="77" t="s">
        <v>369</v>
      </c>
      <c r="L734" s="77" t="s">
        <v>369</v>
      </c>
      <c r="M734" s="77" t="s">
        <v>369</v>
      </c>
      <c r="N734" s="77" t="s">
        <v>369</v>
      </c>
      <c r="O734" s="77" t="s">
        <v>369</v>
      </c>
      <c r="P734" s="77" t="s">
        <v>369</v>
      </c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  <c r="AG734" s="77"/>
    </row>
    <row r="735" spans="1:33" x14ac:dyDescent="0.25">
      <c r="A735" s="77" t="s">
        <v>1</v>
      </c>
      <c r="B735" s="77">
        <v>244.77947399999999</v>
      </c>
      <c r="C735" s="77">
        <v>0</v>
      </c>
      <c r="D735" s="77">
        <v>244.77947399999999</v>
      </c>
      <c r="E735" s="77">
        <v>69.634953499999995</v>
      </c>
      <c r="F735" s="77">
        <v>0</v>
      </c>
      <c r="G735" s="77">
        <v>45.6777522</v>
      </c>
      <c r="H735" s="77">
        <v>0</v>
      </c>
      <c r="I735" s="77">
        <v>0</v>
      </c>
      <c r="J735" s="77">
        <v>0</v>
      </c>
      <c r="K735" s="77">
        <v>0</v>
      </c>
      <c r="L735" s="77">
        <v>0</v>
      </c>
      <c r="M735" s="77">
        <v>129.466768</v>
      </c>
      <c r="N735" s="77">
        <v>0</v>
      </c>
      <c r="O735" s="77">
        <v>0</v>
      </c>
      <c r="P735" s="77">
        <v>0</v>
      </c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  <c r="AG735" s="77"/>
    </row>
    <row r="736" spans="1:33" x14ac:dyDescent="0.25">
      <c r="A736" s="77" t="s">
        <v>2</v>
      </c>
      <c r="B736" s="77">
        <v>8.2126682199999994</v>
      </c>
      <c r="C736" s="77">
        <v>0</v>
      </c>
      <c r="D736" s="77">
        <v>8.2126682199999994</v>
      </c>
      <c r="E736" s="77">
        <v>0</v>
      </c>
      <c r="F736" s="77">
        <v>0</v>
      </c>
      <c r="G736" s="77">
        <v>0.97846367899999998</v>
      </c>
      <c r="H736" s="77">
        <v>0</v>
      </c>
      <c r="I736" s="77">
        <v>0</v>
      </c>
      <c r="J736" s="77">
        <v>0</v>
      </c>
      <c r="K736" s="77">
        <v>7.2342045400000003</v>
      </c>
      <c r="L736" s="77">
        <v>0</v>
      </c>
      <c r="M736" s="77">
        <v>0</v>
      </c>
      <c r="N736" s="77">
        <v>0</v>
      </c>
      <c r="O736" s="77">
        <v>0</v>
      </c>
      <c r="P736" s="77">
        <v>0</v>
      </c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  <c r="AG736" s="77"/>
    </row>
    <row r="737" spans="1:33" x14ac:dyDescent="0.25">
      <c r="A737" s="77" t="s">
        <v>3</v>
      </c>
      <c r="B737" s="77">
        <v>47.861978899999997</v>
      </c>
      <c r="C737" s="77">
        <v>0</v>
      </c>
      <c r="D737" s="77">
        <v>47.861978899999997</v>
      </c>
      <c r="E737" s="77">
        <v>5.6268561500000001</v>
      </c>
      <c r="F737" s="77">
        <v>0.117616239</v>
      </c>
      <c r="G737" s="77">
        <v>1.4527413899999999</v>
      </c>
      <c r="H737" s="77">
        <v>2.0908385200000001E-2</v>
      </c>
      <c r="I737" s="77">
        <v>0</v>
      </c>
      <c r="J737" s="77">
        <v>0</v>
      </c>
      <c r="K737" s="77">
        <v>2.62039468</v>
      </c>
      <c r="L737" s="77">
        <v>0</v>
      </c>
      <c r="M737" s="77">
        <v>0</v>
      </c>
      <c r="N737" s="77">
        <v>0</v>
      </c>
      <c r="O737" s="77">
        <v>0</v>
      </c>
      <c r="P737" s="77">
        <v>38.023462100000003</v>
      </c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  <c r="AG737" s="77"/>
    </row>
    <row r="738" spans="1:33" x14ac:dyDescent="0.25">
      <c r="A738" s="77" t="s">
        <v>4</v>
      </c>
      <c r="B738" s="77">
        <v>155.98747700000001</v>
      </c>
      <c r="C738" s="77">
        <v>0</v>
      </c>
      <c r="D738" s="77">
        <v>155.98747700000001</v>
      </c>
      <c r="E738" s="77">
        <v>72.1534549</v>
      </c>
      <c r="F738" s="77">
        <v>11.657047499999999</v>
      </c>
      <c r="G738" s="77">
        <v>56.434935899999999</v>
      </c>
      <c r="H738" s="77">
        <v>2.6196005900000001</v>
      </c>
      <c r="I738" s="77">
        <v>0</v>
      </c>
      <c r="J738" s="77">
        <v>0</v>
      </c>
      <c r="K738" s="77">
        <v>0</v>
      </c>
      <c r="L738" s="77">
        <v>0</v>
      </c>
      <c r="M738" s="77">
        <v>18.745022899999999</v>
      </c>
      <c r="N738" s="77">
        <v>0</v>
      </c>
      <c r="O738" s="77">
        <v>0</v>
      </c>
      <c r="P738" s="77">
        <v>-5.6225850499999996</v>
      </c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  <c r="AG738" s="77"/>
    </row>
    <row r="739" spans="1:33" x14ac:dyDescent="0.25">
      <c r="A739" s="77" t="s">
        <v>5</v>
      </c>
      <c r="B739" s="77">
        <v>37.952914700000001</v>
      </c>
      <c r="C739" s="77">
        <v>47.248275599999999</v>
      </c>
      <c r="D739" s="77">
        <v>-9.2953609200000002</v>
      </c>
      <c r="E739" s="77">
        <v>19.9531597</v>
      </c>
      <c r="F739" s="77">
        <v>5.0728082399999996</v>
      </c>
      <c r="G739" s="77">
        <v>12.5198006</v>
      </c>
      <c r="H739" s="77">
        <v>0.40714617600000003</v>
      </c>
      <c r="I739" s="77">
        <v>0</v>
      </c>
      <c r="J739" s="77">
        <v>0</v>
      </c>
      <c r="K739" s="77">
        <v>0</v>
      </c>
      <c r="L739" s="77">
        <v>0</v>
      </c>
      <c r="M739" s="77">
        <v>0</v>
      </c>
      <c r="N739" s="77">
        <v>0</v>
      </c>
      <c r="O739" s="77">
        <v>0</v>
      </c>
      <c r="P739" s="77">
        <v>0</v>
      </c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  <c r="AG739" s="77"/>
    </row>
    <row r="740" spans="1:33" x14ac:dyDescent="0.25">
      <c r="A740" s="77" t="s">
        <v>6</v>
      </c>
      <c r="B740" s="77">
        <v>0</v>
      </c>
      <c r="C740" s="77">
        <v>0</v>
      </c>
      <c r="D740" s="77">
        <v>0</v>
      </c>
      <c r="E740" s="77">
        <v>0</v>
      </c>
      <c r="F740" s="77">
        <v>0</v>
      </c>
      <c r="G740" s="77">
        <v>0</v>
      </c>
      <c r="H740" s="77">
        <v>0</v>
      </c>
      <c r="I740" s="77">
        <v>0</v>
      </c>
      <c r="J740" s="77">
        <v>0</v>
      </c>
      <c r="K740" s="77">
        <v>0</v>
      </c>
      <c r="L740" s="77">
        <v>0</v>
      </c>
      <c r="M740" s="77">
        <v>0</v>
      </c>
      <c r="N740" s="77">
        <v>0</v>
      </c>
      <c r="O740" s="77">
        <v>0</v>
      </c>
      <c r="P740" s="77">
        <v>0</v>
      </c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  <c r="AG740" s="77"/>
    </row>
    <row r="741" spans="1:33" x14ac:dyDescent="0.25">
      <c r="A741" s="77" t="s">
        <v>7</v>
      </c>
      <c r="B741" s="77">
        <v>102.962369</v>
      </c>
      <c r="C741" s="77">
        <v>202.04804899999999</v>
      </c>
      <c r="D741" s="77">
        <v>-99.085679499999998</v>
      </c>
      <c r="E741" s="77">
        <v>67.001760099999998</v>
      </c>
      <c r="F741" s="77">
        <v>13.7580686</v>
      </c>
      <c r="G741" s="77">
        <v>21.288152100000001</v>
      </c>
      <c r="H741" s="77">
        <v>0.91438855799999996</v>
      </c>
      <c r="I741" s="77">
        <v>0</v>
      </c>
      <c r="J741" s="77">
        <v>0</v>
      </c>
      <c r="K741" s="77">
        <v>0</v>
      </c>
      <c r="L741" s="77">
        <v>0</v>
      </c>
      <c r="M741" s="77">
        <v>0</v>
      </c>
      <c r="N741" s="77">
        <v>0</v>
      </c>
      <c r="O741" s="77">
        <v>0</v>
      </c>
      <c r="P741" s="77">
        <v>0</v>
      </c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  <c r="AG741" s="77"/>
    </row>
    <row r="742" spans="1:33" x14ac:dyDescent="0.25">
      <c r="A742" s="77" t="s">
        <v>8</v>
      </c>
      <c r="B742" s="77">
        <v>0</v>
      </c>
      <c r="C742" s="77">
        <v>0</v>
      </c>
      <c r="D742" s="77">
        <v>0</v>
      </c>
      <c r="E742" s="77">
        <v>0</v>
      </c>
      <c r="F742" s="77">
        <v>0</v>
      </c>
      <c r="G742" s="77">
        <v>0</v>
      </c>
      <c r="H742" s="77">
        <v>0</v>
      </c>
      <c r="I742" s="77">
        <v>0</v>
      </c>
      <c r="J742" s="77">
        <v>0</v>
      </c>
      <c r="K742" s="77">
        <v>0</v>
      </c>
      <c r="L742" s="77">
        <v>0</v>
      </c>
      <c r="M742" s="77">
        <v>0</v>
      </c>
      <c r="N742" s="77">
        <v>0</v>
      </c>
      <c r="O742" s="77">
        <v>0</v>
      </c>
      <c r="P742" s="77">
        <v>0</v>
      </c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  <c r="AG742" s="77"/>
    </row>
    <row r="743" spans="1:33" x14ac:dyDescent="0.25">
      <c r="A743" s="77" t="s">
        <v>9</v>
      </c>
      <c r="B743" s="77">
        <v>0</v>
      </c>
      <c r="C743" s="77">
        <v>0</v>
      </c>
      <c r="D743" s="77">
        <v>0</v>
      </c>
      <c r="E743" s="77">
        <v>0</v>
      </c>
      <c r="F743" s="77">
        <v>0</v>
      </c>
      <c r="G743" s="77">
        <v>0</v>
      </c>
      <c r="H743" s="77">
        <v>0</v>
      </c>
      <c r="I743" s="77">
        <v>0</v>
      </c>
      <c r="J743" s="77">
        <v>0</v>
      </c>
      <c r="K743" s="77">
        <v>0</v>
      </c>
      <c r="L743" s="77">
        <v>0</v>
      </c>
      <c r="M743" s="77">
        <v>0</v>
      </c>
      <c r="N743" s="77">
        <v>0</v>
      </c>
      <c r="O743" s="77">
        <v>0</v>
      </c>
      <c r="P743" s="77">
        <v>0</v>
      </c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  <c r="AG743" s="77"/>
    </row>
    <row r="744" spans="1:33" x14ac:dyDescent="0.25">
      <c r="A744" s="77" t="s">
        <v>10</v>
      </c>
      <c r="B744" s="77">
        <v>1.59482642</v>
      </c>
      <c r="C744" s="77">
        <v>0</v>
      </c>
      <c r="D744" s="77">
        <v>1.59482642</v>
      </c>
      <c r="E744" s="77">
        <v>-20.905750000000001</v>
      </c>
      <c r="F744" s="77">
        <v>-1.97075</v>
      </c>
      <c r="G744" s="77">
        <v>0.54394691399999995</v>
      </c>
      <c r="H744" s="77">
        <v>0</v>
      </c>
      <c r="I744" s="77">
        <v>0</v>
      </c>
      <c r="J744" s="77">
        <v>0</v>
      </c>
      <c r="K744" s="77">
        <v>23.554465799999999</v>
      </c>
      <c r="L744" s="77">
        <v>0</v>
      </c>
      <c r="M744" s="77">
        <v>0.37291366300000001</v>
      </c>
      <c r="N744" s="77">
        <v>0</v>
      </c>
      <c r="O744" s="77">
        <v>0</v>
      </c>
      <c r="P744" s="77">
        <v>0</v>
      </c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  <c r="AG744" s="77"/>
    </row>
    <row r="745" spans="1:33" x14ac:dyDescent="0.25">
      <c r="A745" s="77" t="s">
        <v>11</v>
      </c>
      <c r="B745" s="77">
        <v>5.1275468200000001</v>
      </c>
      <c r="C745" s="77">
        <v>0</v>
      </c>
      <c r="D745" s="77">
        <v>5.1275468200000001</v>
      </c>
      <c r="E745" s="77">
        <v>1.9883147800000001</v>
      </c>
      <c r="F745" s="77">
        <v>0.297044274</v>
      </c>
      <c r="G745" s="77">
        <v>1.7952316500000001</v>
      </c>
      <c r="H745" s="77">
        <v>9.1864849200000001E-2</v>
      </c>
      <c r="I745" s="77">
        <v>0</v>
      </c>
      <c r="J745" s="77">
        <v>0</v>
      </c>
      <c r="K745" s="77">
        <v>0</v>
      </c>
      <c r="L745" s="77">
        <v>0</v>
      </c>
      <c r="M745" s="77">
        <v>0.95509127000000005</v>
      </c>
      <c r="N745" s="77">
        <v>0</v>
      </c>
      <c r="O745" s="77">
        <v>0</v>
      </c>
      <c r="P745" s="77">
        <v>0</v>
      </c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  <c r="AG745" s="77"/>
    </row>
    <row r="746" spans="1:33" x14ac:dyDescent="0.25">
      <c r="A746" s="77" t="s">
        <v>12</v>
      </c>
      <c r="B746" s="77">
        <v>64.350498299999998</v>
      </c>
      <c r="C746" s="77">
        <v>32.400877000000001</v>
      </c>
      <c r="D746" s="77">
        <v>31.9496213</v>
      </c>
      <c r="E746" s="77">
        <v>38.887840400000002</v>
      </c>
      <c r="F746" s="77">
        <v>0.78730049000000002</v>
      </c>
      <c r="G746" s="77">
        <v>8.04580348</v>
      </c>
      <c r="H746" s="77">
        <v>0.22788270799999999</v>
      </c>
      <c r="I746" s="77">
        <v>0</v>
      </c>
      <c r="J746" s="77">
        <v>0</v>
      </c>
      <c r="K746" s="77">
        <v>2.10551011</v>
      </c>
      <c r="L746" s="77">
        <v>0</v>
      </c>
      <c r="M746" s="77">
        <v>14.296161100000001</v>
      </c>
      <c r="N746" s="77">
        <v>0</v>
      </c>
      <c r="O746" s="77">
        <v>0</v>
      </c>
      <c r="P746" s="77">
        <v>0</v>
      </c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  <c r="AG746" s="77"/>
    </row>
    <row r="747" spans="1:33" x14ac:dyDescent="0.25">
      <c r="A747" s="77" t="s">
        <v>13</v>
      </c>
      <c r="B747" s="77">
        <v>77.156977100000006</v>
      </c>
      <c r="C747" s="77">
        <v>0</v>
      </c>
      <c r="D747" s="77">
        <v>77.156977100000006</v>
      </c>
      <c r="E747" s="77">
        <v>52.579109799999998</v>
      </c>
      <c r="F747" s="77">
        <v>6.6548759200000003</v>
      </c>
      <c r="G747" s="77">
        <v>0</v>
      </c>
      <c r="H747" s="77">
        <v>0</v>
      </c>
      <c r="I747" s="77">
        <v>0</v>
      </c>
      <c r="J747" s="77">
        <v>0</v>
      </c>
      <c r="K747" s="77">
        <v>11.7337004</v>
      </c>
      <c r="L747" s="77">
        <v>0</v>
      </c>
      <c r="M747" s="77">
        <v>6.1892909999999999</v>
      </c>
      <c r="N747" s="77">
        <v>0</v>
      </c>
      <c r="O747" s="77">
        <v>0</v>
      </c>
      <c r="P747" s="77">
        <v>0</v>
      </c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  <c r="AG747" s="77"/>
    </row>
    <row r="748" spans="1:33" x14ac:dyDescent="0.25">
      <c r="A748" s="77" t="s">
        <v>14</v>
      </c>
      <c r="B748" s="77">
        <v>78.537824299999997</v>
      </c>
      <c r="C748" s="77">
        <v>0</v>
      </c>
      <c r="D748" s="77">
        <v>78.537824299999997</v>
      </c>
      <c r="E748" s="77">
        <v>17.351061900000001</v>
      </c>
      <c r="F748" s="77">
        <v>1.80555077</v>
      </c>
      <c r="G748" s="77">
        <v>27.2406726</v>
      </c>
      <c r="H748" s="77">
        <v>0.117738591</v>
      </c>
      <c r="I748" s="105">
        <v>0</v>
      </c>
      <c r="J748" s="77">
        <v>0</v>
      </c>
      <c r="K748" s="77">
        <v>0</v>
      </c>
      <c r="L748" s="77">
        <v>0</v>
      </c>
      <c r="M748" s="77">
        <v>32.022800500000002</v>
      </c>
      <c r="N748" s="77">
        <v>0</v>
      </c>
      <c r="O748" s="77">
        <v>0</v>
      </c>
      <c r="P748" s="77">
        <v>0</v>
      </c>
      <c r="R748" s="77"/>
      <c r="S748" s="77"/>
      <c r="T748" s="77"/>
      <c r="U748" s="77"/>
      <c r="V748" s="77"/>
      <c r="W748" s="77"/>
      <c r="X748" s="77"/>
      <c r="Y748" s="77"/>
      <c r="Z748" s="105"/>
      <c r="AA748" s="77"/>
      <c r="AB748" s="77"/>
      <c r="AC748" s="77"/>
      <c r="AD748" s="77"/>
      <c r="AE748" s="77"/>
      <c r="AF748" s="77"/>
      <c r="AG748" s="77"/>
    </row>
    <row r="749" spans="1:33" x14ac:dyDescent="0.25">
      <c r="A749" s="77" t="s">
        <v>451</v>
      </c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  <c r="AG749" s="77"/>
    </row>
    <row r="750" spans="1:33" x14ac:dyDescent="0.25">
      <c r="A750" s="77" t="s">
        <v>360</v>
      </c>
      <c r="B750" s="77" t="s">
        <v>18</v>
      </c>
      <c r="C750" s="77" t="s">
        <v>19</v>
      </c>
      <c r="D750" s="77" t="s">
        <v>20</v>
      </c>
      <c r="E750" s="77" t="s">
        <v>21</v>
      </c>
      <c r="F750" s="77" t="s">
        <v>22</v>
      </c>
      <c r="G750" s="77" t="s">
        <v>23</v>
      </c>
      <c r="H750" s="77" t="s">
        <v>361</v>
      </c>
      <c r="I750" s="77" t="s">
        <v>25</v>
      </c>
      <c r="J750" s="77" t="s">
        <v>362</v>
      </c>
      <c r="K750" s="77" t="s">
        <v>5</v>
      </c>
      <c r="L750" s="77" t="s">
        <v>6</v>
      </c>
      <c r="M750" s="77" t="s">
        <v>7</v>
      </c>
      <c r="N750" s="77" t="s">
        <v>8</v>
      </c>
      <c r="O750" s="77" t="s">
        <v>9</v>
      </c>
      <c r="P750" s="77" t="s">
        <v>363</v>
      </c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  <c r="AG750" s="77"/>
    </row>
    <row r="751" spans="1:33" x14ac:dyDescent="0.25">
      <c r="A751" s="77" t="s">
        <v>364</v>
      </c>
      <c r="B751" s="77" t="s">
        <v>370</v>
      </c>
      <c r="C751" s="77" t="s">
        <v>370</v>
      </c>
      <c r="D751" s="77" t="s">
        <v>370</v>
      </c>
      <c r="E751" s="77" t="s">
        <v>370</v>
      </c>
      <c r="F751" s="77" t="s">
        <v>370</v>
      </c>
      <c r="G751" s="77" t="s">
        <v>370</v>
      </c>
      <c r="H751" s="77" t="s">
        <v>370</v>
      </c>
      <c r="I751" s="77" t="s">
        <v>370</v>
      </c>
      <c r="J751" s="77" t="s">
        <v>370</v>
      </c>
      <c r="K751" s="77" t="s">
        <v>370</v>
      </c>
      <c r="L751" s="77" t="s">
        <v>370</v>
      </c>
      <c r="M751" s="77" t="s">
        <v>370</v>
      </c>
      <c r="N751" s="77" t="s">
        <v>370</v>
      </c>
      <c r="O751" s="77" t="s">
        <v>370</v>
      </c>
      <c r="P751" s="77" t="s">
        <v>370</v>
      </c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  <c r="AG751" s="77"/>
    </row>
    <row r="752" spans="1:33" x14ac:dyDescent="0.25">
      <c r="A752" s="77" t="s">
        <v>1</v>
      </c>
      <c r="B752" s="77">
        <v>0</v>
      </c>
      <c r="C752" s="77">
        <v>0</v>
      </c>
      <c r="D752" s="77">
        <v>0</v>
      </c>
      <c r="E752" s="77">
        <v>0</v>
      </c>
      <c r="F752" s="77">
        <v>0</v>
      </c>
      <c r="G752" s="77">
        <v>0</v>
      </c>
      <c r="H752" s="77">
        <v>0</v>
      </c>
      <c r="I752" s="77">
        <v>0</v>
      </c>
      <c r="J752" s="77">
        <v>0</v>
      </c>
      <c r="K752" s="77">
        <v>0</v>
      </c>
      <c r="L752" s="77">
        <v>0</v>
      </c>
      <c r="M752" s="77">
        <v>0</v>
      </c>
      <c r="N752" s="77">
        <v>0</v>
      </c>
      <c r="O752" s="77">
        <v>0</v>
      </c>
      <c r="P752" s="77">
        <v>0</v>
      </c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  <c r="AG752" s="77"/>
    </row>
    <row r="753" spans="1:33" x14ac:dyDescent="0.25">
      <c r="A753" s="77" t="s">
        <v>2</v>
      </c>
      <c r="B753" s="77">
        <v>1.0767063800000001</v>
      </c>
      <c r="C753" s="77">
        <v>0</v>
      </c>
      <c r="D753" s="77">
        <v>1.0767063800000001</v>
      </c>
      <c r="E753" s="77">
        <v>0</v>
      </c>
      <c r="F753" s="77">
        <v>0</v>
      </c>
      <c r="G753" s="77">
        <v>0</v>
      </c>
      <c r="H753" s="77">
        <v>0</v>
      </c>
      <c r="I753" s="77">
        <v>0</v>
      </c>
      <c r="J753" s="77">
        <v>0</v>
      </c>
      <c r="K753" s="77">
        <v>1.0767063800000001</v>
      </c>
      <c r="L753" s="77">
        <v>0</v>
      </c>
      <c r="M753" s="77">
        <v>0</v>
      </c>
      <c r="N753" s="77">
        <v>0</v>
      </c>
      <c r="O753" s="77">
        <v>0</v>
      </c>
      <c r="P753" s="77">
        <v>0</v>
      </c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  <c r="AG753" s="77"/>
    </row>
    <row r="754" spans="1:33" x14ac:dyDescent="0.25">
      <c r="A754" s="77" t="s">
        <v>3</v>
      </c>
      <c r="B754" s="77">
        <v>0.66533906499999995</v>
      </c>
      <c r="C754" s="77">
        <v>0</v>
      </c>
      <c r="D754" s="77">
        <v>0.66533906499999995</v>
      </c>
      <c r="E754" s="77">
        <v>0.31827578000000001</v>
      </c>
      <c r="F754" s="77">
        <v>5.8479366199999999E-3</v>
      </c>
      <c r="G754" s="77">
        <v>4.9333688399999999E-2</v>
      </c>
      <c r="H754" s="77">
        <v>8.7993499400000001E-4</v>
      </c>
      <c r="I754" s="77">
        <v>0</v>
      </c>
      <c r="J754" s="77">
        <v>0</v>
      </c>
      <c r="K754" s="77">
        <v>0.29100172499999999</v>
      </c>
      <c r="L754" s="77">
        <v>0</v>
      </c>
      <c r="M754" s="77">
        <v>0</v>
      </c>
      <c r="N754" s="77">
        <v>0</v>
      </c>
      <c r="O754" s="77">
        <v>0</v>
      </c>
      <c r="P754" s="77">
        <v>0</v>
      </c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  <c r="AG754" s="77"/>
    </row>
    <row r="755" spans="1:33" x14ac:dyDescent="0.25">
      <c r="A755" s="77" t="s">
        <v>4</v>
      </c>
      <c r="B755" s="77">
        <v>3.69183371</v>
      </c>
      <c r="C755" s="77">
        <v>0</v>
      </c>
      <c r="D755" s="77">
        <v>3.69183371</v>
      </c>
      <c r="E755" s="77">
        <v>1.4315866399999999</v>
      </c>
      <c r="F755" s="77">
        <v>0.21387187699999999</v>
      </c>
      <c r="G755" s="77">
        <v>1.29256679</v>
      </c>
      <c r="H755" s="77">
        <v>6.6142691399999995E-2</v>
      </c>
      <c r="I755" s="77">
        <v>0</v>
      </c>
      <c r="J755" s="77">
        <v>0</v>
      </c>
      <c r="K755" s="77">
        <v>0</v>
      </c>
      <c r="L755" s="77">
        <v>0</v>
      </c>
      <c r="M755" s="77">
        <v>0.68766571399999998</v>
      </c>
      <c r="N755" s="77">
        <v>0</v>
      </c>
      <c r="O755" s="77">
        <v>0</v>
      </c>
      <c r="P755" s="77">
        <v>0</v>
      </c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  <c r="AG755" s="77"/>
    </row>
    <row r="756" spans="1:33" x14ac:dyDescent="0.25">
      <c r="A756" s="77" t="s">
        <v>5</v>
      </c>
      <c r="B756" s="77">
        <v>1.0767063800000001</v>
      </c>
      <c r="C756" s="77">
        <v>1.3677081099999999</v>
      </c>
      <c r="D756" s="77">
        <v>-0.29100172499999999</v>
      </c>
      <c r="E756" s="77">
        <v>0.67883998700000003</v>
      </c>
      <c r="F756" s="77">
        <v>0.186329737</v>
      </c>
      <c r="G756" s="77">
        <v>0.198415222</v>
      </c>
      <c r="H756" s="77">
        <v>1.3121434899999999E-2</v>
      </c>
      <c r="I756" s="77">
        <v>0</v>
      </c>
      <c r="J756" s="77">
        <v>0</v>
      </c>
      <c r="K756" s="77">
        <v>0</v>
      </c>
      <c r="L756" s="77">
        <v>0</v>
      </c>
      <c r="M756" s="77">
        <v>0</v>
      </c>
      <c r="N756" s="77">
        <v>0</v>
      </c>
      <c r="O756" s="77">
        <v>0</v>
      </c>
      <c r="P756" s="77">
        <v>0</v>
      </c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  <c r="AG756" s="77"/>
    </row>
    <row r="757" spans="1:33" x14ac:dyDescent="0.25">
      <c r="A757" s="77" t="s">
        <v>6</v>
      </c>
      <c r="B757" s="77">
        <v>0</v>
      </c>
      <c r="C757" s="77">
        <v>0</v>
      </c>
      <c r="D757" s="77">
        <v>0</v>
      </c>
      <c r="E757" s="77">
        <v>0</v>
      </c>
      <c r="F757" s="77">
        <v>0</v>
      </c>
      <c r="G757" s="77">
        <v>0</v>
      </c>
      <c r="H757" s="77">
        <v>0</v>
      </c>
      <c r="I757" s="77">
        <v>0</v>
      </c>
      <c r="J757" s="77">
        <v>0</v>
      </c>
      <c r="K757" s="77">
        <v>0</v>
      </c>
      <c r="L757" s="77">
        <v>0</v>
      </c>
      <c r="M757" s="77">
        <v>0</v>
      </c>
      <c r="N757" s="77">
        <v>0</v>
      </c>
      <c r="O757" s="77">
        <v>0</v>
      </c>
      <c r="P757" s="77">
        <v>0</v>
      </c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  <c r="AG757" s="77"/>
    </row>
    <row r="758" spans="1:33" x14ac:dyDescent="0.25">
      <c r="A758" s="77" t="s">
        <v>7</v>
      </c>
      <c r="B758" s="77">
        <v>1.6473070000000001</v>
      </c>
      <c r="C758" s="77">
        <v>0.68766571399999998</v>
      </c>
      <c r="D758" s="77">
        <v>0.95964128199999998</v>
      </c>
      <c r="E758" s="77">
        <v>1.2032153999999999</v>
      </c>
      <c r="F758" s="77">
        <v>0.15916361600000001</v>
      </c>
      <c r="G758" s="77">
        <v>0.27001582600000001</v>
      </c>
      <c r="H758" s="77">
        <v>1.49121562E-2</v>
      </c>
      <c r="I758" s="77">
        <v>0</v>
      </c>
      <c r="J758" s="77">
        <v>0</v>
      </c>
      <c r="K758" s="77">
        <v>0</v>
      </c>
      <c r="L758" s="77">
        <v>0</v>
      </c>
      <c r="M758" s="77">
        <v>0</v>
      </c>
      <c r="N758" s="77">
        <v>0</v>
      </c>
      <c r="O758" s="77">
        <v>0</v>
      </c>
      <c r="P758" s="77">
        <v>0</v>
      </c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  <c r="AG758" s="77"/>
    </row>
    <row r="759" spans="1:33" x14ac:dyDescent="0.25">
      <c r="A759" s="77" t="s">
        <v>8</v>
      </c>
      <c r="B759" s="77">
        <v>0</v>
      </c>
      <c r="C759" s="77">
        <v>0</v>
      </c>
      <c r="D759" s="77">
        <v>0</v>
      </c>
      <c r="E759" s="77">
        <v>0</v>
      </c>
      <c r="F759" s="77">
        <v>0</v>
      </c>
      <c r="G759" s="77">
        <v>0</v>
      </c>
      <c r="H759" s="77">
        <v>0</v>
      </c>
      <c r="I759" s="77">
        <v>0</v>
      </c>
      <c r="J759" s="77">
        <v>0</v>
      </c>
      <c r="K759" s="77">
        <v>0</v>
      </c>
      <c r="L759" s="77">
        <v>0</v>
      </c>
      <c r="M759" s="77">
        <v>0</v>
      </c>
      <c r="N759" s="77">
        <v>0</v>
      </c>
      <c r="O759" s="77">
        <v>0</v>
      </c>
      <c r="P759" s="77">
        <v>0</v>
      </c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  <c r="AG759" s="77"/>
    </row>
    <row r="760" spans="1:33" x14ac:dyDescent="0.25">
      <c r="A760" s="77" t="s">
        <v>9</v>
      </c>
      <c r="B760" s="77">
        <v>0</v>
      </c>
      <c r="C760" s="77">
        <v>0</v>
      </c>
      <c r="D760" s="77">
        <v>0</v>
      </c>
      <c r="E760" s="77">
        <v>0</v>
      </c>
      <c r="F760" s="77">
        <v>0</v>
      </c>
      <c r="G760" s="77">
        <v>0</v>
      </c>
      <c r="H760" s="77">
        <v>0</v>
      </c>
      <c r="I760" s="77">
        <v>0</v>
      </c>
      <c r="J760" s="77">
        <v>0</v>
      </c>
      <c r="K760" s="77">
        <v>0</v>
      </c>
      <c r="L760" s="77">
        <v>0</v>
      </c>
      <c r="M760" s="77">
        <v>0</v>
      </c>
      <c r="N760" s="77">
        <v>0</v>
      </c>
      <c r="O760" s="77">
        <v>0</v>
      </c>
      <c r="P760" s="77">
        <v>0</v>
      </c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  <c r="AG760" s="77"/>
    </row>
    <row r="761" spans="1:33" x14ac:dyDescent="0.25">
      <c r="A761" s="77" t="s">
        <v>10</v>
      </c>
      <c r="B761" s="77">
        <v>0</v>
      </c>
      <c r="C761" s="77">
        <v>0</v>
      </c>
      <c r="D761" s="77">
        <v>0</v>
      </c>
      <c r="E761" s="77">
        <v>0</v>
      </c>
      <c r="F761" s="77">
        <v>0</v>
      </c>
      <c r="G761" s="77">
        <v>0</v>
      </c>
      <c r="H761" s="77">
        <v>0</v>
      </c>
      <c r="I761" s="77">
        <v>0</v>
      </c>
      <c r="J761" s="77">
        <v>0</v>
      </c>
      <c r="K761" s="77">
        <v>0</v>
      </c>
      <c r="L761" s="77">
        <v>0</v>
      </c>
      <c r="M761" s="77">
        <v>0</v>
      </c>
      <c r="N761" s="77">
        <v>0</v>
      </c>
      <c r="O761" s="77">
        <v>0</v>
      </c>
      <c r="P761" s="77">
        <v>0</v>
      </c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  <c r="AG761" s="77"/>
    </row>
    <row r="762" spans="1:33" x14ac:dyDescent="0.25">
      <c r="A762" s="77" t="s">
        <v>11</v>
      </c>
      <c r="B762" s="77">
        <v>0</v>
      </c>
      <c r="C762" s="77">
        <v>0</v>
      </c>
      <c r="D762" s="77">
        <v>0</v>
      </c>
      <c r="E762" s="77">
        <v>0</v>
      </c>
      <c r="F762" s="77">
        <v>0</v>
      </c>
      <c r="G762" s="77">
        <v>0</v>
      </c>
      <c r="H762" s="77">
        <v>0</v>
      </c>
      <c r="I762" s="77">
        <v>0</v>
      </c>
      <c r="J762" s="77">
        <v>0</v>
      </c>
      <c r="K762" s="77">
        <v>0</v>
      </c>
      <c r="L762" s="77">
        <v>0</v>
      </c>
      <c r="M762" s="77">
        <v>0</v>
      </c>
      <c r="N762" s="77">
        <v>0</v>
      </c>
      <c r="O762" s="77">
        <v>0</v>
      </c>
      <c r="P762" s="77">
        <v>0</v>
      </c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  <c r="AG762" s="77"/>
    </row>
    <row r="763" spans="1:33" x14ac:dyDescent="0.25">
      <c r="A763" s="77" t="s">
        <v>12</v>
      </c>
      <c r="B763" s="77">
        <v>0</v>
      </c>
      <c r="C763" s="77">
        <v>0</v>
      </c>
      <c r="D763" s="77">
        <v>0</v>
      </c>
      <c r="E763" s="77">
        <v>0</v>
      </c>
      <c r="F763" s="77">
        <v>0</v>
      </c>
      <c r="G763" s="77">
        <v>0</v>
      </c>
      <c r="H763" s="77">
        <v>0</v>
      </c>
      <c r="I763" s="77">
        <v>0</v>
      </c>
      <c r="J763" s="77">
        <v>0</v>
      </c>
      <c r="K763" s="77">
        <v>0</v>
      </c>
      <c r="L763" s="77">
        <v>0</v>
      </c>
      <c r="M763" s="77">
        <v>0</v>
      </c>
      <c r="N763" s="77">
        <v>0</v>
      </c>
      <c r="O763" s="77">
        <v>0</v>
      </c>
      <c r="P763" s="77">
        <v>0</v>
      </c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  <c r="AG763" s="77"/>
    </row>
    <row r="764" spans="1:33" x14ac:dyDescent="0.25">
      <c r="A764" s="77" t="s">
        <v>13</v>
      </c>
      <c r="B764" s="77">
        <v>0</v>
      </c>
      <c r="C764" s="77">
        <v>0</v>
      </c>
      <c r="D764" s="77">
        <v>0</v>
      </c>
      <c r="E764" s="77">
        <v>0</v>
      </c>
      <c r="F764" s="77">
        <v>0</v>
      </c>
      <c r="G764" s="77">
        <v>0</v>
      </c>
      <c r="H764" s="77">
        <v>0</v>
      </c>
      <c r="I764" s="77">
        <v>0</v>
      </c>
      <c r="J764" s="77">
        <v>0</v>
      </c>
      <c r="K764" s="77">
        <v>0</v>
      </c>
      <c r="L764" s="77">
        <v>0</v>
      </c>
      <c r="M764" s="77">
        <v>0</v>
      </c>
      <c r="N764" s="77">
        <v>0</v>
      </c>
      <c r="O764" s="77">
        <v>0</v>
      </c>
      <c r="P764" s="77">
        <v>0</v>
      </c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  <c r="AG764" s="77"/>
    </row>
    <row r="765" spans="1:33" x14ac:dyDescent="0.25">
      <c r="A765" s="77" t="s">
        <v>14</v>
      </c>
      <c r="B765" s="77">
        <v>0</v>
      </c>
      <c r="C765" s="77">
        <v>0</v>
      </c>
      <c r="D765" s="77">
        <v>0</v>
      </c>
      <c r="E765" s="77">
        <v>0</v>
      </c>
      <c r="F765" s="77">
        <v>0</v>
      </c>
      <c r="G765" s="77">
        <v>0</v>
      </c>
      <c r="H765" s="77">
        <v>0</v>
      </c>
      <c r="I765" s="77">
        <v>0</v>
      </c>
      <c r="J765" s="77">
        <v>0</v>
      </c>
      <c r="K765" s="77">
        <v>0</v>
      </c>
      <c r="L765" s="77">
        <v>0</v>
      </c>
      <c r="M765" s="77">
        <v>0</v>
      </c>
      <c r="N765" s="77">
        <v>0</v>
      </c>
      <c r="O765" s="77">
        <v>0</v>
      </c>
      <c r="P765" s="77">
        <v>0</v>
      </c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  <c r="AG765" s="77"/>
    </row>
    <row r="766" spans="1:33" s="108" customFormat="1" ht="21" x14ac:dyDescent="0.35">
      <c r="A766" s="106" t="s">
        <v>452</v>
      </c>
      <c r="B766" s="106"/>
      <c r="C766" s="106"/>
      <c r="D766" s="106"/>
      <c r="E766" s="106"/>
      <c r="F766" s="106"/>
      <c r="G766" s="106"/>
      <c r="H766" s="106"/>
      <c r="I766" s="106"/>
      <c r="J766" s="106"/>
      <c r="K766" s="106"/>
      <c r="L766" s="106"/>
      <c r="M766" s="106"/>
      <c r="N766" s="106"/>
      <c r="O766" s="106"/>
      <c r="P766" s="106"/>
      <c r="Q766" s="107" t="s">
        <v>405</v>
      </c>
      <c r="R766" s="106"/>
      <c r="S766" s="106"/>
      <c r="T766" s="106"/>
      <c r="U766" s="106"/>
      <c r="V766" s="106"/>
      <c r="W766" s="106"/>
      <c r="X766" s="106"/>
      <c r="Y766" s="106"/>
      <c r="Z766" s="106"/>
      <c r="AA766" s="106"/>
      <c r="AB766" s="106"/>
      <c r="AC766" s="106"/>
      <c r="AD766" s="106"/>
      <c r="AE766" s="106"/>
      <c r="AF766" s="106"/>
      <c r="AG766" s="106"/>
    </row>
    <row r="767" spans="1:33" x14ac:dyDescent="0.25">
      <c r="A767" s="77" t="s">
        <v>360</v>
      </c>
      <c r="B767" s="77" t="s">
        <v>18</v>
      </c>
      <c r="C767" s="77" t="s">
        <v>19</v>
      </c>
      <c r="D767" s="77" t="s">
        <v>20</v>
      </c>
      <c r="E767" s="77" t="s">
        <v>21</v>
      </c>
      <c r="F767" s="77" t="s">
        <v>22</v>
      </c>
      <c r="G767" s="77" t="s">
        <v>23</v>
      </c>
      <c r="H767" s="77" t="s">
        <v>361</v>
      </c>
      <c r="I767" s="77" t="s">
        <v>25</v>
      </c>
      <c r="J767" s="77" t="s">
        <v>362</v>
      </c>
      <c r="K767" s="77" t="s">
        <v>5</v>
      </c>
      <c r="L767" s="77" t="s">
        <v>6</v>
      </c>
      <c r="M767" s="77" t="s">
        <v>7</v>
      </c>
      <c r="N767" s="77" t="s">
        <v>8</v>
      </c>
      <c r="O767" s="77" t="s">
        <v>9</v>
      </c>
      <c r="P767" s="77" t="s">
        <v>363</v>
      </c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  <c r="AG767" s="77"/>
    </row>
    <row r="768" spans="1:33" x14ac:dyDescent="0.25">
      <c r="A768" s="77" t="s">
        <v>364</v>
      </c>
      <c r="B768" s="77" t="s">
        <v>365</v>
      </c>
      <c r="C768" s="77" t="s">
        <v>365</v>
      </c>
      <c r="D768" s="77" t="s">
        <v>365</v>
      </c>
      <c r="E768" s="77" t="s">
        <v>365</v>
      </c>
      <c r="F768" s="77" t="s">
        <v>365</v>
      </c>
      <c r="G768" s="77" t="s">
        <v>365</v>
      </c>
      <c r="H768" s="77" t="s">
        <v>365</v>
      </c>
      <c r="I768" s="77" t="s">
        <v>365</v>
      </c>
      <c r="J768" s="77" t="s">
        <v>365</v>
      </c>
      <c r="K768" s="77" t="s">
        <v>365</v>
      </c>
      <c r="L768" s="77" t="s">
        <v>365</v>
      </c>
      <c r="M768" s="77" t="s">
        <v>365</v>
      </c>
      <c r="N768" s="77" t="s">
        <v>365</v>
      </c>
      <c r="O768" s="77" t="s">
        <v>365</v>
      </c>
      <c r="P768" s="77" t="s">
        <v>365</v>
      </c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  <c r="AG768" s="77"/>
    </row>
    <row r="769" spans="1:33" x14ac:dyDescent="0.25">
      <c r="A769" s="77" t="s">
        <v>1</v>
      </c>
      <c r="B769" s="77">
        <v>0</v>
      </c>
      <c r="C769" s="77">
        <v>0</v>
      </c>
      <c r="D769" s="77">
        <v>0</v>
      </c>
      <c r="E769" s="77">
        <v>0</v>
      </c>
      <c r="F769" s="77">
        <v>0</v>
      </c>
      <c r="G769" s="77">
        <v>0</v>
      </c>
      <c r="H769" s="77">
        <v>0</v>
      </c>
      <c r="I769" s="77">
        <v>0</v>
      </c>
      <c r="J769" s="77">
        <v>0</v>
      </c>
      <c r="K769" s="77">
        <v>0</v>
      </c>
      <c r="L769" s="77">
        <v>0</v>
      </c>
      <c r="M769" s="77">
        <v>0</v>
      </c>
      <c r="N769" s="77">
        <v>0</v>
      </c>
      <c r="O769" s="77">
        <v>0</v>
      </c>
      <c r="P769" s="77">
        <v>0</v>
      </c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  <c r="AG769" s="77"/>
    </row>
    <row r="770" spans="1:33" x14ac:dyDescent="0.25">
      <c r="A770" s="77" t="s">
        <v>2</v>
      </c>
      <c r="B770" s="77">
        <v>0</v>
      </c>
      <c r="C770" s="77">
        <v>0</v>
      </c>
      <c r="D770" s="77">
        <v>0</v>
      </c>
      <c r="E770" s="77">
        <v>0</v>
      </c>
      <c r="F770" s="77">
        <v>0</v>
      </c>
      <c r="G770" s="77">
        <v>0</v>
      </c>
      <c r="H770" s="77">
        <v>0</v>
      </c>
      <c r="I770" s="77">
        <v>0</v>
      </c>
      <c r="J770" s="77">
        <v>0</v>
      </c>
      <c r="K770" s="77">
        <v>0</v>
      </c>
      <c r="L770" s="77">
        <v>0</v>
      </c>
      <c r="M770" s="77">
        <v>0</v>
      </c>
      <c r="N770" s="77">
        <v>0</v>
      </c>
      <c r="O770" s="77">
        <v>0</v>
      </c>
      <c r="P770" s="77">
        <v>0</v>
      </c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  <c r="AG770" s="77"/>
    </row>
    <row r="771" spans="1:33" x14ac:dyDescent="0.25">
      <c r="A771" s="77" t="s">
        <v>3</v>
      </c>
      <c r="B771" s="77">
        <v>267.44645600000001</v>
      </c>
      <c r="C771" s="77">
        <v>0</v>
      </c>
      <c r="D771" s="77">
        <v>267.44645600000001</v>
      </c>
      <c r="E771" s="77">
        <v>177.84015099999999</v>
      </c>
      <c r="F771" s="77">
        <v>0</v>
      </c>
      <c r="G771" s="77">
        <v>60.848016800000003</v>
      </c>
      <c r="H771" s="77">
        <v>0</v>
      </c>
      <c r="I771" s="77">
        <v>0</v>
      </c>
      <c r="J771" s="77">
        <v>0</v>
      </c>
      <c r="K771" s="77">
        <v>28.758288</v>
      </c>
      <c r="L771" s="77">
        <v>0</v>
      </c>
      <c r="M771" s="77">
        <v>0</v>
      </c>
      <c r="N771" s="77">
        <v>0</v>
      </c>
      <c r="O771" s="77">
        <v>0</v>
      </c>
      <c r="P771" s="77">
        <v>0</v>
      </c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  <c r="AG771" s="77"/>
    </row>
    <row r="772" spans="1:33" x14ac:dyDescent="0.25">
      <c r="A772" s="77" t="s">
        <v>4</v>
      </c>
      <c r="B772" s="77">
        <v>351.92242800000002</v>
      </c>
      <c r="C772" s="77">
        <v>0</v>
      </c>
      <c r="D772" s="77">
        <v>351.92242800000002</v>
      </c>
      <c r="E772" s="77">
        <v>182.13744600000001</v>
      </c>
      <c r="F772" s="77">
        <v>0</v>
      </c>
      <c r="G772" s="77">
        <v>169.78498200000001</v>
      </c>
      <c r="H772" s="77">
        <v>0</v>
      </c>
      <c r="I772" s="77">
        <v>0</v>
      </c>
      <c r="J772" s="77">
        <v>0</v>
      </c>
      <c r="K772" s="77">
        <v>0</v>
      </c>
      <c r="L772" s="77">
        <v>0</v>
      </c>
      <c r="M772" s="77">
        <v>0</v>
      </c>
      <c r="N772" s="77">
        <v>0</v>
      </c>
      <c r="O772" s="77">
        <v>0</v>
      </c>
      <c r="P772" s="77">
        <v>0</v>
      </c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  <c r="AG772" s="77"/>
    </row>
    <row r="773" spans="1:33" x14ac:dyDescent="0.25">
      <c r="A773" s="77" t="s">
        <v>5</v>
      </c>
      <c r="B773" s="77">
        <v>28.758288</v>
      </c>
      <c r="C773" s="77">
        <v>28.758288</v>
      </c>
      <c r="D773" s="77">
        <v>0</v>
      </c>
      <c r="E773" s="77">
        <v>17.755256500000002</v>
      </c>
      <c r="F773" s="77">
        <v>0</v>
      </c>
      <c r="G773" s="77">
        <v>11.0030316</v>
      </c>
      <c r="H773" s="77">
        <v>0</v>
      </c>
      <c r="I773" s="77">
        <v>0</v>
      </c>
      <c r="J773" s="77">
        <v>0</v>
      </c>
      <c r="K773" s="77">
        <v>0</v>
      </c>
      <c r="L773" s="77">
        <v>0</v>
      </c>
      <c r="M773" s="77">
        <v>0</v>
      </c>
      <c r="N773" s="77">
        <v>0</v>
      </c>
      <c r="O773" s="77">
        <v>0</v>
      </c>
      <c r="P773" s="77">
        <v>0</v>
      </c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  <c r="AG773" s="77"/>
    </row>
    <row r="774" spans="1:33" x14ac:dyDescent="0.25">
      <c r="A774" s="77" t="s">
        <v>6</v>
      </c>
      <c r="B774" s="77">
        <v>0</v>
      </c>
      <c r="C774" s="77">
        <v>0</v>
      </c>
      <c r="D774" s="77">
        <v>0</v>
      </c>
      <c r="E774" s="77">
        <v>0</v>
      </c>
      <c r="F774" s="77">
        <v>0</v>
      </c>
      <c r="G774" s="77">
        <v>0</v>
      </c>
      <c r="H774" s="77">
        <v>0</v>
      </c>
      <c r="I774" s="77">
        <v>0</v>
      </c>
      <c r="J774" s="77">
        <v>0</v>
      </c>
      <c r="K774" s="77">
        <v>0</v>
      </c>
      <c r="L774" s="77">
        <v>0</v>
      </c>
      <c r="M774" s="77">
        <v>0</v>
      </c>
      <c r="N774" s="77">
        <v>0</v>
      </c>
      <c r="O774" s="77">
        <v>0</v>
      </c>
      <c r="P774" s="77">
        <v>0</v>
      </c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  <c r="AG774" s="77"/>
    </row>
    <row r="775" spans="1:33" x14ac:dyDescent="0.25">
      <c r="A775" s="77" t="s">
        <v>7</v>
      </c>
      <c r="B775" s="77">
        <v>0</v>
      </c>
      <c r="C775" s="77">
        <v>0</v>
      </c>
      <c r="D775" s="77">
        <v>0</v>
      </c>
      <c r="E775" s="77">
        <v>0</v>
      </c>
      <c r="F775" s="77">
        <v>0</v>
      </c>
      <c r="G775" s="77">
        <v>0</v>
      </c>
      <c r="H775" s="77">
        <v>0</v>
      </c>
      <c r="I775" s="77">
        <v>0</v>
      </c>
      <c r="J775" s="77">
        <v>0</v>
      </c>
      <c r="K775" s="77">
        <v>0</v>
      </c>
      <c r="L775" s="77">
        <v>0</v>
      </c>
      <c r="M775" s="77">
        <v>0</v>
      </c>
      <c r="N775" s="77">
        <v>0</v>
      </c>
      <c r="O775" s="77">
        <v>0</v>
      </c>
      <c r="P775" s="77">
        <v>0</v>
      </c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  <c r="AG775" s="77"/>
    </row>
    <row r="776" spans="1:33" x14ac:dyDescent="0.25">
      <c r="A776" s="77" t="s">
        <v>8</v>
      </c>
      <c r="B776" s="77">
        <v>0</v>
      </c>
      <c r="C776" s="77">
        <v>0</v>
      </c>
      <c r="D776" s="77">
        <v>0</v>
      </c>
      <c r="E776" s="77">
        <v>0</v>
      </c>
      <c r="F776" s="77">
        <v>0</v>
      </c>
      <c r="G776" s="77">
        <v>0</v>
      </c>
      <c r="H776" s="77">
        <v>0</v>
      </c>
      <c r="I776" s="77">
        <v>0</v>
      </c>
      <c r="J776" s="77">
        <v>0</v>
      </c>
      <c r="K776" s="77">
        <v>0</v>
      </c>
      <c r="L776" s="77">
        <v>0</v>
      </c>
      <c r="M776" s="77">
        <v>0</v>
      </c>
      <c r="N776" s="77">
        <v>0</v>
      </c>
      <c r="O776" s="77">
        <v>0</v>
      </c>
      <c r="P776" s="77">
        <v>0</v>
      </c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  <c r="AG776" s="77"/>
    </row>
    <row r="777" spans="1:33" x14ac:dyDescent="0.25">
      <c r="A777" s="77" t="s">
        <v>9</v>
      </c>
      <c r="B777" s="77">
        <v>0</v>
      </c>
      <c r="C777" s="77">
        <v>0</v>
      </c>
      <c r="D777" s="77">
        <v>0</v>
      </c>
      <c r="E777" s="77">
        <v>0</v>
      </c>
      <c r="F777" s="77">
        <v>0</v>
      </c>
      <c r="G777" s="77">
        <v>0</v>
      </c>
      <c r="H777" s="77">
        <v>0</v>
      </c>
      <c r="I777" s="77">
        <v>0</v>
      </c>
      <c r="J777" s="77">
        <v>0</v>
      </c>
      <c r="K777" s="77">
        <v>0</v>
      </c>
      <c r="L777" s="77">
        <v>0</v>
      </c>
      <c r="M777" s="77">
        <v>0</v>
      </c>
      <c r="N777" s="77">
        <v>0</v>
      </c>
      <c r="O777" s="77">
        <v>0</v>
      </c>
      <c r="P777" s="77">
        <v>0</v>
      </c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  <c r="AG777" s="77"/>
    </row>
    <row r="778" spans="1:33" x14ac:dyDescent="0.25">
      <c r="A778" s="77" t="s">
        <v>10</v>
      </c>
      <c r="B778" s="77">
        <v>0</v>
      </c>
      <c r="C778" s="77">
        <v>0</v>
      </c>
      <c r="D778" s="77">
        <v>0</v>
      </c>
      <c r="E778" s="77">
        <v>0</v>
      </c>
      <c r="F778" s="77">
        <v>0</v>
      </c>
      <c r="G778" s="77">
        <v>0</v>
      </c>
      <c r="H778" s="77">
        <v>0</v>
      </c>
      <c r="I778" s="77">
        <v>0</v>
      </c>
      <c r="J778" s="77">
        <v>0</v>
      </c>
      <c r="K778" s="77">
        <v>0</v>
      </c>
      <c r="L778" s="77">
        <v>0</v>
      </c>
      <c r="M778" s="77">
        <v>0</v>
      </c>
      <c r="N778" s="77">
        <v>0</v>
      </c>
      <c r="O778" s="77">
        <v>0</v>
      </c>
      <c r="P778" s="77">
        <v>0</v>
      </c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  <c r="AG778" s="77"/>
    </row>
    <row r="779" spans="1:33" x14ac:dyDescent="0.25">
      <c r="A779" s="77" t="s">
        <v>11</v>
      </c>
      <c r="B779" s="77">
        <v>0</v>
      </c>
      <c r="C779" s="77">
        <v>0</v>
      </c>
      <c r="D779" s="77">
        <v>0</v>
      </c>
      <c r="E779" s="77">
        <v>0</v>
      </c>
      <c r="F779" s="77">
        <v>0</v>
      </c>
      <c r="G779" s="77">
        <v>0</v>
      </c>
      <c r="H779" s="77">
        <v>0</v>
      </c>
      <c r="I779" s="77">
        <v>0</v>
      </c>
      <c r="J779" s="77">
        <v>0</v>
      </c>
      <c r="K779" s="77">
        <v>0</v>
      </c>
      <c r="L779" s="77">
        <v>0</v>
      </c>
      <c r="M779" s="77">
        <v>0</v>
      </c>
      <c r="N779" s="77">
        <v>0</v>
      </c>
      <c r="O779" s="77">
        <v>0</v>
      </c>
      <c r="P779" s="77">
        <v>0</v>
      </c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  <c r="AG779" s="77"/>
    </row>
    <row r="780" spans="1:33" x14ac:dyDescent="0.25">
      <c r="A780" s="77" t="s">
        <v>12</v>
      </c>
      <c r="B780" s="77">
        <v>0</v>
      </c>
      <c r="C780" s="77">
        <v>0</v>
      </c>
      <c r="D780" s="77">
        <v>0</v>
      </c>
      <c r="E780" s="77">
        <v>0</v>
      </c>
      <c r="F780" s="77">
        <v>0</v>
      </c>
      <c r="G780" s="77">
        <v>0</v>
      </c>
      <c r="H780" s="77">
        <v>0</v>
      </c>
      <c r="I780" s="77">
        <v>0</v>
      </c>
      <c r="J780" s="77">
        <v>0</v>
      </c>
      <c r="K780" s="77">
        <v>0</v>
      </c>
      <c r="L780" s="77">
        <v>0</v>
      </c>
      <c r="M780" s="77">
        <v>0</v>
      </c>
      <c r="N780" s="77">
        <v>0</v>
      </c>
      <c r="O780" s="77">
        <v>0</v>
      </c>
      <c r="P780" s="77">
        <v>0</v>
      </c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  <c r="AG780" s="77"/>
    </row>
    <row r="781" spans="1:33" x14ac:dyDescent="0.25">
      <c r="A781" s="77" t="s">
        <v>13</v>
      </c>
      <c r="B781" s="77">
        <v>0</v>
      </c>
      <c r="C781" s="77">
        <v>0</v>
      </c>
      <c r="D781" s="77">
        <v>0</v>
      </c>
      <c r="E781" s="77">
        <v>0</v>
      </c>
      <c r="F781" s="77">
        <v>0</v>
      </c>
      <c r="G781" s="77">
        <v>0</v>
      </c>
      <c r="H781" s="77">
        <v>0</v>
      </c>
      <c r="I781" s="77">
        <v>0</v>
      </c>
      <c r="J781" s="77">
        <v>0</v>
      </c>
      <c r="K781" s="77">
        <v>0</v>
      </c>
      <c r="L781" s="77">
        <v>0</v>
      </c>
      <c r="M781" s="77">
        <v>0</v>
      </c>
      <c r="N781" s="77">
        <v>0</v>
      </c>
      <c r="O781" s="77">
        <v>0</v>
      </c>
      <c r="P781" s="77">
        <v>0</v>
      </c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  <c r="AG781" s="77"/>
    </row>
    <row r="782" spans="1:33" x14ac:dyDescent="0.25">
      <c r="A782" s="77" t="s">
        <v>14</v>
      </c>
      <c r="B782" s="77">
        <v>0</v>
      </c>
      <c r="C782" s="77">
        <v>0</v>
      </c>
      <c r="D782" s="77">
        <v>0</v>
      </c>
      <c r="E782" s="77">
        <v>0</v>
      </c>
      <c r="F782" s="77">
        <v>0</v>
      </c>
      <c r="G782" s="77">
        <v>0</v>
      </c>
      <c r="H782" s="77">
        <v>0</v>
      </c>
      <c r="I782" s="77">
        <v>0</v>
      </c>
      <c r="J782" s="77">
        <v>0</v>
      </c>
      <c r="K782" s="77">
        <v>0</v>
      </c>
      <c r="L782" s="77">
        <v>0</v>
      </c>
      <c r="M782" s="77">
        <v>0</v>
      </c>
      <c r="N782" s="77">
        <v>0</v>
      </c>
      <c r="O782" s="77">
        <v>0</v>
      </c>
      <c r="P782" s="77">
        <v>0</v>
      </c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  <c r="AG782" s="77"/>
    </row>
    <row r="783" spans="1:33" x14ac:dyDescent="0.25">
      <c r="A783" s="77" t="s">
        <v>453</v>
      </c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  <c r="AG783" s="77"/>
    </row>
    <row r="784" spans="1:33" x14ac:dyDescent="0.25">
      <c r="A784" s="77" t="s">
        <v>360</v>
      </c>
      <c r="B784" s="77" t="s">
        <v>366</v>
      </c>
      <c r="C784" s="77" t="s">
        <v>367</v>
      </c>
      <c r="D784" s="77" t="s">
        <v>368</v>
      </c>
      <c r="E784" s="77" t="s">
        <v>21</v>
      </c>
      <c r="F784" s="77" t="s">
        <v>22</v>
      </c>
      <c r="G784" s="77" t="s">
        <v>23</v>
      </c>
      <c r="H784" s="77" t="s">
        <v>361</v>
      </c>
      <c r="I784" s="77" t="s">
        <v>25</v>
      </c>
      <c r="J784" s="77" t="s">
        <v>362</v>
      </c>
      <c r="K784" s="77" t="s">
        <v>5</v>
      </c>
      <c r="L784" s="77" t="s">
        <v>6</v>
      </c>
      <c r="M784" s="77" t="s">
        <v>7</v>
      </c>
      <c r="N784" s="77" t="s">
        <v>8</v>
      </c>
      <c r="O784" s="77" t="s">
        <v>9</v>
      </c>
      <c r="P784" s="77" t="s">
        <v>363</v>
      </c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  <c r="AG784" s="77"/>
    </row>
    <row r="785" spans="1:33" x14ac:dyDescent="0.25">
      <c r="A785" s="77" t="s">
        <v>364</v>
      </c>
      <c r="B785" s="77" t="s">
        <v>369</v>
      </c>
      <c r="C785" s="77" t="s">
        <v>369</v>
      </c>
      <c r="D785" s="77" t="s">
        <v>369</v>
      </c>
      <c r="E785" s="77" t="s">
        <v>369</v>
      </c>
      <c r="F785" s="77" t="s">
        <v>369</v>
      </c>
      <c r="G785" s="77" t="s">
        <v>369</v>
      </c>
      <c r="H785" s="77" t="s">
        <v>369</v>
      </c>
      <c r="I785" s="77" t="s">
        <v>369</v>
      </c>
      <c r="J785" s="77" t="s">
        <v>369</v>
      </c>
      <c r="K785" s="77" t="s">
        <v>369</v>
      </c>
      <c r="L785" s="77" t="s">
        <v>369</v>
      </c>
      <c r="M785" s="77" t="s">
        <v>369</v>
      </c>
      <c r="N785" s="77" t="s">
        <v>369</v>
      </c>
      <c r="O785" s="77" t="s">
        <v>369</v>
      </c>
      <c r="P785" s="77" t="s">
        <v>369</v>
      </c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  <c r="AG785" s="77"/>
    </row>
    <row r="786" spans="1:33" x14ac:dyDescent="0.25">
      <c r="A786" s="77" t="s">
        <v>1</v>
      </c>
      <c r="B786" s="77">
        <v>0</v>
      </c>
      <c r="C786" s="77">
        <v>0</v>
      </c>
      <c r="D786" s="77">
        <v>0</v>
      </c>
      <c r="E786" s="77">
        <v>0</v>
      </c>
      <c r="F786" s="77">
        <v>0</v>
      </c>
      <c r="G786" s="77">
        <v>0</v>
      </c>
      <c r="H786" s="77">
        <v>0</v>
      </c>
      <c r="I786" s="77">
        <v>0</v>
      </c>
      <c r="J786" s="77">
        <v>0</v>
      </c>
      <c r="K786" s="77">
        <v>0</v>
      </c>
      <c r="L786" s="77">
        <v>0</v>
      </c>
      <c r="M786" s="77">
        <v>0</v>
      </c>
      <c r="N786" s="77">
        <v>0</v>
      </c>
      <c r="O786" s="77">
        <v>0</v>
      </c>
      <c r="P786" s="77">
        <v>0</v>
      </c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  <c r="AG786" s="77"/>
    </row>
    <row r="787" spans="1:33" x14ac:dyDescent="0.25">
      <c r="A787" s="77" t="s">
        <v>2</v>
      </c>
      <c r="B787" s="77">
        <v>13.3593265</v>
      </c>
      <c r="C787" s="77">
        <v>0</v>
      </c>
      <c r="D787" s="77">
        <v>13.3593265</v>
      </c>
      <c r="E787" s="77">
        <v>0</v>
      </c>
      <c r="F787" s="77">
        <v>0</v>
      </c>
      <c r="G787" s="77">
        <v>0</v>
      </c>
      <c r="H787" s="77">
        <v>0</v>
      </c>
      <c r="I787" s="77">
        <v>0</v>
      </c>
      <c r="J787" s="77">
        <v>0</v>
      </c>
      <c r="K787" s="77">
        <v>13.3593265</v>
      </c>
      <c r="L787" s="77">
        <v>0</v>
      </c>
      <c r="M787" s="77">
        <v>0</v>
      </c>
      <c r="N787" s="77">
        <v>0</v>
      </c>
      <c r="O787" s="77">
        <v>0</v>
      </c>
      <c r="P787" s="77">
        <v>0</v>
      </c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  <c r="AG787" s="77"/>
    </row>
    <row r="788" spans="1:33" x14ac:dyDescent="0.25">
      <c r="A788" s="77" t="s">
        <v>3</v>
      </c>
      <c r="B788" s="77">
        <v>87.018183100000002</v>
      </c>
      <c r="C788" s="77">
        <v>0</v>
      </c>
      <c r="D788" s="77">
        <v>87.018183100000002</v>
      </c>
      <c r="E788" s="77">
        <v>59.656589599999997</v>
      </c>
      <c r="F788" s="77">
        <v>0</v>
      </c>
      <c r="G788" s="77">
        <v>20.611833000000001</v>
      </c>
      <c r="H788" s="77">
        <v>0</v>
      </c>
      <c r="I788" s="77">
        <v>0</v>
      </c>
      <c r="J788" s="77">
        <v>0</v>
      </c>
      <c r="K788" s="77">
        <v>6.74976048</v>
      </c>
      <c r="L788" s="77">
        <v>0</v>
      </c>
      <c r="M788" s="77">
        <v>0</v>
      </c>
      <c r="N788" s="77">
        <v>0</v>
      </c>
      <c r="O788" s="77">
        <v>0</v>
      </c>
      <c r="P788" s="105">
        <v>8.2945916800000002E-15</v>
      </c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  <c r="AG788" s="105"/>
    </row>
    <row r="789" spans="1:33" x14ac:dyDescent="0.25">
      <c r="A789" s="77" t="s">
        <v>4</v>
      </c>
      <c r="B789" s="77">
        <v>96.063698299999999</v>
      </c>
      <c r="C789" s="77">
        <v>0</v>
      </c>
      <c r="D789" s="77">
        <v>96.063698299999999</v>
      </c>
      <c r="E789" s="77">
        <v>54.747542500000002</v>
      </c>
      <c r="F789" s="77">
        <v>0</v>
      </c>
      <c r="G789" s="77">
        <v>41.316155799999997</v>
      </c>
      <c r="H789" s="77">
        <v>0</v>
      </c>
      <c r="I789" s="77">
        <v>0</v>
      </c>
      <c r="J789" s="77">
        <v>0</v>
      </c>
      <c r="K789" s="77">
        <v>0</v>
      </c>
      <c r="L789" s="77">
        <v>0</v>
      </c>
      <c r="M789" s="77">
        <v>0</v>
      </c>
      <c r="N789" s="77">
        <v>0</v>
      </c>
      <c r="O789" s="77">
        <v>0</v>
      </c>
      <c r="P789" s="105">
        <v>-1.90241735E-13</v>
      </c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  <c r="AG789" s="105"/>
    </row>
    <row r="790" spans="1:33" x14ac:dyDescent="0.25">
      <c r="A790" s="77" t="s">
        <v>5</v>
      </c>
      <c r="B790" s="77">
        <v>60.398002099999999</v>
      </c>
      <c r="C790" s="77">
        <v>62.260054599999997</v>
      </c>
      <c r="D790" s="77">
        <v>-1.86205252</v>
      </c>
      <c r="E790" s="77">
        <v>35.618138299999998</v>
      </c>
      <c r="F790" s="77">
        <v>0</v>
      </c>
      <c r="G790" s="77">
        <v>24.779863800000001</v>
      </c>
      <c r="H790" s="77">
        <v>0</v>
      </c>
      <c r="I790" s="77">
        <v>0</v>
      </c>
      <c r="J790" s="77">
        <v>0</v>
      </c>
      <c r="K790" s="77">
        <v>0</v>
      </c>
      <c r="L790" s="77">
        <v>0</v>
      </c>
      <c r="M790" s="77">
        <v>0</v>
      </c>
      <c r="N790" s="77">
        <v>0</v>
      </c>
      <c r="O790" s="77">
        <v>0</v>
      </c>
      <c r="P790" s="77">
        <v>0</v>
      </c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  <c r="AG790" s="77"/>
    </row>
    <row r="791" spans="1:33" x14ac:dyDescent="0.25">
      <c r="A791" s="77" t="s">
        <v>6</v>
      </c>
      <c r="B791" s="77">
        <v>0</v>
      </c>
      <c r="C791" s="77">
        <v>0</v>
      </c>
      <c r="D791" s="77">
        <v>0</v>
      </c>
      <c r="E791" s="77">
        <v>0</v>
      </c>
      <c r="F791" s="77">
        <v>0</v>
      </c>
      <c r="G791" s="77">
        <v>0</v>
      </c>
      <c r="H791" s="77">
        <v>0</v>
      </c>
      <c r="I791" s="77">
        <v>0</v>
      </c>
      <c r="J791" s="77">
        <v>0</v>
      </c>
      <c r="K791" s="77">
        <v>0</v>
      </c>
      <c r="L791" s="77">
        <v>0</v>
      </c>
      <c r="M791" s="77">
        <v>0</v>
      </c>
      <c r="N791" s="77">
        <v>0</v>
      </c>
      <c r="O791" s="77">
        <v>0</v>
      </c>
      <c r="P791" s="77">
        <v>0</v>
      </c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  <c r="AG791" s="77"/>
    </row>
    <row r="792" spans="1:33" x14ac:dyDescent="0.25">
      <c r="A792" s="77" t="s">
        <v>7</v>
      </c>
      <c r="B792" s="77">
        <v>0</v>
      </c>
      <c r="C792" s="77">
        <v>0</v>
      </c>
      <c r="D792" s="77">
        <v>0</v>
      </c>
      <c r="E792" s="77">
        <v>0</v>
      </c>
      <c r="F792" s="77">
        <v>0</v>
      </c>
      <c r="G792" s="77">
        <v>0</v>
      </c>
      <c r="H792" s="77">
        <v>0</v>
      </c>
      <c r="I792" s="77">
        <v>0</v>
      </c>
      <c r="J792" s="77">
        <v>0</v>
      </c>
      <c r="K792" s="77">
        <v>0</v>
      </c>
      <c r="L792" s="77">
        <v>0</v>
      </c>
      <c r="M792" s="77">
        <v>0</v>
      </c>
      <c r="N792" s="77">
        <v>0</v>
      </c>
      <c r="O792" s="77">
        <v>0</v>
      </c>
      <c r="P792" s="77">
        <v>0</v>
      </c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  <c r="AG792" s="77"/>
    </row>
    <row r="793" spans="1:33" x14ac:dyDescent="0.25">
      <c r="A793" s="77" t="s">
        <v>8</v>
      </c>
      <c r="B793" s="77">
        <v>0</v>
      </c>
      <c r="C793" s="77">
        <v>0</v>
      </c>
      <c r="D793" s="77">
        <v>0</v>
      </c>
      <c r="E793" s="77">
        <v>0</v>
      </c>
      <c r="F793" s="77">
        <v>0</v>
      </c>
      <c r="G793" s="77">
        <v>0</v>
      </c>
      <c r="H793" s="77">
        <v>0</v>
      </c>
      <c r="I793" s="77">
        <v>0</v>
      </c>
      <c r="J793" s="77">
        <v>0</v>
      </c>
      <c r="K793" s="77">
        <v>0</v>
      </c>
      <c r="L793" s="77">
        <v>0</v>
      </c>
      <c r="M793" s="77">
        <v>0</v>
      </c>
      <c r="N793" s="77">
        <v>0</v>
      </c>
      <c r="O793" s="77">
        <v>0</v>
      </c>
      <c r="P793" s="77">
        <v>0</v>
      </c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  <c r="AG793" s="77"/>
    </row>
    <row r="794" spans="1:33" x14ac:dyDescent="0.25">
      <c r="A794" s="77" t="s">
        <v>9</v>
      </c>
      <c r="B794" s="77">
        <v>0</v>
      </c>
      <c r="C794" s="77">
        <v>0</v>
      </c>
      <c r="D794" s="77">
        <v>0</v>
      </c>
      <c r="E794" s="77">
        <v>0</v>
      </c>
      <c r="F794" s="77">
        <v>0</v>
      </c>
      <c r="G794" s="77">
        <v>0</v>
      </c>
      <c r="H794" s="77">
        <v>0</v>
      </c>
      <c r="I794" s="77">
        <v>0</v>
      </c>
      <c r="J794" s="77">
        <v>0</v>
      </c>
      <c r="K794" s="77">
        <v>0</v>
      </c>
      <c r="L794" s="77">
        <v>0</v>
      </c>
      <c r="M794" s="77">
        <v>0</v>
      </c>
      <c r="N794" s="77">
        <v>0</v>
      </c>
      <c r="O794" s="77">
        <v>0</v>
      </c>
      <c r="P794" s="77">
        <v>0</v>
      </c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  <c r="AG794" s="77"/>
    </row>
    <row r="795" spans="1:33" x14ac:dyDescent="0.25">
      <c r="A795" s="77" t="s">
        <v>10</v>
      </c>
      <c r="B795" s="77">
        <v>27.476899100000001</v>
      </c>
      <c r="C795" s="77">
        <v>0</v>
      </c>
      <c r="D795" s="77">
        <v>27.476899100000001</v>
      </c>
      <c r="E795" s="77">
        <v>0</v>
      </c>
      <c r="F795" s="77">
        <v>0</v>
      </c>
      <c r="G795" s="77">
        <v>0</v>
      </c>
      <c r="H795" s="77">
        <v>0</v>
      </c>
      <c r="I795" s="77">
        <v>0</v>
      </c>
      <c r="J795" s="77">
        <v>0</v>
      </c>
      <c r="K795" s="77">
        <v>27.476899100000001</v>
      </c>
      <c r="L795" s="77">
        <v>0</v>
      </c>
      <c r="M795" s="77">
        <v>0</v>
      </c>
      <c r="N795" s="77">
        <v>0</v>
      </c>
      <c r="O795" s="77">
        <v>0</v>
      </c>
      <c r="P795" s="77">
        <v>0</v>
      </c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  <c r="AG795" s="77"/>
    </row>
    <row r="796" spans="1:33" x14ac:dyDescent="0.25">
      <c r="A796" s="77" t="s">
        <v>11</v>
      </c>
      <c r="B796" s="77">
        <v>1.55031907</v>
      </c>
      <c r="C796" s="77">
        <v>0</v>
      </c>
      <c r="D796" s="77">
        <v>1.55031907</v>
      </c>
      <c r="E796" s="77">
        <v>0.80236760600000001</v>
      </c>
      <c r="F796" s="77">
        <v>0</v>
      </c>
      <c r="G796" s="77">
        <v>0.74795146099999998</v>
      </c>
      <c r="H796" s="77">
        <v>0</v>
      </c>
      <c r="I796" s="77">
        <v>0</v>
      </c>
      <c r="J796" s="77">
        <v>0</v>
      </c>
      <c r="K796" s="77">
        <v>0</v>
      </c>
      <c r="L796" s="77">
        <v>0</v>
      </c>
      <c r="M796" s="77">
        <v>0</v>
      </c>
      <c r="N796" s="77">
        <v>0</v>
      </c>
      <c r="O796" s="77">
        <v>0</v>
      </c>
      <c r="P796" s="77">
        <v>0</v>
      </c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  <c r="AG796" s="77"/>
    </row>
    <row r="797" spans="1:33" x14ac:dyDescent="0.25">
      <c r="A797" s="77" t="s">
        <v>12</v>
      </c>
      <c r="B797" s="77">
        <v>77.380985600000002</v>
      </c>
      <c r="C797" s="105">
        <v>-1.8194714400000001E-13</v>
      </c>
      <c r="D797" s="77">
        <v>77.380985600000002</v>
      </c>
      <c r="E797" s="77">
        <v>62.626249000000001</v>
      </c>
      <c r="F797" s="77">
        <v>0</v>
      </c>
      <c r="G797" s="77">
        <v>12.2235765</v>
      </c>
      <c r="H797" s="77">
        <v>0</v>
      </c>
      <c r="I797" s="77">
        <v>0</v>
      </c>
      <c r="J797" s="77">
        <v>0</v>
      </c>
      <c r="K797" s="77">
        <v>2.5311601800000001</v>
      </c>
      <c r="L797" s="77">
        <v>0</v>
      </c>
      <c r="M797" s="77">
        <v>0</v>
      </c>
      <c r="N797" s="77">
        <v>0</v>
      </c>
      <c r="O797" s="77">
        <v>0</v>
      </c>
      <c r="P797" s="77">
        <v>0</v>
      </c>
      <c r="R797" s="77"/>
      <c r="S797" s="77"/>
      <c r="T797" s="105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  <c r="AG797" s="77"/>
    </row>
    <row r="798" spans="1:33" x14ac:dyDescent="0.25">
      <c r="A798" s="77" t="s">
        <v>13</v>
      </c>
      <c r="B798" s="77">
        <v>52.698576899999999</v>
      </c>
      <c r="C798" s="77">
        <v>0</v>
      </c>
      <c r="D798" s="77">
        <v>52.698576899999999</v>
      </c>
      <c r="E798" s="77">
        <v>40.555668500000003</v>
      </c>
      <c r="F798" s="77">
        <v>0</v>
      </c>
      <c r="G798" s="77">
        <v>0</v>
      </c>
      <c r="H798" s="77">
        <v>0</v>
      </c>
      <c r="I798" s="77">
        <v>0</v>
      </c>
      <c r="J798" s="77">
        <v>0</v>
      </c>
      <c r="K798" s="77">
        <v>12.1429083</v>
      </c>
      <c r="L798" s="77">
        <v>0</v>
      </c>
      <c r="M798" s="77">
        <v>0</v>
      </c>
      <c r="N798" s="77">
        <v>0</v>
      </c>
      <c r="O798" s="77">
        <v>0</v>
      </c>
      <c r="P798" s="77">
        <v>0</v>
      </c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  <c r="AG798" s="77"/>
    </row>
    <row r="799" spans="1:33" x14ac:dyDescent="0.25">
      <c r="A799" s="77" t="s">
        <v>14</v>
      </c>
      <c r="B799" s="77">
        <v>-1.11013651E-13</v>
      </c>
      <c r="C799" s="77">
        <v>0</v>
      </c>
      <c r="D799" s="77">
        <v>-1.11013651E-13</v>
      </c>
      <c r="E799" s="77">
        <v>-8.8661909099999998E-14</v>
      </c>
      <c r="F799" s="77">
        <v>0</v>
      </c>
      <c r="G799" s="77">
        <v>-2.2351741799999999E-14</v>
      </c>
      <c r="H799" s="77">
        <v>0</v>
      </c>
      <c r="I799" s="105">
        <v>0</v>
      </c>
      <c r="J799" s="77">
        <v>0</v>
      </c>
      <c r="K799" s="77">
        <v>0</v>
      </c>
      <c r="L799" s="77">
        <v>0</v>
      </c>
      <c r="M799" s="77">
        <v>0</v>
      </c>
      <c r="N799" s="77">
        <v>0</v>
      </c>
      <c r="O799" s="77">
        <v>0</v>
      </c>
      <c r="P799" s="77">
        <v>0</v>
      </c>
      <c r="R799" s="77"/>
      <c r="S799" s="105"/>
      <c r="T799" s="77"/>
      <c r="U799" s="105"/>
      <c r="V799" s="105"/>
      <c r="W799" s="77"/>
      <c r="X799" s="105"/>
      <c r="Y799" s="77"/>
      <c r="Z799" s="105"/>
      <c r="AA799" s="77"/>
      <c r="AB799" s="77"/>
      <c r="AC799" s="77"/>
      <c r="AD799" s="77"/>
      <c r="AE799" s="77"/>
      <c r="AF799" s="77"/>
      <c r="AG799" s="77"/>
    </row>
    <row r="800" spans="1:33" x14ac:dyDescent="0.25">
      <c r="A800" s="77" t="s">
        <v>454</v>
      </c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  <c r="AG800" s="77"/>
    </row>
    <row r="801" spans="1:33" x14ac:dyDescent="0.25">
      <c r="A801" s="77" t="s">
        <v>360</v>
      </c>
      <c r="B801" s="77" t="s">
        <v>18</v>
      </c>
      <c r="C801" s="77" t="s">
        <v>19</v>
      </c>
      <c r="D801" s="77" t="s">
        <v>20</v>
      </c>
      <c r="E801" s="77" t="s">
        <v>21</v>
      </c>
      <c r="F801" s="77" t="s">
        <v>22</v>
      </c>
      <c r="G801" s="77" t="s">
        <v>23</v>
      </c>
      <c r="H801" s="77" t="s">
        <v>361</v>
      </c>
      <c r="I801" s="77" t="s">
        <v>25</v>
      </c>
      <c r="J801" s="77" t="s">
        <v>362</v>
      </c>
      <c r="K801" s="77" t="s">
        <v>5</v>
      </c>
      <c r="L801" s="77" t="s">
        <v>6</v>
      </c>
      <c r="M801" s="77" t="s">
        <v>7</v>
      </c>
      <c r="N801" s="77" t="s">
        <v>8</v>
      </c>
      <c r="O801" s="77" t="s">
        <v>9</v>
      </c>
      <c r="P801" s="77" t="s">
        <v>363</v>
      </c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  <c r="AG801" s="77"/>
    </row>
    <row r="802" spans="1:33" x14ac:dyDescent="0.25">
      <c r="A802" s="77" t="s">
        <v>364</v>
      </c>
      <c r="B802" s="77" t="s">
        <v>370</v>
      </c>
      <c r="C802" s="77" t="s">
        <v>370</v>
      </c>
      <c r="D802" s="77" t="s">
        <v>370</v>
      </c>
      <c r="E802" s="77" t="s">
        <v>370</v>
      </c>
      <c r="F802" s="77" t="s">
        <v>370</v>
      </c>
      <c r="G802" s="77" t="s">
        <v>370</v>
      </c>
      <c r="H802" s="77" t="s">
        <v>370</v>
      </c>
      <c r="I802" s="77" t="s">
        <v>370</v>
      </c>
      <c r="J802" s="77" t="s">
        <v>370</v>
      </c>
      <c r="K802" s="77" t="s">
        <v>370</v>
      </c>
      <c r="L802" s="77" t="s">
        <v>370</v>
      </c>
      <c r="M802" s="77" t="s">
        <v>370</v>
      </c>
      <c r="N802" s="77" t="s">
        <v>370</v>
      </c>
      <c r="O802" s="77" t="s">
        <v>370</v>
      </c>
      <c r="P802" s="77" t="s">
        <v>370</v>
      </c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  <c r="AG802" s="77"/>
    </row>
    <row r="803" spans="1:33" x14ac:dyDescent="0.25">
      <c r="A803" s="77" t="s">
        <v>1</v>
      </c>
      <c r="B803" s="77">
        <v>0</v>
      </c>
      <c r="C803" s="77">
        <v>0</v>
      </c>
      <c r="D803" s="77">
        <v>0</v>
      </c>
      <c r="E803" s="77">
        <v>0</v>
      </c>
      <c r="F803" s="77">
        <v>0</v>
      </c>
      <c r="G803" s="77">
        <v>0</v>
      </c>
      <c r="H803" s="77">
        <v>0</v>
      </c>
      <c r="I803" s="77">
        <v>0</v>
      </c>
      <c r="J803" s="77">
        <v>0</v>
      </c>
      <c r="K803" s="77">
        <v>0</v>
      </c>
      <c r="L803" s="77">
        <v>0</v>
      </c>
      <c r="M803" s="77">
        <v>0</v>
      </c>
      <c r="N803" s="77">
        <v>0</v>
      </c>
      <c r="O803" s="77">
        <v>0</v>
      </c>
      <c r="P803" s="77">
        <v>0</v>
      </c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  <c r="AG803" s="77"/>
    </row>
    <row r="804" spans="1:33" x14ac:dyDescent="0.25">
      <c r="A804" s="77" t="s">
        <v>2</v>
      </c>
      <c r="B804" s="77">
        <v>2.1022093100000001</v>
      </c>
      <c r="C804" s="77">
        <v>0</v>
      </c>
      <c r="D804" s="77">
        <v>2.1022093100000001</v>
      </c>
      <c r="E804" s="77">
        <v>0</v>
      </c>
      <c r="F804" s="77">
        <v>0</v>
      </c>
      <c r="G804" s="77">
        <v>0</v>
      </c>
      <c r="H804" s="77">
        <v>0</v>
      </c>
      <c r="I804" s="77">
        <v>0</v>
      </c>
      <c r="J804" s="77">
        <v>0</v>
      </c>
      <c r="K804" s="77">
        <v>2.1022093100000001</v>
      </c>
      <c r="L804" s="77">
        <v>0</v>
      </c>
      <c r="M804" s="77">
        <v>0</v>
      </c>
      <c r="N804" s="77">
        <v>0</v>
      </c>
      <c r="O804" s="77">
        <v>0</v>
      </c>
      <c r="P804" s="77">
        <v>0</v>
      </c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  <c r="AG804" s="77"/>
    </row>
    <row r="805" spans="1:33" x14ac:dyDescent="0.25">
      <c r="A805" s="77" t="s">
        <v>3</v>
      </c>
      <c r="B805" s="77">
        <v>5.2838204400000004</v>
      </c>
      <c r="C805" s="77">
        <v>0</v>
      </c>
      <c r="D805" s="77">
        <v>5.2838204400000004</v>
      </c>
      <c r="E805" s="77">
        <v>3.5135086100000001</v>
      </c>
      <c r="F805" s="77">
        <v>0</v>
      </c>
      <c r="G805" s="77">
        <v>1.2021471500000001</v>
      </c>
      <c r="H805" s="77">
        <v>0</v>
      </c>
      <c r="I805" s="77">
        <v>0</v>
      </c>
      <c r="J805" s="77">
        <v>0</v>
      </c>
      <c r="K805" s="77">
        <v>0.56816467900000001</v>
      </c>
      <c r="L805" s="77">
        <v>0</v>
      </c>
      <c r="M805" s="77">
        <v>0</v>
      </c>
      <c r="N805" s="77">
        <v>0</v>
      </c>
      <c r="O805" s="77">
        <v>0</v>
      </c>
      <c r="P805" s="77">
        <v>0</v>
      </c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  <c r="AG805" s="77"/>
    </row>
    <row r="806" spans="1:33" x14ac:dyDescent="0.25">
      <c r="A806" s="77" t="s">
        <v>4</v>
      </c>
      <c r="B806" s="77">
        <v>2.7905743200000002</v>
      </c>
      <c r="C806" s="77">
        <v>0</v>
      </c>
      <c r="D806" s="77">
        <v>2.7905743200000002</v>
      </c>
      <c r="E806" s="77">
        <v>1.44426169</v>
      </c>
      <c r="F806" s="77">
        <v>0</v>
      </c>
      <c r="G806" s="77">
        <v>1.3463126299999999</v>
      </c>
      <c r="H806" s="77">
        <v>0</v>
      </c>
      <c r="I806" s="77">
        <v>0</v>
      </c>
      <c r="J806" s="77">
        <v>0</v>
      </c>
      <c r="K806" s="77">
        <v>0</v>
      </c>
      <c r="L806" s="77">
        <v>0</v>
      </c>
      <c r="M806" s="77">
        <v>0</v>
      </c>
      <c r="N806" s="77">
        <v>0</v>
      </c>
      <c r="O806" s="77">
        <v>0</v>
      </c>
      <c r="P806" s="77">
        <v>0</v>
      </c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  <c r="AG806" s="77"/>
    </row>
    <row r="807" spans="1:33" x14ac:dyDescent="0.25">
      <c r="A807" s="77" t="s">
        <v>5</v>
      </c>
      <c r="B807" s="77">
        <v>2.1022093100000001</v>
      </c>
      <c r="C807" s="77">
        <v>2.6703739899999999</v>
      </c>
      <c r="D807" s="77">
        <v>-0.56816467900000001</v>
      </c>
      <c r="E807" s="77">
        <v>1.29789595</v>
      </c>
      <c r="F807" s="77">
        <v>0</v>
      </c>
      <c r="G807" s="77">
        <v>0.80431336499999995</v>
      </c>
      <c r="H807" s="77">
        <v>0</v>
      </c>
      <c r="I807" s="77">
        <v>0</v>
      </c>
      <c r="J807" s="77">
        <v>0</v>
      </c>
      <c r="K807" s="77">
        <v>0</v>
      </c>
      <c r="L807" s="77">
        <v>0</v>
      </c>
      <c r="M807" s="77">
        <v>0</v>
      </c>
      <c r="N807" s="77">
        <v>0</v>
      </c>
      <c r="O807" s="77">
        <v>0</v>
      </c>
      <c r="P807" s="77">
        <v>0</v>
      </c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  <c r="AG807" s="77"/>
    </row>
    <row r="808" spans="1:33" x14ac:dyDescent="0.25">
      <c r="A808" s="77" t="s">
        <v>6</v>
      </c>
      <c r="B808" s="77">
        <v>0</v>
      </c>
      <c r="C808" s="77">
        <v>0</v>
      </c>
      <c r="D808" s="77">
        <v>0</v>
      </c>
      <c r="E808" s="77">
        <v>0</v>
      </c>
      <c r="F808" s="77">
        <v>0</v>
      </c>
      <c r="G808" s="77">
        <v>0</v>
      </c>
      <c r="H808" s="77">
        <v>0</v>
      </c>
      <c r="I808" s="77">
        <v>0</v>
      </c>
      <c r="J808" s="77">
        <v>0</v>
      </c>
      <c r="K808" s="77">
        <v>0</v>
      </c>
      <c r="L808" s="77">
        <v>0</v>
      </c>
      <c r="M808" s="77">
        <v>0</v>
      </c>
      <c r="N808" s="77">
        <v>0</v>
      </c>
      <c r="O808" s="77">
        <v>0</v>
      </c>
      <c r="P808" s="77">
        <v>0</v>
      </c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  <c r="AG808" s="77"/>
    </row>
    <row r="809" spans="1:33" x14ac:dyDescent="0.25">
      <c r="A809" s="77" t="s">
        <v>7</v>
      </c>
      <c r="B809" s="77">
        <v>0</v>
      </c>
      <c r="C809" s="77">
        <v>0</v>
      </c>
      <c r="D809" s="77">
        <v>0</v>
      </c>
      <c r="E809" s="77">
        <v>0</v>
      </c>
      <c r="F809" s="77">
        <v>0</v>
      </c>
      <c r="G809" s="77">
        <v>0</v>
      </c>
      <c r="H809" s="77">
        <v>0</v>
      </c>
      <c r="I809" s="77">
        <v>0</v>
      </c>
      <c r="J809" s="77">
        <v>0</v>
      </c>
      <c r="K809" s="77">
        <v>0</v>
      </c>
      <c r="L809" s="77">
        <v>0</v>
      </c>
      <c r="M809" s="77">
        <v>0</v>
      </c>
      <c r="N809" s="77">
        <v>0</v>
      </c>
      <c r="O809" s="77">
        <v>0</v>
      </c>
      <c r="P809" s="77">
        <v>0</v>
      </c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  <c r="AG809" s="77"/>
    </row>
    <row r="810" spans="1:33" x14ac:dyDescent="0.25">
      <c r="A810" s="77" t="s">
        <v>8</v>
      </c>
      <c r="B810" s="77">
        <v>0</v>
      </c>
      <c r="C810" s="77">
        <v>0</v>
      </c>
      <c r="D810" s="77">
        <v>0</v>
      </c>
      <c r="E810" s="77">
        <v>0</v>
      </c>
      <c r="F810" s="77">
        <v>0</v>
      </c>
      <c r="G810" s="77">
        <v>0</v>
      </c>
      <c r="H810" s="77">
        <v>0</v>
      </c>
      <c r="I810" s="77">
        <v>0</v>
      </c>
      <c r="J810" s="77">
        <v>0</v>
      </c>
      <c r="K810" s="77">
        <v>0</v>
      </c>
      <c r="L810" s="77">
        <v>0</v>
      </c>
      <c r="M810" s="77">
        <v>0</v>
      </c>
      <c r="N810" s="77">
        <v>0</v>
      </c>
      <c r="O810" s="77">
        <v>0</v>
      </c>
      <c r="P810" s="77">
        <v>0</v>
      </c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  <c r="AG810" s="77"/>
    </row>
    <row r="811" spans="1:33" x14ac:dyDescent="0.25">
      <c r="A811" s="77" t="s">
        <v>9</v>
      </c>
      <c r="B811" s="77">
        <v>0</v>
      </c>
      <c r="C811" s="77">
        <v>0</v>
      </c>
      <c r="D811" s="77">
        <v>0</v>
      </c>
      <c r="E811" s="77">
        <v>0</v>
      </c>
      <c r="F811" s="77">
        <v>0</v>
      </c>
      <c r="G811" s="77">
        <v>0</v>
      </c>
      <c r="H811" s="77">
        <v>0</v>
      </c>
      <c r="I811" s="77">
        <v>0</v>
      </c>
      <c r="J811" s="77">
        <v>0</v>
      </c>
      <c r="K811" s="77">
        <v>0</v>
      </c>
      <c r="L811" s="77">
        <v>0</v>
      </c>
      <c r="M811" s="77">
        <v>0</v>
      </c>
      <c r="N811" s="77">
        <v>0</v>
      </c>
      <c r="O811" s="77">
        <v>0</v>
      </c>
      <c r="P811" s="77">
        <v>0</v>
      </c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  <c r="AG811" s="77"/>
    </row>
    <row r="812" spans="1:33" x14ac:dyDescent="0.25">
      <c r="A812" s="77" t="s">
        <v>10</v>
      </c>
      <c r="B812" s="77">
        <v>0</v>
      </c>
      <c r="C812" s="77">
        <v>0</v>
      </c>
      <c r="D812" s="77">
        <v>0</v>
      </c>
      <c r="E812" s="77">
        <v>0</v>
      </c>
      <c r="F812" s="77">
        <v>0</v>
      </c>
      <c r="G812" s="77">
        <v>0</v>
      </c>
      <c r="H812" s="77">
        <v>0</v>
      </c>
      <c r="I812" s="77">
        <v>0</v>
      </c>
      <c r="J812" s="77">
        <v>0</v>
      </c>
      <c r="K812" s="77">
        <v>0</v>
      </c>
      <c r="L812" s="77">
        <v>0</v>
      </c>
      <c r="M812" s="77">
        <v>0</v>
      </c>
      <c r="N812" s="77">
        <v>0</v>
      </c>
      <c r="O812" s="77">
        <v>0</v>
      </c>
      <c r="P812" s="77">
        <v>0</v>
      </c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  <c r="AG812" s="77"/>
    </row>
    <row r="813" spans="1:33" x14ac:dyDescent="0.25">
      <c r="A813" s="77" t="s">
        <v>11</v>
      </c>
      <c r="B813" s="77">
        <v>0</v>
      </c>
      <c r="C813" s="77">
        <v>0</v>
      </c>
      <c r="D813" s="77">
        <v>0</v>
      </c>
      <c r="E813" s="77">
        <v>0</v>
      </c>
      <c r="F813" s="77">
        <v>0</v>
      </c>
      <c r="G813" s="77">
        <v>0</v>
      </c>
      <c r="H813" s="77">
        <v>0</v>
      </c>
      <c r="I813" s="77">
        <v>0</v>
      </c>
      <c r="J813" s="77">
        <v>0</v>
      </c>
      <c r="K813" s="77">
        <v>0</v>
      </c>
      <c r="L813" s="77">
        <v>0</v>
      </c>
      <c r="M813" s="77">
        <v>0</v>
      </c>
      <c r="N813" s="77">
        <v>0</v>
      </c>
      <c r="O813" s="77">
        <v>0</v>
      </c>
      <c r="P813" s="77">
        <v>0</v>
      </c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  <c r="AG813" s="77"/>
    </row>
    <row r="814" spans="1:33" x14ac:dyDescent="0.25">
      <c r="A814" s="77" t="s">
        <v>12</v>
      </c>
      <c r="B814" s="77">
        <v>0</v>
      </c>
      <c r="C814" s="77">
        <v>0</v>
      </c>
      <c r="D814" s="77">
        <v>0</v>
      </c>
      <c r="E814" s="77">
        <v>0</v>
      </c>
      <c r="F814" s="77">
        <v>0</v>
      </c>
      <c r="G814" s="77">
        <v>0</v>
      </c>
      <c r="H814" s="77">
        <v>0</v>
      </c>
      <c r="I814" s="77">
        <v>0</v>
      </c>
      <c r="J814" s="77">
        <v>0</v>
      </c>
      <c r="K814" s="77">
        <v>0</v>
      </c>
      <c r="L814" s="77">
        <v>0</v>
      </c>
      <c r="M814" s="77">
        <v>0</v>
      </c>
      <c r="N814" s="77">
        <v>0</v>
      </c>
      <c r="O814" s="77">
        <v>0</v>
      </c>
      <c r="P814" s="77">
        <v>0</v>
      </c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  <c r="AG814" s="77"/>
    </row>
    <row r="815" spans="1:33" x14ac:dyDescent="0.25">
      <c r="A815" s="77" t="s">
        <v>13</v>
      </c>
      <c r="B815" s="77">
        <v>0</v>
      </c>
      <c r="C815" s="77">
        <v>0</v>
      </c>
      <c r="D815" s="77">
        <v>0</v>
      </c>
      <c r="E815" s="77">
        <v>0</v>
      </c>
      <c r="F815" s="77">
        <v>0</v>
      </c>
      <c r="G815" s="77">
        <v>0</v>
      </c>
      <c r="H815" s="77">
        <v>0</v>
      </c>
      <c r="I815" s="77">
        <v>0</v>
      </c>
      <c r="J815" s="77">
        <v>0</v>
      </c>
      <c r="K815" s="77">
        <v>0</v>
      </c>
      <c r="L815" s="77">
        <v>0</v>
      </c>
      <c r="M815" s="77">
        <v>0</v>
      </c>
      <c r="N815" s="77">
        <v>0</v>
      </c>
      <c r="O815" s="77">
        <v>0</v>
      </c>
      <c r="P815" s="77">
        <v>0</v>
      </c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  <c r="AG815" s="77"/>
    </row>
    <row r="816" spans="1:33" x14ac:dyDescent="0.25">
      <c r="A816" s="77" t="s">
        <v>14</v>
      </c>
      <c r="B816" s="77">
        <v>0</v>
      </c>
      <c r="C816" s="77">
        <v>0</v>
      </c>
      <c r="D816" s="77">
        <v>0</v>
      </c>
      <c r="E816" s="77">
        <v>0</v>
      </c>
      <c r="F816" s="77">
        <v>0</v>
      </c>
      <c r="G816" s="77">
        <v>0</v>
      </c>
      <c r="H816" s="77">
        <v>0</v>
      </c>
      <c r="I816" s="77">
        <v>0</v>
      </c>
      <c r="J816" s="77">
        <v>0</v>
      </c>
      <c r="K816" s="77">
        <v>0</v>
      </c>
      <c r="L816" s="77">
        <v>0</v>
      </c>
      <c r="M816" s="77">
        <v>0</v>
      </c>
      <c r="N816" s="77">
        <v>0</v>
      </c>
      <c r="O816" s="77">
        <v>0</v>
      </c>
      <c r="P816" s="77">
        <v>0</v>
      </c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  <c r="AG816" s="77"/>
    </row>
    <row r="817" spans="1:33" x14ac:dyDescent="0.25">
      <c r="A817" s="77" t="s">
        <v>455</v>
      </c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  <c r="AG817" s="77"/>
    </row>
    <row r="818" spans="1:33" x14ac:dyDescent="0.25">
      <c r="A818" s="77" t="s">
        <v>360</v>
      </c>
      <c r="B818" s="77" t="s">
        <v>18</v>
      </c>
      <c r="C818" s="77" t="s">
        <v>19</v>
      </c>
      <c r="D818" s="77" t="s">
        <v>20</v>
      </c>
      <c r="E818" s="77" t="s">
        <v>21</v>
      </c>
      <c r="F818" s="77" t="s">
        <v>22</v>
      </c>
      <c r="G818" s="77" t="s">
        <v>23</v>
      </c>
      <c r="H818" s="77" t="s">
        <v>361</v>
      </c>
      <c r="I818" s="77" t="s">
        <v>25</v>
      </c>
      <c r="J818" s="77" t="s">
        <v>362</v>
      </c>
      <c r="K818" s="77" t="s">
        <v>5</v>
      </c>
      <c r="L818" s="77" t="s">
        <v>6</v>
      </c>
      <c r="M818" s="77" t="s">
        <v>7</v>
      </c>
      <c r="N818" s="77" t="s">
        <v>8</v>
      </c>
      <c r="O818" s="77" t="s">
        <v>9</v>
      </c>
      <c r="P818" s="77" t="s">
        <v>363</v>
      </c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  <c r="AG818" s="77"/>
    </row>
    <row r="819" spans="1:33" x14ac:dyDescent="0.25">
      <c r="A819" s="77" t="s">
        <v>364</v>
      </c>
      <c r="B819" s="77" t="s">
        <v>365</v>
      </c>
      <c r="C819" s="77" t="s">
        <v>365</v>
      </c>
      <c r="D819" s="77" t="s">
        <v>365</v>
      </c>
      <c r="E819" s="77" t="s">
        <v>365</v>
      </c>
      <c r="F819" s="77" t="s">
        <v>365</v>
      </c>
      <c r="G819" s="77" t="s">
        <v>365</v>
      </c>
      <c r="H819" s="77" t="s">
        <v>365</v>
      </c>
      <c r="I819" s="77" t="s">
        <v>365</v>
      </c>
      <c r="J819" s="77" t="s">
        <v>365</v>
      </c>
      <c r="K819" s="77" t="s">
        <v>365</v>
      </c>
      <c r="L819" s="77" t="s">
        <v>365</v>
      </c>
      <c r="M819" s="77" t="s">
        <v>365</v>
      </c>
      <c r="N819" s="77" t="s">
        <v>365</v>
      </c>
      <c r="O819" s="77" t="s">
        <v>365</v>
      </c>
      <c r="P819" s="77" t="s">
        <v>365</v>
      </c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  <c r="AG819" s="77"/>
    </row>
    <row r="820" spans="1:33" x14ac:dyDescent="0.25">
      <c r="A820" s="77" t="s">
        <v>1</v>
      </c>
      <c r="B820" s="77">
        <v>0</v>
      </c>
      <c r="C820" s="77">
        <v>0</v>
      </c>
      <c r="D820" s="77">
        <v>0</v>
      </c>
      <c r="E820" s="77">
        <v>0</v>
      </c>
      <c r="F820" s="77">
        <v>0</v>
      </c>
      <c r="G820" s="77">
        <v>0</v>
      </c>
      <c r="H820" s="77">
        <v>0</v>
      </c>
      <c r="I820" s="77">
        <v>0</v>
      </c>
      <c r="J820" s="77">
        <v>0</v>
      </c>
      <c r="K820" s="77">
        <v>0</v>
      </c>
      <c r="L820" s="77">
        <v>0</v>
      </c>
      <c r="M820" s="77">
        <v>0</v>
      </c>
      <c r="N820" s="77">
        <v>0</v>
      </c>
      <c r="O820" s="77">
        <v>0</v>
      </c>
      <c r="P820" s="77">
        <v>0</v>
      </c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  <c r="AG820" s="77"/>
    </row>
    <row r="821" spans="1:33" x14ac:dyDescent="0.25">
      <c r="A821" s="77" t="s">
        <v>2</v>
      </c>
      <c r="B821" s="77">
        <v>0</v>
      </c>
      <c r="C821" s="77">
        <v>0</v>
      </c>
      <c r="D821" s="77">
        <v>0</v>
      </c>
      <c r="E821" s="77">
        <v>0</v>
      </c>
      <c r="F821" s="77">
        <v>0</v>
      </c>
      <c r="G821" s="77">
        <v>0</v>
      </c>
      <c r="H821" s="77">
        <v>0</v>
      </c>
      <c r="I821" s="77">
        <v>0</v>
      </c>
      <c r="J821" s="77">
        <v>0</v>
      </c>
      <c r="K821" s="77">
        <v>0</v>
      </c>
      <c r="L821" s="77">
        <v>0</v>
      </c>
      <c r="M821" s="77">
        <v>0</v>
      </c>
      <c r="N821" s="77">
        <v>0</v>
      </c>
      <c r="O821" s="77">
        <v>0</v>
      </c>
      <c r="P821" s="77">
        <v>0</v>
      </c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  <c r="AG821" s="77"/>
    </row>
    <row r="822" spans="1:33" x14ac:dyDescent="0.25">
      <c r="A822" s="77" t="s">
        <v>3</v>
      </c>
      <c r="B822" s="77">
        <v>31.203510900000001</v>
      </c>
      <c r="C822" s="77">
        <v>0</v>
      </c>
      <c r="D822" s="77">
        <v>31.203510900000001</v>
      </c>
      <c r="E822" s="77">
        <v>0</v>
      </c>
      <c r="F822" s="77">
        <v>0</v>
      </c>
      <c r="G822" s="77">
        <v>0</v>
      </c>
      <c r="H822" s="77">
        <v>0</v>
      </c>
      <c r="I822" s="77">
        <v>0</v>
      </c>
      <c r="J822" s="77">
        <v>0</v>
      </c>
      <c r="K822" s="77">
        <v>31.203510900000001</v>
      </c>
      <c r="L822" s="77">
        <v>0</v>
      </c>
      <c r="M822" s="77">
        <v>0</v>
      </c>
      <c r="N822" s="77">
        <v>0</v>
      </c>
      <c r="O822" s="77">
        <v>0</v>
      </c>
      <c r="P822" s="77">
        <v>0</v>
      </c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  <c r="AG822" s="77"/>
    </row>
    <row r="823" spans="1:33" x14ac:dyDescent="0.25">
      <c r="A823" s="77" t="s">
        <v>4</v>
      </c>
      <c r="B823" s="77">
        <v>198.194638</v>
      </c>
      <c r="C823" s="77">
        <v>0</v>
      </c>
      <c r="D823" s="77">
        <v>198.194638</v>
      </c>
      <c r="E823" s="77">
        <v>99.360681099999994</v>
      </c>
      <c r="F823" s="77">
        <v>14.284342199999999</v>
      </c>
      <c r="G823" s="77">
        <v>80.070483400000001</v>
      </c>
      <c r="H823" s="77">
        <v>4.4791313700000002</v>
      </c>
      <c r="I823" s="77">
        <v>0</v>
      </c>
      <c r="J823" s="77">
        <v>0</v>
      </c>
      <c r="K823" s="77">
        <v>0</v>
      </c>
      <c r="L823" s="77">
        <v>0</v>
      </c>
      <c r="M823" s="77">
        <v>0</v>
      </c>
      <c r="N823" s="77">
        <v>0</v>
      </c>
      <c r="O823" s="77">
        <v>0</v>
      </c>
      <c r="P823" s="77">
        <v>0</v>
      </c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  <c r="AG823" s="77"/>
    </row>
    <row r="824" spans="1:33" x14ac:dyDescent="0.25">
      <c r="A824" s="77" t="s">
        <v>5</v>
      </c>
      <c r="B824" s="77">
        <v>31.203510900000001</v>
      </c>
      <c r="C824" s="77">
        <v>31.203510900000001</v>
      </c>
      <c r="D824" s="77">
        <v>-3.5527136800000002E-15</v>
      </c>
      <c r="E824" s="77">
        <v>17.448456100000001</v>
      </c>
      <c r="F824" s="77">
        <v>2.7277068</v>
      </c>
      <c r="G824" s="77">
        <v>10.832287900000001</v>
      </c>
      <c r="H824" s="77">
        <v>0.19506011400000001</v>
      </c>
      <c r="I824" s="77">
        <v>0</v>
      </c>
      <c r="J824" s="77">
        <v>0</v>
      </c>
      <c r="K824" s="77">
        <v>0</v>
      </c>
      <c r="L824" s="77">
        <v>0</v>
      </c>
      <c r="M824" s="77">
        <v>0</v>
      </c>
      <c r="N824" s="77">
        <v>0</v>
      </c>
      <c r="O824" s="77">
        <v>0</v>
      </c>
      <c r="P824" s="77">
        <v>0</v>
      </c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  <c r="AG824" s="77"/>
    </row>
    <row r="825" spans="1:33" x14ac:dyDescent="0.25">
      <c r="A825" s="77" t="s">
        <v>6</v>
      </c>
      <c r="B825" s="77">
        <v>0</v>
      </c>
      <c r="C825" s="77">
        <v>0</v>
      </c>
      <c r="D825" s="105">
        <v>0</v>
      </c>
      <c r="E825" s="77">
        <v>0</v>
      </c>
      <c r="F825" s="77">
        <v>0</v>
      </c>
      <c r="G825" s="77">
        <v>0</v>
      </c>
      <c r="H825" s="77">
        <v>0</v>
      </c>
      <c r="I825" s="77">
        <v>0</v>
      </c>
      <c r="J825" s="77">
        <v>0</v>
      </c>
      <c r="K825" s="77">
        <v>0</v>
      </c>
      <c r="L825" s="77">
        <v>0</v>
      </c>
      <c r="M825" s="77">
        <v>0</v>
      </c>
      <c r="N825" s="77">
        <v>0</v>
      </c>
      <c r="O825" s="77">
        <v>0</v>
      </c>
      <c r="P825" s="77">
        <v>0</v>
      </c>
      <c r="R825" s="77"/>
      <c r="S825" s="77"/>
      <c r="T825" s="77"/>
      <c r="U825" s="105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  <c r="AG825" s="77"/>
    </row>
    <row r="826" spans="1:33" x14ac:dyDescent="0.25">
      <c r="A826" s="77" t="s">
        <v>7</v>
      </c>
      <c r="B826" s="77">
        <v>0</v>
      </c>
      <c r="C826" s="77">
        <v>0</v>
      </c>
      <c r="D826" s="77">
        <v>0</v>
      </c>
      <c r="E826" s="77">
        <v>0</v>
      </c>
      <c r="F826" s="77">
        <v>0</v>
      </c>
      <c r="G826" s="77">
        <v>0</v>
      </c>
      <c r="H826" s="77">
        <v>0</v>
      </c>
      <c r="I826" s="77">
        <v>0</v>
      </c>
      <c r="J826" s="77">
        <v>0</v>
      </c>
      <c r="K826" s="77">
        <v>0</v>
      </c>
      <c r="L826" s="77">
        <v>0</v>
      </c>
      <c r="M826" s="77">
        <v>0</v>
      </c>
      <c r="N826" s="77">
        <v>0</v>
      </c>
      <c r="O826" s="77">
        <v>0</v>
      </c>
      <c r="P826" s="77">
        <v>0</v>
      </c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  <c r="AG826" s="77"/>
    </row>
    <row r="827" spans="1:33" x14ac:dyDescent="0.25">
      <c r="A827" s="77" t="s">
        <v>8</v>
      </c>
      <c r="B827" s="77">
        <v>0</v>
      </c>
      <c r="C827" s="77">
        <v>0</v>
      </c>
      <c r="D827" s="77">
        <v>0</v>
      </c>
      <c r="E827" s="77">
        <v>0</v>
      </c>
      <c r="F827" s="77">
        <v>0</v>
      </c>
      <c r="G827" s="77">
        <v>0</v>
      </c>
      <c r="H827" s="77">
        <v>0</v>
      </c>
      <c r="I827" s="77">
        <v>0</v>
      </c>
      <c r="J827" s="77">
        <v>0</v>
      </c>
      <c r="K827" s="77">
        <v>0</v>
      </c>
      <c r="L827" s="77">
        <v>0</v>
      </c>
      <c r="M827" s="77">
        <v>0</v>
      </c>
      <c r="N827" s="77">
        <v>0</v>
      </c>
      <c r="O827" s="77">
        <v>0</v>
      </c>
      <c r="P827" s="77">
        <v>0</v>
      </c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  <c r="AG827" s="77"/>
    </row>
    <row r="828" spans="1:33" x14ac:dyDescent="0.25">
      <c r="A828" s="77" t="s">
        <v>9</v>
      </c>
      <c r="B828" s="77">
        <v>0</v>
      </c>
      <c r="C828" s="77">
        <v>0</v>
      </c>
      <c r="D828" s="77">
        <v>0</v>
      </c>
      <c r="E828" s="77">
        <v>0</v>
      </c>
      <c r="F828" s="77">
        <v>0</v>
      </c>
      <c r="G828" s="77">
        <v>0</v>
      </c>
      <c r="H828" s="77">
        <v>0</v>
      </c>
      <c r="I828" s="77">
        <v>0</v>
      </c>
      <c r="J828" s="77">
        <v>0</v>
      </c>
      <c r="K828" s="77">
        <v>0</v>
      </c>
      <c r="L828" s="77">
        <v>0</v>
      </c>
      <c r="M828" s="77">
        <v>0</v>
      </c>
      <c r="N828" s="77">
        <v>0</v>
      </c>
      <c r="O828" s="77">
        <v>0</v>
      </c>
      <c r="P828" s="77">
        <v>0</v>
      </c>
      <c r="R828" s="77"/>
      <c r="S828" s="77"/>
      <c r="T828" s="77"/>
      <c r="U828" s="105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  <c r="AG828" s="77"/>
    </row>
    <row r="829" spans="1:33" x14ac:dyDescent="0.25">
      <c r="A829" s="77" t="s">
        <v>10</v>
      </c>
      <c r="B829" s="77">
        <v>0</v>
      </c>
      <c r="C829" s="77">
        <v>0</v>
      </c>
      <c r="D829" s="77">
        <v>0</v>
      </c>
      <c r="E829" s="77">
        <v>0</v>
      </c>
      <c r="F829" s="77">
        <v>0</v>
      </c>
      <c r="G829" s="77">
        <v>0</v>
      </c>
      <c r="H829" s="77">
        <v>0</v>
      </c>
      <c r="I829" s="77">
        <v>0</v>
      </c>
      <c r="J829" s="77">
        <v>0</v>
      </c>
      <c r="K829" s="77">
        <v>0</v>
      </c>
      <c r="L829" s="77">
        <v>0</v>
      </c>
      <c r="M829" s="77">
        <v>0</v>
      </c>
      <c r="N829" s="77">
        <v>0</v>
      </c>
      <c r="O829" s="77">
        <v>0</v>
      </c>
      <c r="P829" s="77">
        <v>0</v>
      </c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  <c r="AG829" s="77"/>
    </row>
    <row r="830" spans="1:33" x14ac:dyDescent="0.25">
      <c r="A830" s="77" t="s">
        <v>11</v>
      </c>
      <c r="B830" s="77">
        <v>0</v>
      </c>
      <c r="C830" s="77">
        <v>0</v>
      </c>
      <c r="D830" s="77">
        <v>0</v>
      </c>
      <c r="E830" s="77">
        <v>0</v>
      </c>
      <c r="F830" s="77">
        <v>0</v>
      </c>
      <c r="G830" s="77">
        <v>0</v>
      </c>
      <c r="H830" s="77">
        <v>0</v>
      </c>
      <c r="I830" s="77">
        <v>0</v>
      </c>
      <c r="J830" s="77">
        <v>0</v>
      </c>
      <c r="K830" s="77">
        <v>0</v>
      </c>
      <c r="L830" s="77">
        <v>0</v>
      </c>
      <c r="M830" s="77">
        <v>0</v>
      </c>
      <c r="N830" s="77">
        <v>0</v>
      </c>
      <c r="O830" s="77">
        <v>0</v>
      </c>
      <c r="P830" s="77">
        <v>0</v>
      </c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  <c r="AG830" s="77"/>
    </row>
    <row r="831" spans="1:33" x14ac:dyDescent="0.25">
      <c r="A831" s="77" t="s">
        <v>12</v>
      </c>
      <c r="B831" s="77">
        <v>0</v>
      </c>
      <c r="C831" s="77">
        <v>0</v>
      </c>
      <c r="D831" s="77">
        <v>0</v>
      </c>
      <c r="E831" s="77">
        <v>0</v>
      </c>
      <c r="F831" s="77">
        <v>0</v>
      </c>
      <c r="G831" s="77">
        <v>0</v>
      </c>
      <c r="H831" s="77">
        <v>0</v>
      </c>
      <c r="I831" s="77">
        <v>0</v>
      </c>
      <c r="J831" s="77">
        <v>0</v>
      </c>
      <c r="K831" s="77">
        <v>0</v>
      </c>
      <c r="L831" s="77">
        <v>0</v>
      </c>
      <c r="M831" s="77">
        <v>0</v>
      </c>
      <c r="N831" s="77">
        <v>0</v>
      </c>
      <c r="O831" s="77">
        <v>0</v>
      </c>
      <c r="P831" s="77">
        <v>0</v>
      </c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  <c r="AG831" s="77"/>
    </row>
    <row r="832" spans="1:33" x14ac:dyDescent="0.25">
      <c r="A832" s="77" t="s">
        <v>13</v>
      </c>
      <c r="B832" s="77">
        <v>0</v>
      </c>
      <c r="C832" s="77">
        <v>0</v>
      </c>
      <c r="D832" s="77">
        <v>0</v>
      </c>
      <c r="E832" s="77">
        <v>0</v>
      </c>
      <c r="F832" s="77">
        <v>0</v>
      </c>
      <c r="G832" s="77">
        <v>0</v>
      </c>
      <c r="H832" s="77">
        <v>0</v>
      </c>
      <c r="I832" s="77">
        <v>0</v>
      </c>
      <c r="J832" s="77">
        <v>0</v>
      </c>
      <c r="K832" s="77">
        <v>0</v>
      </c>
      <c r="L832" s="77">
        <v>0</v>
      </c>
      <c r="M832" s="77">
        <v>0</v>
      </c>
      <c r="N832" s="77">
        <v>0</v>
      </c>
      <c r="O832" s="77">
        <v>0</v>
      </c>
      <c r="P832" s="77">
        <v>0</v>
      </c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  <c r="AG832" s="77"/>
    </row>
    <row r="833" spans="1:33" x14ac:dyDescent="0.25">
      <c r="A833" s="77" t="s">
        <v>14</v>
      </c>
      <c r="B833" s="77">
        <v>0</v>
      </c>
      <c r="C833" s="77">
        <v>0</v>
      </c>
      <c r="D833" s="77">
        <v>0</v>
      </c>
      <c r="E833" s="77">
        <v>0</v>
      </c>
      <c r="F833" s="77">
        <v>0</v>
      </c>
      <c r="G833" s="77">
        <v>0</v>
      </c>
      <c r="H833" s="77">
        <v>0</v>
      </c>
      <c r="I833" s="77">
        <v>0</v>
      </c>
      <c r="J833" s="77">
        <v>0</v>
      </c>
      <c r="K833" s="77">
        <v>0</v>
      </c>
      <c r="L833" s="77">
        <v>0</v>
      </c>
      <c r="M833" s="77">
        <v>0</v>
      </c>
      <c r="N833" s="77">
        <v>0</v>
      </c>
      <c r="O833" s="77">
        <v>0</v>
      </c>
      <c r="P833" s="77">
        <v>0</v>
      </c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  <c r="AG833" s="77"/>
    </row>
    <row r="834" spans="1:33" x14ac:dyDescent="0.25">
      <c r="A834" s="77" t="s">
        <v>456</v>
      </c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  <c r="AG834" s="77"/>
    </row>
    <row r="835" spans="1:33" x14ac:dyDescent="0.25">
      <c r="A835" s="77" t="s">
        <v>360</v>
      </c>
      <c r="B835" s="77" t="s">
        <v>366</v>
      </c>
      <c r="C835" s="77" t="s">
        <v>367</v>
      </c>
      <c r="D835" s="77" t="s">
        <v>368</v>
      </c>
      <c r="E835" s="77" t="s">
        <v>21</v>
      </c>
      <c r="F835" s="77" t="s">
        <v>22</v>
      </c>
      <c r="G835" s="77" t="s">
        <v>23</v>
      </c>
      <c r="H835" s="77" t="s">
        <v>361</v>
      </c>
      <c r="I835" s="77" t="s">
        <v>25</v>
      </c>
      <c r="J835" s="77" t="s">
        <v>362</v>
      </c>
      <c r="K835" s="77" t="s">
        <v>5</v>
      </c>
      <c r="L835" s="77" t="s">
        <v>6</v>
      </c>
      <c r="M835" s="77" t="s">
        <v>7</v>
      </c>
      <c r="N835" s="77" t="s">
        <v>8</v>
      </c>
      <c r="O835" s="77" t="s">
        <v>9</v>
      </c>
      <c r="P835" s="77" t="s">
        <v>363</v>
      </c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  <c r="AG835" s="77"/>
    </row>
    <row r="836" spans="1:33" x14ac:dyDescent="0.25">
      <c r="A836" s="77" t="s">
        <v>364</v>
      </c>
      <c r="B836" s="77" t="s">
        <v>369</v>
      </c>
      <c r="C836" s="77" t="s">
        <v>369</v>
      </c>
      <c r="D836" s="77" t="s">
        <v>369</v>
      </c>
      <c r="E836" s="77" t="s">
        <v>369</v>
      </c>
      <c r="F836" s="77" t="s">
        <v>369</v>
      </c>
      <c r="G836" s="77" t="s">
        <v>369</v>
      </c>
      <c r="H836" s="77" t="s">
        <v>369</v>
      </c>
      <c r="I836" s="77" t="s">
        <v>369</v>
      </c>
      <c r="J836" s="77" t="s">
        <v>369</v>
      </c>
      <c r="K836" s="77" t="s">
        <v>369</v>
      </c>
      <c r="L836" s="77" t="s">
        <v>369</v>
      </c>
      <c r="M836" s="77" t="s">
        <v>369</v>
      </c>
      <c r="N836" s="77" t="s">
        <v>369</v>
      </c>
      <c r="O836" s="77" t="s">
        <v>369</v>
      </c>
      <c r="P836" s="77" t="s">
        <v>369</v>
      </c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  <c r="AG836" s="77"/>
    </row>
    <row r="837" spans="1:33" x14ac:dyDescent="0.25">
      <c r="A837" s="77" t="s">
        <v>1</v>
      </c>
      <c r="B837" s="77">
        <v>78.072618300000002</v>
      </c>
      <c r="C837" s="77">
        <v>0</v>
      </c>
      <c r="D837" s="77">
        <v>78.072618300000002</v>
      </c>
      <c r="E837" s="77">
        <v>49.716267100000003</v>
      </c>
      <c r="F837" s="77">
        <v>0</v>
      </c>
      <c r="G837" s="77">
        <v>28.356351199999999</v>
      </c>
      <c r="H837" s="77">
        <v>0</v>
      </c>
      <c r="I837" s="77">
        <v>0</v>
      </c>
      <c r="J837" s="77">
        <v>0</v>
      </c>
      <c r="K837" s="77">
        <v>0</v>
      </c>
      <c r="L837" s="77">
        <v>0</v>
      </c>
      <c r="M837" s="77">
        <v>0</v>
      </c>
      <c r="N837" s="77">
        <v>0</v>
      </c>
      <c r="O837" s="77">
        <v>0</v>
      </c>
      <c r="P837" s="77">
        <v>0</v>
      </c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  <c r="AG837" s="77"/>
    </row>
    <row r="838" spans="1:33" x14ac:dyDescent="0.25">
      <c r="A838" s="77" t="s">
        <v>2</v>
      </c>
      <c r="B838" s="77">
        <v>102.87413100000001</v>
      </c>
      <c r="C838" s="77">
        <v>0</v>
      </c>
      <c r="D838" s="77">
        <v>102.87413100000001</v>
      </c>
      <c r="E838" s="77">
        <v>73.207235900000001</v>
      </c>
      <c r="F838" s="77">
        <v>2.8018811399999999</v>
      </c>
      <c r="G838" s="77">
        <v>13.3982686</v>
      </c>
      <c r="H838" s="77">
        <v>0.28110612400000001</v>
      </c>
      <c r="I838" s="77">
        <v>0</v>
      </c>
      <c r="J838" s="77">
        <v>0</v>
      </c>
      <c r="K838" s="77">
        <v>13.185639399999999</v>
      </c>
      <c r="L838" s="77">
        <v>0</v>
      </c>
      <c r="M838" s="77">
        <v>0</v>
      </c>
      <c r="N838" s="77">
        <v>0</v>
      </c>
      <c r="O838" s="77">
        <v>0</v>
      </c>
      <c r="P838" s="77">
        <v>0</v>
      </c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  <c r="AG838" s="77"/>
    </row>
    <row r="839" spans="1:33" x14ac:dyDescent="0.25">
      <c r="A839" s="77" t="s">
        <v>3</v>
      </c>
      <c r="B839" s="77">
        <v>41.4611631</v>
      </c>
      <c r="C839" s="77">
        <v>0</v>
      </c>
      <c r="D839" s="77">
        <v>41.4611631</v>
      </c>
      <c r="E839" s="77">
        <v>0</v>
      </c>
      <c r="F839" s="77">
        <v>0</v>
      </c>
      <c r="G839" s="77">
        <v>0</v>
      </c>
      <c r="H839" s="77">
        <v>0</v>
      </c>
      <c r="I839" s="77">
        <v>0</v>
      </c>
      <c r="J839" s="77">
        <v>0</v>
      </c>
      <c r="K839" s="77">
        <v>6.4861230499999998</v>
      </c>
      <c r="L839" s="77">
        <v>0</v>
      </c>
      <c r="M839" s="77">
        <v>0</v>
      </c>
      <c r="N839" s="77">
        <v>0</v>
      </c>
      <c r="O839" s="77">
        <v>0</v>
      </c>
      <c r="P839" s="77">
        <v>34.975040100000001</v>
      </c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  <c r="AG839" s="77"/>
    </row>
    <row r="840" spans="1:33" x14ac:dyDescent="0.25">
      <c r="A840" s="77" t="s">
        <v>4</v>
      </c>
      <c r="B840" s="77">
        <v>120.254133</v>
      </c>
      <c r="C840" s="77">
        <v>0</v>
      </c>
      <c r="D840" s="77">
        <v>120.254133</v>
      </c>
      <c r="E840" s="77">
        <v>65.557804399999995</v>
      </c>
      <c r="F840" s="77">
        <v>10.7062344</v>
      </c>
      <c r="G840" s="77">
        <v>48.121961900000002</v>
      </c>
      <c r="H840" s="77">
        <v>2.35130975</v>
      </c>
      <c r="I840" s="77">
        <v>0</v>
      </c>
      <c r="J840" s="77">
        <v>0</v>
      </c>
      <c r="K840" s="77">
        <v>0</v>
      </c>
      <c r="L840" s="77">
        <v>0</v>
      </c>
      <c r="M840" s="77">
        <v>0</v>
      </c>
      <c r="N840" s="77">
        <v>0</v>
      </c>
      <c r="O840" s="77">
        <v>0</v>
      </c>
      <c r="P840" s="77">
        <v>-6.4831778199999999</v>
      </c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  <c r="AG840" s="77"/>
    </row>
    <row r="841" spans="1:33" x14ac:dyDescent="0.25">
      <c r="A841" s="77" t="s">
        <v>5</v>
      </c>
      <c r="B841" s="77">
        <v>63.071049500000001</v>
      </c>
      <c r="C841" s="77">
        <v>63.213691400000002</v>
      </c>
      <c r="D841" s="77">
        <v>-0.142641923</v>
      </c>
      <c r="E841" s="77">
        <v>33.463528099999998</v>
      </c>
      <c r="F841" s="77">
        <v>5.7067103799999996</v>
      </c>
      <c r="G841" s="77">
        <v>23.460517100000001</v>
      </c>
      <c r="H841" s="77">
        <v>0.44029390400000001</v>
      </c>
      <c r="I841" s="77">
        <v>0</v>
      </c>
      <c r="J841" s="77">
        <v>0</v>
      </c>
      <c r="K841" s="77">
        <v>0</v>
      </c>
      <c r="L841" s="77">
        <v>0</v>
      </c>
      <c r="M841" s="77">
        <v>0</v>
      </c>
      <c r="N841" s="77">
        <v>0</v>
      </c>
      <c r="O841" s="77">
        <v>0</v>
      </c>
      <c r="P841" s="77">
        <v>0</v>
      </c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  <c r="AG841" s="77"/>
    </row>
    <row r="842" spans="1:33" x14ac:dyDescent="0.25">
      <c r="A842" s="77" t="s">
        <v>6</v>
      </c>
      <c r="B842" s="77">
        <v>0</v>
      </c>
      <c r="C842" s="77">
        <v>0</v>
      </c>
      <c r="D842" s="77">
        <v>0</v>
      </c>
      <c r="E842" s="77">
        <v>0</v>
      </c>
      <c r="F842" s="77">
        <v>0</v>
      </c>
      <c r="G842" s="77">
        <v>0</v>
      </c>
      <c r="H842" s="77">
        <v>0</v>
      </c>
      <c r="I842" s="77">
        <v>0</v>
      </c>
      <c r="J842" s="77">
        <v>0</v>
      </c>
      <c r="K842" s="77">
        <v>0</v>
      </c>
      <c r="L842" s="77">
        <v>0</v>
      </c>
      <c r="M842" s="77">
        <v>0</v>
      </c>
      <c r="N842" s="77">
        <v>0</v>
      </c>
      <c r="O842" s="77">
        <v>0</v>
      </c>
      <c r="P842" s="77">
        <v>0</v>
      </c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  <c r="AG842" s="77"/>
    </row>
    <row r="843" spans="1:33" x14ac:dyDescent="0.25">
      <c r="A843" s="77" t="s">
        <v>7</v>
      </c>
      <c r="B843" s="77">
        <v>0</v>
      </c>
      <c r="C843" s="77">
        <v>0</v>
      </c>
      <c r="D843" s="77">
        <v>0</v>
      </c>
      <c r="E843" s="77">
        <v>0</v>
      </c>
      <c r="F843" s="77">
        <v>0</v>
      </c>
      <c r="G843" s="77">
        <v>0</v>
      </c>
      <c r="H843" s="77">
        <v>0</v>
      </c>
      <c r="I843" s="77">
        <v>0</v>
      </c>
      <c r="J843" s="77">
        <v>0</v>
      </c>
      <c r="K843" s="77">
        <v>0</v>
      </c>
      <c r="L843" s="77">
        <v>0</v>
      </c>
      <c r="M843" s="77">
        <v>0</v>
      </c>
      <c r="N843" s="77">
        <v>0</v>
      </c>
      <c r="O843" s="77">
        <v>0</v>
      </c>
      <c r="P843" s="77">
        <v>0</v>
      </c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  <c r="AG843" s="77"/>
    </row>
    <row r="844" spans="1:33" x14ac:dyDescent="0.25">
      <c r="A844" s="77" t="s">
        <v>8</v>
      </c>
      <c r="B844" s="77">
        <v>0</v>
      </c>
      <c r="C844" s="77">
        <v>0</v>
      </c>
      <c r="D844" s="77">
        <v>0</v>
      </c>
      <c r="E844" s="77">
        <v>0</v>
      </c>
      <c r="F844" s="77">
        <v>0</v>
      </c>
      <c r="G844" s="77">
        <v>0</v>
      </c>
      <c r="H844" s="77">
        <v>0</v>
      </c>
      <c r="I844" s="77">
        <v>0</v>
      </c>
      <c r="J844" s="77">
        <v>0</v>
      </c>
      <c r="K844" s="77">
        <v>0</v>
      </c>
      <c r="L844" s="77">
        <v>0</v>
      </c>
      <c r="M844" s="77">
        <v>0</v>
      </c>
      <c r="N844" s="77">
        <v>0</v>
      </c>
      <c r="O844" s="77">
        <v>0</v>
      </c>
      <c r="P844" s="77">
        <v>0</v>
      </c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  <c r="AG844" s="77"/>
    </row>
    <row r="845" spans="1:33" x14ac:dyDescent="0.25">
      <c r="A845" s="77" t="s">
        <v>9</v>
      </c>
      <c r="B845" s="77">
        <v>0</v>
      </c>
      <c r="C845" s="77">
        <v>0</v>
      </c>
      <c r="D845" s="77">
        <v>0</v>
      </c>
      <c r="E845" s="77">
        <v>0</v>
      </c>
      <c r="F845" s="77">
        <v>0</v>
      </c>
      <c r="G845" s="77">
        <v>0</v>
      </c>
      <c r="H845" s="77">
        <v>0</v>
      </c>
      <c r="I845" s="77">
        <v>0</v>
      </c>
      <c r="J845" s="77">
        <v>0</v>
      </c>
      <c r="K845" s="77">
        <v>0</v>
      </c>
      <c r="L845" s="77">
        <v>0</v>
      </c>
      <c r="M845" s="77">
        <v>0</v>
      </c>
      <c r="N845" s="77">
        <v>0</v>
      </c>
      <c r="O845" s="77">
        <v>0</v>
      </c>
      <c r="P845" s="77">
        <v>0</v>
      </c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  <c r="AG845" s="77"/>
    </row>
    <row r="846" spans="1:33" x14ac:dyDescent="0.25">
      <c r="A846" s="77" t="s">
        <v>10</v>
      </c>
      <c r="B846" s="77">
        <v>77.207371499999994</v>
      </c>
      <c r="C846" s="77">
        <v>0</v>
      </c>
      <c r="D846" s="77">
        <v>77.207371499999994</v>
      </c>
      <c r="E846" s="77">
        <v>40.697320599999998</v>
      </c>
      <c r="F846" s="77">
        <v>1.55762</v>
      </c>
      <c r="G846" s="77">
        <v>7.4483570600000002</v>
      </c>
      <c r="H846" s="77">
        <v>0.15627234000000001</v>
      </c>
      <c r="I846" s="77">
        <v>0</v>
      </c>
      <c r="J846" s="77">
        <v>0</v>
      </c>
      <c r="K846" s="77">
        <v>27.3478016</v>
      </c>
      <c r="L846" s="77">
        <v>0</v>
      </c>
      <c r="M846" s="77">
        <v>0</v>
      </c>
      <c r="N846" s="77">
        <v>0</v>
      </c>
      <c r="O846" s="77">
        <v>0</v>
      </c>
      <c r="P846" s="77">
        <v>0</v>
      </c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  <c r="AG846" s="77"/>
    </row>
    <row r="847" spans="1:33" x14ac:dyDescent="0.25">
      <c r="A847" s="77" t="s">
        <v>11</v>
      </c>
      <c r="B847" s="77">
        <v>0.96210989400000002</v>
      </c>
      <c r="C847" s="77">
        <v>0</v>
      </c>
      <c r="D847" s="77">
        <v>0.96210989400000002</v>
      </c>
      <c r="E847" s="77">
        <v>0.48233340299999999</v>
      </c>
      <c r="F847" s="77">
        <v>6.9341467099999998E-2</v>
      </c>
      <c r="G847" s="77">
        <v>0.38869166700000002</v>
      </c>
      <c r="H847" s="77">
        <v>2.1743356200000001E-2</v>
      </c>
      <c r="I847" s="77">
        <v>0</v>
      </c>
      <c r="J847" s="77">
        <v>0</v>
      </c>
      <c r="K847" s="77">
        <v>0</v>
      </c>
      <c r="L847" s="77">
        <v>0</v>
      </c>
      <c r="M847" s="77">
        <v>0</v>
      </c>
      <c r="N847" s="77">
        <v>0</v>
      </c>
      <c r="O847" s="77">
        <v>0</v>
      </c>
      <c r="P847" s="77">
        <v>0</v>
      </c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  <c r="AG847" s="77"/>
    </row>
    <row r="848" spans="1:33" x14ac:dyDescent="0.25">
      <c r="A848" s="77" t="s">
        <v>12</v>
      </c>
      <c r="B848" s="77">
        <v>58.062910899999999</v>
      </c>
      <c r="C848" s="77">
        <v>28.491862300000001</v>
      </c>
      <c r="D848" s="77">
        <v>29.571048600000001</v>
      </c>
      <c r="E848" s="77">
        <v>44.374673100000003</v>
      </c>
      <c r="F848" s="77">
        <v>0.85102408900000004</v>
      </c>
      <c r="G848" s="77">
        <v>8.1158664599999994</v>
      </c>
      <c r="H848" s="77">
        <v>0.26092027400000001</v>
      </c>
      <c r="I848" s="77">
        <v>0</v>
      </c>
      <c r="J848" s="77">
        <v>0</v>
      </c>
      <c r="K848" s="77">
        <v>4.4604269700000003</v>
      </c>
      <c r="L848" s="77">
        <v>0</v>
      </c>
      <c r="M848" s="77">
        <v>0</v>
      </c>
      <c r="N848" s="77">
        <v>0</v>
      </c>
      <c r="O848" s="77">
        <v>0</v>
      </c>
      <c r="P848" s="77">
        <v>0</v>
      </c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  <c r="AG848" s="77"/>
    </row>
    <row r="849" spans="1:33" x14ac:dyDescent="0.25">
      <c r="A849" s="77" t="s">
        <v>13</v>
      </c>
      <c r="B849" s="77">
        <v>77.135294900000005</v>
      </c>
      <c r="C849" s="77">
        <v>0</v>
      </c>
      <c r="D849" s="77">
        <v>77.135294900000005</v>
      </c>
      <c r="E849" s="77">
        <v>60.846104099999998</v>
      </c>
      <c r="F849" s="77">
        <v>4.55549041</v>
      </c>
      <c r="G849" s="77">
        <v>0</v>
      </c>
      <c r="H849" s="77">
        <v>0</v>
      </c>
      <c r="I849" s="77">
        <v>0</v>
      </c>
      <c r="J849" s="77">
        <v>0</v>
      </c>
      <c r="K849" s="77">
        <v>11.7337004</v>
      </c>
      <c r="L849" s="77">
        <v>0</v>
      </c>
      <c r="M849" s="77">
        <v>0</v>
      </c>
      <c r="N849" s="77">
        <v>0</v>
      </c>
      <c r="O849" s="77">
        <v>0</v>
      </c>
      <c r="P849" s="77">
        <v>0</v>
      </c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  <c r="AG849" s="77"/>
    </row>
    <row r="850" spans="1:33" x14ac:dyDescent="0.25">
      <c r="A850" s="77" t="s">
        <v>14</v>
      </c>
      <c r="B850" s="77">
        <v>40.096309099999999</v>
      </c>
      <c r="C850" s="77">
        <v>0</v>
      </c>
      <c r="D850" s="77">
        <v>40.096309099999999</v>
      </c>
      <c r="E850" s="77">
        <v>20.247206800000001</v>
      </c>
      <c r="F850" s="77">
        <v>0.51923516400000003</v>
      </c>
      <c r="G850" s="77">
        <v>19.204695600000001</v>
      </c>
      <c r="H850" s="77">
        <v>0.12517154799999999</v>
      </c>
      <c r="I850" s="105">
        <v>0</v>
      </c>
      <c r="J850" s="77">
        <v>0</v>
      </c>
      <c r="K850" s="77">
        <v>0</v>
      </c>
      <c r="L850" s="77">
        <v>0</v>
      </c>
      <c r="M850" s="77">
        <v>0</v>
      </c>
      <c r="N850" s="77">
        <v>0</v>
      </c>
      <c r="O850" s="77">
        <v>0</v>
      </c>
      <c r="P850" s="77">
        <v>0</v>
      </c>
      <c r="R850" s="77"/>
      <c r="S850" s="77"/>
      <c r="T850" s="77"/>
      <c r="U850" s="77"/>
      <c r="V850" s="77"/>
      <c r="W850" s="77"/>
      <c r="X850" s="77"/>
      <c r="Y850" s="77"/>
      <c r="Z850" s="105"/>
      <c r="AA850" s="77"/>
      <c r="AB850" s="77"/>
      <c r="AC850" s="77"/>
      <c r="AD850" s="77"/>
      <c r="AE850" s="77"/>
      <c r="AF850" s="77"/>
      <c r="AG850" s="77"/>
    </row>
    <row r="851" spans="1:33" x14ac:dyDescent="0.25">
      <c r="A851" s="77" t="s">
        <v>457</v>
      </c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  <c r="AG851" s="77"/>
    </row>
    <row r="852" spans="1:33" x14ac:dyDescent="0.25">
      <c r="A852" s="77" t="s">
        <v>360</v>
      </c>
      <c r="B852" s="77" t="s">
        <v>18</v>
      </c>
      <c r="C852" s="77" t="s">
        <v>19</v>
      </c>
      <c r="D852" s="77" t="s">
        <v>20</v>
      </c>
      <c r="E852" s="77" t="s">
        <v>21</v>
      </c>
      <c r="F852" s="77" t="s">
        <v>22</v>
      </c>
      <c r="G852" s="77" t="s">
        <v>23</v>
      </c>
      <c r="H852" s="77" t="s">
        <v>361</v>
      </c>
      <c r="I852" s="77" t="s">
        <v>25</v>
      </c>
      <c r="J852" s="77" t="s">
        <v>362</v>
      </c>
      <c r="K852" s="77" t="s">
        <v>5</v>
      </c>
      <c r="L852" s="77" t="s">
        <v>6</v>
      </c>
      <c r="M852" s="77" t="s">
        <v>7</v>
      </c>
      <c r="N852" s="77" t="s">
        <v>8</v>
      </c>
      <c r="O852" s="77" t="s">
        <v>9</v>
      </c>
      <c r="P852" s="77" t="s">
        <v>363</v>
      </c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  <c r="AG852" s="77"/>
    </row>
    <row r="853" spans="1:33" x14ac:dyDescent="0.25">
      <c r="A853" s="77" t="s">
        <v>364</v>
      </c>
      <c r="B853" s="77" t="s">
        <v>370</v>
      </c>
      <c r="C853" s="77" t="s">
        <v>370</v>
      </c>
      <c r="D853" s="77" t="s">
        <v>370</v>
      </c>
      <c r="E853" s="77" t="s">
        <v>370</v>
      </c>
      <c r="F853" s="77" t="s">
        <v>370</v>
      </c>
      <c r="G853" s="77" t="s">
        <v>370</v>
      </c>
      <c r="H853" s="77" t="s">
        <v>370</v>
      </c>
      <c r="I853" s="77" t="s">
        <v>370</v>
      </c>
      <c r="J853" s="77" t="s">
        <v>370</v>
      </c>
      <c r="K853" s="77" t="s">
        <v>370</v>
      </c>
      <c r="L853" s="77" t="s">
        <v>370</v>
      </c>
      <c r="M853" s="77" t="s">
        <v>370</v>
      </c>
      <c r="N853" s="77" t="s">
        <v>370</v>
      </c>
      <c r="O853" s="77" t="s">
        <v>370</v>
      </c>
      <c r="P853" s="77" t="s">
        <v>370</v>
      </c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  <c r="AG853" s="77"/>
    </row>
    <row r="854" spans="1:33" x14ac:dyDescent="0.25">
      <c r="A854" s="77" t="s">
        <v>1</v>
      </c>
      <c r="B854" s="77">
        <v>0</v>
      </c>
      <c r="C854" s="77">
        <v>0</v>
      </c>
      <c r="D854" s="77">
        <v>0</v>
      </c>
      <c r="E854" s="77">
        <v>0</v>
      </c>
      <c r="F854" s="77">
        <v>0</v>
      </c>
      <c r="G854" s="77">
        <v>0</v>
      </c>
      <c r="H854" s="77">
        <v>0</v>
      </c>
      <c r="I854" s="77">
        <v>0</v>
      </c>
      <c r="J854" s="77">
        <v>0</v>
      </c>
      <c r="K854" s="77">
        <v>0</v>
      </c>
      <c r="L854" s="77">
        <v>0</v>
      </c>
      <c r="M854" s="77">
        <v>0</v>
      </c>
      <c r="N854" s="77">
        <v>0</v>
      </c>
      <c r="O854" s="77">
        <v>0</v>
      </c>
      <c r="P854" s="77">
        <v>0</v>
      </c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  <c r="AG854" s="77"/>
    </row>
    <row r="855" spans="1:33" x14ac:dyDescent="0.25">
      <c r="A855" s="77" t="s">
        <v>2</v>
      </c>
      <c r="B855" s="77">
        <v>2.2809532699999999</v>
      </c>
      <c r="C855" s="77">
        <v>0</v>
      </c>
      <c r="D855" s="77">
        <v>2.2809532699999999</v>
      </c>
      <c r="E855" s="77">
        <v>0</v>
      </c>
      <c r="F855" s="77">
        <v>0</v>
      </c>
      <c r="G855" s="77">
        <v>0</v>
      </c>
      <c r="H855" s="77">
        <v>0</v>
      </c>
      <c r="I855" s="77">
        <v>0</v>
      </c>
      <c r="J855" s="77">
        <v>0</v>
      </c>
      <c r="K855" s="77">
        <v>2.2809532699999999</v>
      </c>
      <c r="L855" s="77">
        <v>0</v>
      </c>
      <c r="M855" s="77">
        <v>0</v>
      </c>
      <c r="N855" s="77">
        <v>0</v>
      </c>
      <c r="O855" s="77">
        <v>0</v>
      </c>
      <c r="P855" s="77">
        <v>0</v>
      </c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  <c r="AG855" s="77"/>
    </row>
    <row r="856" spans="1:33" x14ac:dyDescent="0.25">
      <c r="A856" s="77" t="s">
        <v>3</v>
      </c>
      <c r="B856" s="77">
        <v>0.61647385799999999</v>
      </c>
      <c r="C856" s="77">
        <v>0</v>
      </c>
      <c r="D856" s="77">
        <v>0.61647385799999999</v>
      </c>
      <c r="E856" s="77">
        <v>0</v>
      </c>
      <c r="F856" s="77">
        <v>0</v>
      </c>
      <c r="G856" s="77">
        <v>0</v>
      </c>
      <c r="H856" s="77">
        <v>0</v>
      </c>
      <c r="I856" s="77">
        <v>0</v>
      </c>
      <c r="J856" s="77">
        <v>0</v>
      </c>
      <c r="K856" s="77">
        <v>0.61647385799999999</v>
      </c>
      <c r="L856" s="77">
        <v>0</v>
      </c>
      <c r="M856" s="77">
        <v>0</v>
      </c>
      <c r="N856" s="77">
        <v>0</v>
      </c>
      <c r="O856" s="77">
        <v>0</v>
      </c>
      <c r="P856" s="77">
        <v>0</v>
      </c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  <c r="AG856" s="77"/>
    </row>
    <row r="857" spans="1:33" x14ac:dyDescent="0.25">
      <c r="A857" s="77" t="s">
        <v>4</v>
      </c>
      <c r="B857" s="77">
        <v>3.46359562</v>
      </c>
      <c r="C857" s="77">
        <v>0</v>
      </c>
      <c r="D857" s="77">
        <v>3.46359562</v>
      </c>
      <c r="E857" s="77">
        <v>1.73640025</v>
      </c>
      <c r="F857" s="77">
        <v>0.24962928200000001</v>
      </c>
      <c r="G857" s="77">
        <v>1.3992899999999999</v>
      </c>
      <c r="H857" s="77">
        <v>7.82760822E-2</v>
      </c>
      <c r="I857" s="77">
        <v>0</v>
      </c>
      <c r="J857" s="77">
        <v>0</v>
      </c>
      <c r="K857" s="77">
        <v>0</v>
      </c>
      <c r="L857" s="77">
        <v>0</v>
      </c>
      <c r="M857" s="77">
        <v>0</v>
      </c>
      <c r="N857" s="77">
        <v>0</v>
      </c>
      <c r="O857" s="77">
        <v>0</v>
      </c>
      <c r="P857" s="77">
        <v>0</v>
      </c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  <c r="AG857" s="77"/>
    </row>
    <row r="858" spans="1:33" x14ac:dyDescent="0.25">
      <c r="A858" s="77" t="s">
        <v>5</v>
      </c>
      <c r="B858" s="77">
        <v>2.2809532699999999</v>
      </c>
      <c r="C858" s="77">
        <v>2.8974271300000001</v>
      </c>
      <c r="D858" s="77">
        <v>-0.61647385799999999</v>
      </c>
      <c r="E858" s="77">
        <v>1.27546907</v>
      </c>
      <c r="F858" s="77">
        <v>0.19939332400000001</v>
      </c>
      <c r="G858" s="77">
        <v>0.79183212999999997</v>
      </c>
      <c r="H858" s="77">
        <v>1.4258748200000001E-2</v>
      </c>
      <c r="I858" s="77">
        <v>0</v>
      </c>
      <c r="J858" s="77">
        <v>0</v>
      </c>
      <c r="K858" s="77">
        <v>0</v>
      </c>
      <c r="L858" s="77">
        <v>0</v>
      </c>
      <c r="M858" s="77">
        <v>0</v>
      </c>
      <c r="N858" s="77">
        <v>0</v>
      </c>
      <c r="O858" s="77">
        <v>0</v>
      </c>
      <c r="P858" s="77">
        <v>0</v>
      </c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  <c r="AG858" s="77"/>
    </row>
    <row r="859" spans="1:33" x14ac:dyDescent="0.25">
      <c r="A859" s="77" t="s">
        <v>6</v>
      </c>
      <c r="B859" s="77">
        <v>0</v>
      </c>
      <c r="C859" s="77">
        <v>0</v>
      </c>
      <c r="D859" s="77">
        <v>0</v>
      </c>
      <c r="E859" s="77">
        <v>0</v>
      </c>
      <c r="F859" s="77">
        <v>0</v>
      </c>
      <c r="G859" s="77">
        <v>0</v>
      </c>
      <c r="H859" s="77">
        <v>0</v>
      </c>
      <c r="I859" s="77">
        <v>0</v>
      </c>
      <c r="J859" s="77">
        <v>0</v>
      </c>
      <c r="K859" s="77">
        <v>0</v>
      </c>
      <c r="L859" s="77">
        <v>0</v>
      </c>
      <c r="M859" s="77">
        <v>0</v>
      </c>
      <c r="N859" s="77">
        <v>0</v>
      </c>
      <c r="O859" s="77">
        <v>0</v>
      </c>
      <c r="P859" s="77">
        <v>0</v>
      </c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  <c r="AG859" s="77"/>
    </row>
    <row r="860" spans="1:33" x14ac:dyDescent="0.25">
      <c r="A860" s="77" t="s">
        <v>7</v>
      </c>
      <c r="B860" s="77">
        <v>0</v>
      </c>
      <c r="C860" s="77">
        <v>0</v>
      </c>
      <c r="D860" s="77">
        <v>0</v>
      </c>
      <c r="E860" s="77">
        <v>0</v>
      </c>
      <c r="F860" s="77">
        <v>0</v>
      </c>
      <c r="G860" s="77">
        <v>0</v>
      </c>
      <c r="H860" s="77">
        <v>0</v>
      </c>
      <c r="I860" s="77">
        <v>0</v>
      </c>
      <c r="J860" s="77">
        <v>0</v>
      </c>
      <c r="K860" s="77">
        <v>0</v>
      </c>
      <c r="L860" s="77">
        <v>0</v>
      </c>
      <c r="M860" s="77">
        <v>0</v>
      </c>
      <c r="N860" s="77">
        <v>0</v>
      </c>
      <c r="O860" s="77">
        <v>0</v>
      </c>
      <c r="P860" s="77">
        <v>0</v>
      </c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  <c r="AG860" s="77"/>
    </row>
    <row r="861" spans="1:33" x14ac:dyDescent="0.25">
      <c r="A861" s="77" t="s">
        <v>8</v>
      </c>
      <c r="B861" s="77">
        <v>0</v>
      </c>
      <c r="C861" s="77">
        <v>0</v>
      </c>
      <c r="D861" s="77">
        <v>0</v>
      </c>
      <c r="E861" s="77">
        <v>0</v>
      </c>
      <c r="F861" s="77">
        <v>0</v>
      </c>
      <c r="G861" s="77">
        <v>0</v>
      </c>
      <c r="H861" s="77">
        <v>0</v>
      </c>
      <c r="I861" s="77">
        <v>0</v>
      </c>
      <c r="J861" s="77">
        <v>0</v>
      </c>
      <c r="K861" s="77">
        <v>0</v>
      </c>
      <c r="L861" s="77">
        <v>0</v>
      </c>
      <c r="M861" s="77">
        <v>0</v>
      </c>
      <c r="N861" s="77">
        <v>0</v>
      </c>
      <c r="O861" s="77">
        <v>0</v>
      </c>
      <c r="P861" s="77">
        <v>0</v>
      </c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  <c r="AG861" s="77"/>
    </row>
    <row r="862" spans="1:33" x14ac:dyDescent="0.25">
      <c r="A862" s="77" t="s">
        <v>9</v>
      </c>
      <c r="B862" s="77">
        <v>0</v>
      </c>
      <c r="C862" s="77">
        <v>0</v>
      </c>
      <c r="D862" s="77">
        <v>0</v>
      </c>
      <c r="E862" s="77">
        <v>0</v>
      </c>
      <c r="F862" s="77">
        <v>0</v>
      </c>
      <c r="G862" s="77">
        <v>0</v>
      </c>
      <c r="H862" s="77">
        <v>0</v>
      </c>
      <c r="I862" s="77">
        <v>0</v>
      </c>
      <c r="J862" s="77">
        <v>0</v>
      </c>
      <c r="K862" s="77">
        <v>0</v>
      </c>
      <c r="L862" s="77">
        <v>0</v>
      </c>
      <c r="M862" s="77">
        <v>0</v>
      </c>
      <c r="N862" s="77">
        <v>0</v>
      </c>
      <c r="O862" s="77">
        <v>0</v>
      </c>
      <c r="P862" s="77">
        <v>0</v>
      </c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  <c r="AG862" s="77"/>
    </row>
    <row r="863" spans="1:33" x14ac:dyDescent="0.25">
      <c r="A863" s="77" t="s">
        <v>10</v>
      </c>
      <c r="B863" s="77">
        <v>0</v>
      </c>
      <c r="C863" s="77">
        <v>0</v>
      </c>
      <c r="D863" s="77">
        <v>0</v>
      </c>
      <c r="E863" s="77">
        <v>0</v>
      </c>
      <c r="F863" s="77">
        <v>0</v>
      </c>
      <c r="G863" s="77">
        <v>0</v>
      </c>
      <c r="H863" s="77">
        <v>0</v>
      </c>
      <c r="I863" s="77">
        <v>0</v>
      </c>
      <c r="J863" s="77">
        <v>0</v>
      </c>
      <c r="K863" s="77">
        <v>0</v>
      </c>
      <c r="L863" s="77">
        <v>0</v>
      </c>
      <c r="M863" s="77">
        <v>0</v>
      </c>
      <c r="N863" s="77">
        <v>0</v>
      </c>
      <c r="O863" s="77">
        <v>0</v>
      </c>
      <c r="P863" s="77">
        <v>0</v>
      </c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  <c r="AG863" s="77"/>
    </row>
    <row r="864" spans="1:33" x14ac:dyDescent="0.25">
      <c r="A864" s="77" t="s">
        <v>11</v>
      </c>
      <c r="B864" s="77">
        <v>0</v>
      </c>
      <c r="C864" s="77">
        <v>0</v>
      </c>
      <c r="D864" s="77">
        <v>0</v>
      </c>
      <c r="E864" s="77">
        <v>0</v>
      </c>
      <c r="F864" s="77">
        <v>0</v>
      </c>
      <c r="G864" s="77">
        <v>0</v>
      </c>
      <c r="H864" s="77">
        <v>0</v>
      </c>
      <c r="I864" s="77">
        <v>0</v>
      </c>
      <c r="J864" s="77">
        <v>0</v>
      </c>
      <c r="K864" s="77">
        <v>0</v>
      </c>
      <c r="L864" s="77">
        <v>0</v>
      </c>
      <c r="M864" s="77">
        <v>0</v>
      </c>
      <c r="N864" s="77">
        <v>0</v>
      </c>
      <c r="O864" s="77">
        <v>0</v>
      </c>
      <c r="P864" s="77">
        <v>0</v>
      </c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  <c r="AG864" s="77"/>
    </row>
    <row r="865" spans="1:33" x14ac:dyDescent="0.25">
      <c r="A865" s="77" t="s">
        <v>12</v>
      </c>
      <c r="B865" s="77">
        <v>0</v>
      </c>
      <c r="C865" s="77">
        <v>0</v>
      </c>
      <c r="D865" s="77">
        <v>0</v>
      </c>
      <c r="E865" s="77">
        <v>0</v>
      </c>
      <c r="F865" s="77">
        <v>0</v>
      </c>
      <c r="G865" s="77">
        <v>0</v>
      </c>
      <c r="H865" s="77">
        <v>0</v>
      </c>
      <c r="I865" s="77">
        <v>0</v>
      </c>
      <c r="J865" s="77">
        <v>0</v>
      </c>
      <c r="K865" s="77">
        <v>0</v>
      </c>
      <c r="L865" s="77">
        <v>0</v>
      </c>
      <c r="M865" s="77">
        <v>0</v>
      </c>
      <c r="N865" s="77">
        <v>0</v>
      </c>
      <c r="O865" s="77">
        <v>0</v>
      </c>
      <c r="P865" s="77">
        <v>0</v>
      </c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  <c r="AG865" s="77"/>
    </row>
    <row r="866" spans="1:33" x14ac:dyDescent="0.25">
      <c r="A866" s="77" t="s">
        <v>13</v>
      </c>
      <c r="B866" s="77">
        <v>0</v>
      </c>
      <c r="C866" s="77">
        <v>0</v>
      </c>
      <c r="D866" s="77">
        <v>0</v>
      </c>
      <c r="E866" s="77">
        <v>0</v>
      </c>
      <c r="F866" s="77">
        <v>0</v>
      </c>
      <c r="G866" s="77">
        <v>0</v>
      </c>
      <c r="H866" s="77">
        <v>0</v>
      </c>
      <c r="I866" s="77">
        <v>0</v>
      </c>
      <c r="J866" s="77">
        <v>0</v>
      </c>
      <c r="K866" s="77">
        <v>0</v>
      </c>
      <c r="L866" s="77">
        <v>0</v>
      </c>
      <c r="M866" s="77">
        <v>0</v>
      </c>
      <c r="N866" s="77">
        <v>0</v>
      </c>
      <c r="O866" s="77">
        <v>0</v>
      </c>
      <c r="P866" s="77">
        <v>0</v>
      </c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  <c r="AG866" s="77"/>
    </row>
    <row r="867" spans="1:33" x14ac:dyDescent="0.25">
      <c r="A867" s="77" t="s">
        <v>14</v>
      </c>
      <c r="B867" s="77">
        <v>0</v>
      </c>
      <c r="C867" s="77">
        <v>0</v>
      </c>
      <c r="D867" s="77">
        <v>0</v>
      </c>
      <c r="E867" s="77">
        <v>0</v>
      </c>
      <c r="F867" s="77">
        <v>0</v>
      </c>
      <c r="G867" s="77">
        <v>0</v>
      </c>
      <c r="H867" s="77">
        <v>0</v>
      </c>
      <c r="I867" s="77">
        <v>0</v>
      </c>
      <c r="J867" s="77">
        <v>0</v>
      </c>
      <c r="K867" s="77">
        <v>0</v>
      </c>
      <c r="L867" s="77">
        <v>0</v>
      </c>
      <c r="M867" s="77">
        <v>0</v>
      </c>
      <c r="N867" s="77">
        <v>0</v>
      </c>
      <c r="O867" s="77">
        <v>0</v>
      </c>
      <c r="P867" s="77">
        <v>0</v>
      </c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  <c r="AG867" s="77"/>
    </row>
    <row r="868" spans="1:33" x14ac:dyDescent="0.25">
      <c r="A868" s="77" t="s">
        <v>458</v>
      </c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  <c r="AG868" s="77"/>
    </row>
    <row r="869" spans="1:33" x14ac:dyDescent="0.25">
      <c r="A869" s="77" t="s">
        <v>360</v>
      </c>
      <c r="B869" s="77" t="s">
        <v>18</v>
      </c>
      <c r="C869" s="77" t="s">
        <v>19</v>
      </c>
      <c r="D869" s="77" t="s">
        <v>20</v>
      </c>
      <c r="E869" s="77" t="s">
        <v>21</v>
      </c>
      <c r="F869" s="77" t="s">
        <v>22</v>
      </c>
      <c r="G869" s="77" t="s">
        <v>23</v>
      </c>
      <c r="H869" s="77" t="s">
        <v>361</v>
      </c>
      <c r="I869" s="77" t="s">
        <v>25</v>
      </c>
      <c r="J869" s="77" t="s">
        <v>362</v>
      </c>
      <c r="K869" s="77" t="s">
        <v>5</v>
      </c>
      <c r="L869" s="77" t="s">
        <v>6</v>
      </c>
      <c r="M869" s="77" t="s">
        <v>7</v>
      </c>
      <c r="N869" s="77" t="s">
        <v>8</v>
      </c>
      <c r="O869" s="77" t="s">
        <v>9</v>
      </c>
      <c r="P869" s="77" t="s">
        <v>363</v>
      </c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  <c r="AG869" s="77"/>
    </row>
    <row r="870" spans="1:33" x14ac:dyDescent="0.25">
      <c r="A870" s="77" t="s">
        <v>364</v>
      </c>
      <c r="B870" s="77" t="s">
        <v>365</v>
      </c>
      <c r="C870" s="77" t="s">
        <v>365</v>
      </c>
      <c r="D870" s="77" t="s">
        <v>365</v>
      </c>
      <c r="E870" s="77" t="s">
        <v>365</v>
      </c>
      <c r="F870" s="77" t="s">
        <v>365</v>
      </c>
      <c r="G870" s="77" t="s">
        <v>365</v>
      </c>
      <c r="H870" s="77" t="s">
        <v>365</v>
      </c>
      <c r="I870" s="77" t="s">
        <v>365</v>
      </c>
      <c r="J870" s="77" t="s">
        <v>365</v>
      </c>
      <c r="K870" s="77" t="s">
        <v>365</v>
      </c>
      <c r="L870" s="77" t="s">
        <v>365</v>
      </c>
      <c r="M870" s="77" t="s">
        <v>365</v>
      </c>
      <c r="N870" s="77" t="s">
        <v>365</v>
      </c>
      <c r="O870" s="77" t="s">
        <v>365</v>
      </c>
      <c r="P870" s="77" t="s">
        <v>365</v>
      </c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  <c r="AG870" s="77"/>
    </row>
    <row r="871" spans="1:33" x14ac:dyDescent="0.25">
      <c r="A871" s="77" t="s">
        <v>1</v>
      </c>
      <c r="B871" s="77">
        <v>0</v>
      </c>
      <c r="C871" s="77">
        <v>0</v>
      </c>
      <c r="D871" s="77">
        <v>0</v>
      </c>
      <c r="E871" s="77">
        <v>0</v>
      </c>
      <c r="F871" s="77">
        <v>0</v>
      </c>
      <c r="G871" s="77">
        <v>0</v>
      </c>
      <c r="H871" s="77">
        <v>0</v>
      </c>
      <c r="I871" s="77">
        <v>0</v>
      </c>
      <c r="J871" s="77">
        <v>0</v>
      </c>
      <c r="K871" s="77">
        <v>0</v>
      </c>
      <c r="L871" s="77">
        <v>0</v>
      </c>
      <c r="M871" s="77">
        <v>0</v>
      </c>
      <c r="N871" s="77">
        <v>0</v>
      </c>
      <c r="O871" s="77">
        <v>0</v>
      </c>
      <c r="P871" s="77">
        <v>0</v>
      </c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  <c r="AG871" s="77"/>
    </row>
    <row r="872" spans="1:33" x14ac:dyDescent="0.25">
      <c r="A872" s="77" t="s">
        <v>2</v>
      </c>
      <c r="B872" s="77">
        <v>0</v>
      </c>
      <c r="C872" s="77">
        <v>0</v>
      </c>
      <c r="D872" s="77">
        <v>0</v>
      </c>
      <c r="E872" s="77">
        <v>0</v>
      </c>
      <c r="F872" s="77">
        <v>0</v>
      </c>
      <c r="G872" s="77">
        <v>0</v>
      </c>
      <c r="H872" s="77">
        <v>0</v>
      </c>
      <c r="I872" s="77">
        <v>0</v>
      </c>
      <c r="J872" s="77">
        <v>0</v>
      </c>
      <c r="K872" s="77">
        <v>0</v>
      </c>
      <c r="L872" s="77">
        <v>0</v>
      </c>
      <c r="M872" s="77">
        <v>0</v>
      </c>
      <c r="N872" s="77">
        <v>0</v>
      </c>
      <c r="O872" s="77">
        <v>0</v>
      </c>
      <c r="P872" s="77">
        <v>0</v>
      </c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  <c r="AG872" s="77"/>
    </row>
    <row r="873" spans="1:33" x14ac:dyDescent="0.25">
      <c r="A873" s="77" t="s">
        <v>3</v>
      </c>
      <c r="B873" s="77">
        <v>30.202517700000001</v>
      </c>
      <c r="C873" s="77">
        <v>0</v>
      </c>
      <c r="D873" s="77">
        <v>30.202517700000001</v>
      </c>
      <c r="E873" s="77">
        <v>0</v>
      </c>
      <c r="F873" s="77">
        <v>0</v>
      </c>
      <c r="G873" s="77">
        <v>0</v>
      </c>
      <c r="H873" s="77">
        <v>0</v>
      </c>
      <c r="I873" s="77">
        <v>0</v>
      </c>
      <c r="J873" s="77">
        <v>0</v>
      </c>
      <c r="K873" s="77">
        <v>30.202517700000001</v>
      </c>
      <c r="L873" s="77">
        <v>0</v>
      </c>
      <c r="M873" s="77">
        <v>0</v>
      </c>
      <c r="N873" s="77">
        <v>0</v>
      </c>
      <c r="O873" s="77">
        <v>0</v>
      </c>
      <c r="P873" s="77">
        <v>0</v>
      </c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  <c r="AG873" s="77"/>
    </row>
    <row r="874" spans="1:33" x14ac:dyDescent="0.25">
      <c r="A874" s="77" t="s">
        <v>4</v>
      </c>
      <c r="B874" s="77">
        <v>58.501958299999998</v>
      </c>
      <c r="C874" s="77">
        <v>0</v>
      </c>
      <c r="D874" s="77">
        <v>58.501958299999998</v>
      </c>
      <c r="E874" s="77">
        <v>29.295453500000001</v>
      </c>
      <c r="F874" s="77">
        <v>4.2134354600000004</v>
      </c>
      <c r="G874" s="77">
        <v>23.668453100000001</v>
      </c>
      <c r="H874" s="77">
        <v>1.3246162100000001</v>
      </c>
      <c r="I874" s="77">
        <v>0</v>
      </c>
      <c r="J874" s="77">
        <v>0</v>
      </c>
      <c r="K874" s="77">
        <v>0</v>
      </c>
      <c r="L874" s="77">
        <v>0</v>
      </c>
      <c r="M874" s="77">
        <v>0</v>
      </c>
      <c r="N874" s="77">
        <v>0</v>
      </c>
      <c r="O874" s="77">
        <v>0</v>
      </c>
      <c r="P874" s="77">
        <v>0</v>
      </c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  <c r="AG874" s="77"/>
    </row>
    <row r="875" spans="1:33" x14ac:dyDescent="0.25">
      <c r="A875" s="77" t="s">
        <v>5</v>
      </c>
      <c r="B875" s="77">
        <v>30.202517700000001</v>
      </c>
      <c r="C875" s="77">
        <v>30.202517700000001</v>
      </c>
      <c r="D875" s="105">
        <v>-3.5527136800000002E-15</v>
      </c>
      <c r="E875" s="77">
        <v>16.810616799999998</v>
      </c>
      <c r="F875" s="77">
        <v>2.66810495</v>
      </c>
      <c r="G875" s="77">
        <v>10.533925399999999</v>
      </c>
      <c r="H875" s="77">
        <v>0.18987043000000001</v>
      </c>
      <c r="I875" s="77">
        <v>0</v>
      </c>
      <c r="J875" s="77">
        <v>0</v>
      </c>
      <c r="K875" s="77">
        <v>0</v>
      </c>
      <c r="L875" s="77">
        <v>0</v>
      </c>
      <c r="M875" s="77">
        <v>0</v>
      </c>
      <c r="N875" s="77">
        <v>0</v>
      </c>
      <c r="O875" s="77">
        <v>0</v>
      </c>
      <c r="P875" s="77">
        <v>0</v>
      </c>
      <c r="R875" s="77"/>
      <c r="S875" s="77"/>
      <c r="T875" s="77"/>
      <c r="U875" s="105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  <c r="AG875" s="77"/>
    </row>
    <row r="876" spans="1:33" x14ac:dyDescent="0.25">
      <c r="A876" s="77" t="s">
        <v>6</v>
      </c>
      <c r="B876" s="77">
        <v>0</v>
      </c>
      <c r="C876" s="77">
        <v>0</v>
      </c>
      <c r="D876" s="77">
        <v>0</v>
      </c>
      <c r="E876" s="77">
        <v>0</v>
      </c>
      <c r="F876" s="77">
        <v>0</v>
      </c>
      <c r="G876" s="77">
        <v>0</v>
      </c>
      <c r="H876" s="77">
        <v>0</v>
      </c>
      <c r="I876" s="77">
        <v>0</v>
      </c>
      <c r="J876" s="77">
        <v>0</v>
      </c>
      <c r="K876" s="77">
        <v>0</v>
      </c>
      <c r="L876" s="77">
        <v>0</v>
      </c>
      <c r="M876" s="77">
        <v>0</v>
      </c>
      <c r="N876" s="77">
        <v>0</v>
      </c>
      <c r="O876" s="77">
        <v>0</v>
      </c>
      <c r="P876" s="77">
        <v>0</v>
      </c>
      <c r="R876" s="77"/>
      <c r="S876" s="77"/>
      <c r="T876" s="77"/>
      <c r="U876" s="105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  <c r="AG876" s="77"/>
    </row>
    <row r="877" spans="1:33" x14ac:dyDescent="0.25">
      <c r="A877" s="77" t="s">
        <v>7</v>
      </c>
      <c r="B877" s="77">
        <v>0</v>
      </c>
      <c r="C877" s="77">
        <v>0</v>
      </c>
      <c r="D877" s="77">
        <v>0</v>
      </c>
      <c r="E877" s="77">
        <v>0</v>
      </c>
      <c r="F877" s="77">
        <v>0</v>
      </c>
      <c r="G877" s="77">
        <v>0</v>
      </c>
      <c r="H877" s="77">
        <v>0</v>
      </c>
      <c r="I877" s="77">
        <v>0</v>
      </c>
      <c r="J877" s="77">
        <v>0</v>
      </c>
      <c r="K877" s="77">
        <v>0</v>
      </c>
      <c r="L877" s="77">
        <v>0</v>
      </c>
      <c r="M877" s="77">
        <v>0</v>
      </c>
      <c r="N877" s="77">
        <v>0</v>
      </c>
      <c r="O877" s="77">
        <v>0</v>
      </c>
      <c r="P877" s="77">
        <v>0</v>
      </c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  <c r="AG877" s="77"/>
    </row>
    <row r="878" spans="1:33" x14ac:dyDescent="0.25">
      <c r="A878" s="77" t="s">
        <v>8</v>
      </c>
      <c r="B878" s="77">
        <v>0</v>
      </c>
      <c r="C878" s="77">
        <v>0</v>
      </c>
      <c r="D878" s="77">
        <v>0</v>
      </c>
      <c r="E878" s="77">
        <v>0</v>
      </c>
      <c r="F878" s="77">
        <v>0</v>
      </c>
      <c r="G878" s="77">
        <v>0</v>
      </c>
      <c r="H878" s="77">
        <v>0</v>
      </c>
      <c r="I878" s="77">
        <v>0</v>
      </c>
      <c r="J878" s="77">
        <v>0</v>
      </c>
      <c r="K878" s="77">
        <v>0</v>
      </c>
      <c r="L878" s="77">
        <v>0</v>
      </c>
      <c r="M878" s="77">
        <v>0</v>
      </c>
      <c r="N878" s="77">
        <v>0</v>
      </c>
      <c r="O878" s="77">
        <v>0</v>
      </c>
      <c r="P878" s="77">
        <v>0</v>
      </c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  <c r="AG878" s="77"/>
    </row>
    <row r="879" spans="1:33" x14ac:dyDescent="0.25">
      <c r="A879" s="77" t="s">
        <v>9</v>
      </c>
      <c r="B879" s="77">
        <v>0</v>
      </c>
      <c r="C879" s="77">
        <v>0</v>
      </c>
      <c r="D879" s="105">
        <v>0</v>
      </c>
      <c r="E879" s="77">
        <v>0</v>
      </c>
      <c r="F879" s="77">
        <v>0</v>
      </c>
      <c r="G879" s="77">
        <v>0</v>
      </c>
      <c r="H879" s="77">
        <v>0</v>
      </c>
      <c r="I879" s="77">
        <v>0</v>
      </c>
      <c r="J879" s="77">
        <v>0</v>
      </c>
      <c r="K879" s="77">
        <v>0</v>
      </c>
      <c r="L879" s="77">
        <v>0</v>
      </c>
      <c r="M879" s="77">
        <v>0</v>
      </c>
      <c r="N879" s="77">
        <v>0</v>
      </c>
      <c r="O879" s="77">
        <v>0</v>
      </c>
      <c r="P879" s="77">
        <v>0</v>
      </c>
      <c r="R879" s="77"/>
      <c r="S879" s="77"/>
      <c r="T879" s="77"/>
      <c r="U879" s="105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  <c r="AG879" s="77"/>
    </row>
    <row r="880" spans="1:33" x14ac:dyDescent="0.25">
      <c r="A880" s="77" t="s">
        <v>10</v>
      </c>
      <c r="B880" s="77">
        <v>0</v>
      </c>
      <c r="C880" s="77">
        <v>0</v>
      </c>
      <c r="D880" s="77">
        <v>0</v>
      </c>
      <c r="E880" s="77">
        <v>0</v>
      </c>
      <c r="F880" s="77">
        <v>0</v>
      </c>
      <c r="G880" s="77">
        <v>0</v>
      </c>
      <c r="H880" s="77">
        <v>0</v>
      </c>
      <c r="I880" s="77">
        <v>0</v>
      </c>
      <c r="J880" s="77">
        <v>0</v>
      </c>
      <c r="K880" s="77">
        <v>0</v>
      </c>
      <c r="L880" s="77">
        <v>0</v>
      </c>
      <c r="M880" s="77">
        <v>0</v>
      </c>
      <c r="N880" s="77">
        <v>0</v>
      </c>
      <c r="O880" s="77">
        <v>0</v>
      </c>
      <c r="P880" s="77">
        <v>0</v>
      </c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  <c r="AG880" s="77"/>
    </row>
    <row r="881" spans="1:33" x14ac:dyDescent="0.25">
      <c r="A881" s="77" t="s">
        <v>11</v>
      </c>
      <c r="B881" s="77">
        <v>0</v>
      </c>
      <c r="C881" s="77">
        <v>0</v>
      </c>
      <c r="D881" s="77">
        <v>0</v>
      </c>
      <c r="E881" s="77">
        <v>0</v>
      </c>
      <c r="F881" s="77">
        <v>0</v>
      </c>
      <c r="G881" s="77">
        <v>0</v>
      </c>
      <c r="H881" s="77">
        <v>0</v>
      </c>
      <c r="I881" s="77">
        <v>0</v>
      </c>
      <c r="J881" s="77">
        <v>0</v>
      </c>
      <c r="K881" s="77">
        <v>0</v>
      </c>
      <c r="L881" s="77">
        <v>0</v>
      </c>
      <c r="M881" s="77">
        <v>0</v>
      </c>
      <c r="N881" s="77">
        <v>0</v>
      </c>
      <c r="O881" s="77">
        <v>0</v>
      </c>
      <c r="P881" s="77">
        <v>0</v>
      </c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  <c r="AG881" s="77"/>
    </row>
    <row r="882" spans="1:33" x14ac:dyDescent="0.25">
      <c r="A882" s="77" t="s">
        <v>12</v>
      </c>
      <c r="B882" s="77">
        <v>0</v>
      </c>
      <c r="C882" s="77">
        <v>0</v>
      </c>
      <c r="D882" s="77">
        <v>0</v>
      </c>
      <c r="E882" s="77">
        <v>0</v>
      </c>
      <c r="F882" s="77">
        <v>0</v>
      </c>
      <c r="G882" s="77">
        <v>0</v>
      </c>
      <c r="H882" s="77">
        <v>0</v>
      </c>
      <c r="I882" s="77">
        <v>0</v>
      </c>
      <c r="J882" s="77">
        <v>0</v>
      </c>
      <c r="K882" s="77">
        <v>0</v>
      </c>
      <c r="L882" s="77">
        <v>0</v>
      </c>
      <c r="M882" s="77">
        <v>0</v>
      </c>
      <c r="N882" s="77">
        <v>0</v>
      </c>
      <c r="O882" s="77">
        <v>0</v>
      </c>
      <c r="P882" s="77">
        <v>0</v>
      </c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  <c r="AG882" s="77"/>
    </row>
    <row r="883" spans="1:33" x14ac:dyDescent="0.25">
      <c r="A883" s="77" t="s">
        <v>13</v>
      </c>
      <c r="B883" s="77">
        <v>0</v>
      </c>
      <c r="C883" s="77">
        <v>0</v>
      </c>
      <c r="D883" s="77">
        <v>0</v>
      </c>
      <c r="E883" s="77">
        <v>0</v>
      </c>
      <c r="F883" s="77">
        <v>0</v>
      </c>
      <c r="G883" s="77">
        <v>0</v>
      </c>
      <c r="H883" s="77">
        <v>0</v>
      </c>
      <c r="I883" s="77">
        <v>0</v>
      </c>
      <c r="J883" s="77">
        <v>0</v>
      </c>
      <c r="K883" s="77">
        <v>0</v>
      </c>
      <c r="L883" s="77">
        <v>0</v>
      </c>
      <c r="M883" s="77">
        <v>0</v>
      </c>
      <c r="N883" s="77">
        <v>0</v>
      </c>
      <c r="O883" s="77">
        <v>0</v>
      </c>
      <c r="P883" s="77">
        <v>0</v>
      </c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  <c r="AG883" s="77"/>
    </row>
    <row r="884" spans="1:33" x14ac:dyDescent="0.25">
      <c r="A884" s="77" t="s">
        <v>14</v>
      </c>
      <c r="B884" s="77">
        <v>0</v>
      </c>
      <c r="C884" s="77">
        <v>0</v>
      </c>
      <c r="D884" s="77">
        <v>0</v>
      </c>
      <c r="E884" s="77">
        <v>0</v>
      </c>
      <c r="F884" s="77">
        <v>0</v>
      </c>
      <c r="G884" s="77">
        <v>0</v>
      </c>
      <c r="H884" s="77">
        <v>0</v>
      </c>
      <c r="I884" s="77">
        <v>0</v>
      </c>
      <c r="J884" s="77">
        <v>0</v>
      </c>
      <c r="K884" s="77">
        <v>0</v>
      </c>
      <c r="L884" s="77">
        <v>0</v>
      </c>
      <c r="M884" s="77">
        <v>0</v>
      </c>
      <c r="N884" s="77">
        <v>0</v>
      </c>
      <c r="O884" s="77">
        <v>0</v>
      </c>
      <c r="P884" s="77">
        <v>0</v>
      </c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  <c r="AG884" s="77"/>
    </row>
    <row r="885" spans="1:33" x14ac:dyDescent="0.25">
      <c r="A885" s="77" t="s">
        <v>459</v>
      </c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  <c r="AG885" s="77"/>
    </row>
    <row r="886" spans="1:33" x14ac:dyDescent="0.25">
      <c r="A886" s="77" t="s">
        <v>360</v>
      </c>
      <c r="B886" s="77" t="s">
        <v>366</v>
      </c>
      <c r="C886" s="77" t="s">
        <v>367</v>
      </c>
      <c r="D886" s="77" t="s">
        <v>368</v>
      </c>
      <c r="E886" s="77" t="s">
        <v>21</v>
      </c>
      <c r="F886" s="77" t="s">
        <v>22</v>
      </c>
      <c r="G886" s="77" t="s">
        <v>23</v>
      </c>
      <c r="H886" s="77" t="s">
        <v>361</v>
      </c>
      <c r="I886" s="77" t="s">
        <v>25</v>
      </c>
      <c r="J886" s="77" t="s">
        <v>362</v>
      </c>
      <c r="K886" s="77" t="s">
        <v>5</v>
      </c>
      <c r="L886" s="77" t="s">
        <v>6</v>
      </c>
      <c r="M886" s="77" t="s">
        <v>7</v>
      </c>
      <c r="N886" s="77" t="s">
        <v>8</v>
      </c>
      <c r="O886" s="77" t="s">
        <v>9</v>
      </c>
      <c r="P886" s="77" t="s">
        <v>363</v>
      </c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  <c r="AG886" s="77"/>
    </row>
    <row r="887" spans="1:33" x14ac:dyDescent="0.25">
      <c r="A887" s="77" t="s">
        <v>364</v>
      </c>
      <c r="B887" s="77" t="s">
        <v>369</v>
      </c>
      <c r="C887" s="77" t="s">
        <v>369</v>
      </c>
      <c r="D887" s="77" t="s">
        <v>369</v>
      </c>
      <c r="E887" s="77" t="s">
        <v>369</v>
      </c>
      <c r="F887" s="77" t="s">
        <v>369</v>
      </c>
      <c r="G887" s="77" t="s">
        <v>369</v>
      </c>
      <c r="H887" s="77" t="s">
        <v>369</v>
      </c>
      <c r="I887" s="77" t="s">
        <v>369</v>
      </c>
      <c r="J887" s="77" t="s">
        <v>369</v>
      </c>
      <c r="K887" s="77" t="s">
        <v>369</v>
      </c>
      <c r="L887" s="77" t="s">
        <v>369</v>
      </c>
      <c r="M887" s="77" t="s">
        <v>369</v>
      </c>
      <c r="N887" s="77" t="s">
        <v>369</v>
      </c>
      <c r="O887" s="77" t="s">
        <v>369</v>
      </c>
      <c r="P887" s="77" t="s">
        <v>369</v>
      </c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  <c r="AG887" s="77"/>
    </row>
    <row r="888" spans="1:33" x14ac:dyDescent="0.25">
      <c r="A888" s="77" t="s">
        <v>1</v>
      </c>
      <c r="B888" s="77">
        <v>78.351398000000003</v>
      </c>
      <c r="C888" s="77">
        <v>0</v>
      </c>
      <c r="D888" s="77">
        <v>78.351398000000003</v>
      </c>
      <c r="E888" s="77">
        <v>49.995046799999997</v>
      </c>
      <c r="F888" s="77">
        <v>0</v>
      </c>
      <c r="G888" s="77">
        <v>28.356351199999999</v>
      </c>
      <c r="H888" s="77">
        <v>0</v>
      </c>
      <c r="I888" s="77">
        <v>0</v>
      </c>
      <c r="J888" s="77">
        <v>0</v>
      </c>
      <c r="K888" s="77">
        <v>0</v>
      </c>
      <c r="L888" s="77">
        <v>0</v>
      </c>
      <c r="M888" s="77">
        <v>0</v>
      </c>
      <c r="N888" s="77">
        <v>0</v>
      </c>
      <c r="O888" s="77">
        <v>0</v>
      </c>
      <c r="P888" s="77">
        <v>0</v>
      </c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  <c r="AG888" s="77"/>
    </row>
    <row r="889" spans="1:33" x14ac:dyDescent="0.25">
      <c r="A889" s="77" t="s">
        <v>2</v>
      </c>
      <c r="B889" s="77">
        <v>85.702413800000002</v>
      </c>
      <c r="C889" s="77">
        <v>0</v>
      </c>
      <c r="D889" s="77">
        <v>85.702413800000002</v>
      </c>
      <c r="E889" s="77">
        <v>61.648198600000001</v>
      </c>
      <c r="F889" s="77">
        <v>2.3594788499999999</v>
      </c>
      <c r="G889" s="77">
        <v>11.282752500000001</v>
      </c>
      <c r="H889" s="77">
        <v>0.23672094699999999</v>
      </c>
      <c r="I889" s="77">
        <v>0</v>
      </c>
      <c r="J889" s="77">
        <v>0</v>
      </c>
      <c r="K889" s="77">
        <v>10.1752629</v>
      </c>
      <c r="L889" s="77">
        <v>0</v>
      </c>
      <c r="M889" s="77">
        <v>0</v>
      </c>
      <c r="N889" s="77">
        <v>0</v>
      </c>
      <c r="O889" s="77">
        <v>0</v>
      </c>
      <c r="P889" s="77">
        <v>0</v>
      </c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  <c r="AG889" s="77"/>
    </row>
    <row r="890" spans="1:33" x14ac:dyDescent="0.25">
      <c r="A890" s="77" t="s">
        <v>3</v>
      </c>
      <c r="B890" s="77">
        <v>40.008792999999997</v>
      </c>
      <c r="C890" s="77">
        <v>0</v>
      </c>
      <c r="D890" s="77">
        <v>40.008792999999997</v>
      </c>
      <c r="E890" s="77">
        <v>0</v>
      </c>
      <c r="F890" s="77">
        <v>0</v>
      </c>
      <c r="G890" s="77">
        <v>0</v>
      </c>
      <c r="H890" s="77">
        <v>0</v>
      </c>
      <c r="I890" s="77">
        <v>0</v>
      </c>
      <c r="J890" s="77">
        <v>0</v>
      </c>
      <c r="K890" s="77">
        <v>5.0337529400000003</v>
      </c>
      <c r="L890" s="77">
        <v>0</v>
      </c>
      <c r="M890" s="77">
        <v>0</v>
      </c>
      <c r="N890" s="77">
        <v>0</v>
      </c>
      <c r="O890" s="77">
        <v>0</v>
      </c>
      <c r="P890" s="77">
        <v>34.975040100000001</v>
      </c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  <c r="AG890" s="77"/>
    </row>
    <row r="891" spans="1:33" x14ac:dyDescent="0.25">
      <c r="A891" s="77" t="s">
        <v>4</v>
      </c>
      <c r="B891" s="77">
        <v>139.24223499999999</v>
      </c>
      <c r="C891" s="77">
        <v>0</v>
      </c>
      <c r="D891" s="77">
        <v>139.24223499999999</v>
      </c>
      <c r="E891" s="77">
        <v>75.031826899999999</v>
      </c>
      <c r="F891" s="77">
        <v>12.065093900000001</v>
      </c>
      <c r="G891" s="77">
        <v>55.825780399999999</v>
      </c>
      <c r="H891" s="77">
        <v>2.7832298899999999</v>
      </c>
      <c r="I891" s="77">
        <v>0</v>
      </c>
      <c r="J891" s="77">
        <v>0</v>
      </c>
      <c r="K891" s="77">
        <v>0</v>
      </c>
      <c r="L891" s="77">
        <v>0</v>
      </c>
      <c r="M891" s="77">
        <v>0</v>
      </c>
      <c r="N891" s="77">
        <v>0</v>
      </c>
      <c r="O891" s="77">
        <v>0</v>
      </c>
      <c r="P891" s="77">
        <v>-6.4636965200000001</v>
      </c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  <c r="AG891" s="77"/>
    </row>
    <row r="892" spans="1:33" x14ac:dyDescent="0.25">
      <c r="A892" s="77" t="s">
        <v>5</v>
      </c>
      <c r="B892" s="77">
        <v>56.078287400000001</v>
      </c>
      <c r="C892" s="77">
        <v>56.8145472</v>
      </c>
      <c r="D892" s="77">
        <v>-0.73625980700000004</v>
      </c>
      <c r="E892" s="77">
        <v>29.152800299999999</v>
      </c>
      <c r="F892" s="77">
        <v>5.0445182300000004</v>
      </c>
      <c r="G892" s="77">
        <v>21.4761925</v>
      </c>
      <c r="H892" s="77">
        <v>0.404776366</v>
      </c>
      <c r="I892" s="77">
        <v>0</v>
      </c>
      <c r="J892" s="77">
        <v>0</v>
      </c>
      <c r="K892" s="77">
        <v>0</v>
      </c>
      <c r="L892" s="77">
        <v>0</v>
      </c>
      <c r="M892" s="77">
        <v>0</v>
      </c>
      <c r="N892" s="77">
        <v>0</v>
      </c>
      <c r="O892" s="77">
        <v>0</v>
      </c>
      <c r="P892" s="77">
        <v>0</v>
      </c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  <c r="AG892" s="77"/>
    </row>
    <row r="893" spans="1:33" x14ac:dyDescent="0.25">
      <c r="A893" s="77" t="s">
        <v>6</v>
      </c>
      <c r="B893" s="77">
        <v>0</v>
      </c>
      <c r="C893" s="77">
        <v>0</v>
      </c>
      <c r="D893" s="77">
        <v>0</v>
      </c>
      <c r="E893" s="77">
        <v>0</v>
      </c>
      <c r="F893" s="77">
        <v>0</v>
      </c>
      <c r="G893" s="77">
        <v>0</v>
      </c>
      <c r="H893" s="77">
        <v>0</v>
      </c>
      <c r="I893" s="77">
        <v>0</v>
      </c>
      <c r="J893" s="77">
        <v>0</v>
      </c>
      <c r="K893" s="77">
        <v>0</v>
      </c>
      <c r="L893" s="77">
        <v>0</v>
      </c>
      <c r="M893" s="77">
        <v>0</v>
      </c>
      <c r="N893" s="77">
        <v>0</v>
      </c>
      <c r="O893" s="77">
        <v>0</v>
      </c>
      <c r="P893" s="77">
        <v>0</v>
      </c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  <c r="AG893" s="77"/>
    </row>
    <row r="894" spans="1:33" x14ac:dyDescent="0.25">
      <c r="A894" s="77" t="s">
        <v>7</v>
      </c>
      <c r="B894" s="77">
        <v>0</v>
      </c>
      <c r="C894" s="77">
        <v>0</v>
      </c>
      <c r="D894" s="77">
        <v>0</v>
      </c>
      <c r="E894" s="77">
        <v>0</v>
      </c>
      <c r="F894" s="77">
        <v>0</v>
      </c>
      <c r="G894" s="77">
        <v>0</v>
      </c>
      <c r="H894" s="77">
        <v>0</v>
      </c>
      <c r="I894" s="77">
        <v>0</v>
      </c>
      <c r="J894" s="77">
        <v>0</v>
      </c>
      <c r="K894" s="77">
        <v>0</v>
      </c>
      <c r="L894" s="77">
        <v>0</v>
      </c>
      <c r="M894" s="77">
        <v>0</v>
      </c>
      <c r="N894" s="77">
        <v>0</v>
      </c>
      <c r="O894" s="77">
        <v>0</v>
      </c>
      <c r="P894" s="77">
        <v>0</v>
      </c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  <c r="AG894" s="77"/>
    </row>
    <row r="895" spans="1:33" x14ac:dyDescent="0.25">
      <c r="A895" s="77" t="s">
        <v>8</v>
      </c>
      <c r="B895" s="77">
        <v>0</v>
      </c>
      <c r="C895" s="77">
        <v>0</v>
      </c>
      <c r="D895" s="77">
        <v>0</v>
      </c>
      <c r="E895" s="77">
        <v>0</v>
      </c>
      <c r="F895" s="77">
        <v>0</v>
      </c>
      <c r="G895" s="77">
        <v>0</v>
      </c>
      <c r="H895" s="77">
        <v>0</v>
      </c>
      <c r="I895" s="77">
        <v>0</v>
      </c>
      <c r="J895" s="77">
        <v>0</v>
      </c>
      <c r="K895" s="77">
        <v>0</v>
      </c>
      <c r="L895" s="77">
        <v>0</v>
      </c>
      <c r="M895" s="77">
        <v>0</v>
      </c>
      <c r="N895" s="77">
        <v>0</v>
      </c>
      <c r="O895" s="77">
        <v>0</v>
      </c>
      <c r="P895" s="77">
        <v>0</v>
      </c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  <c r="AG895" s="77"/>
    </row>
    <row r="896" spans="1:33" x14ac:dyDescent="0.25">
      <c r="A896" s="77" t="s">
        <v>9</v>
      </c>
      <c r="B896" s="77">
        <v>0</v>
      </c>
      <c r="C896" s="77">
        <v>0</v>
      </c>
      <c r="D896" s="77">
        <v>0</v>
      </c>
      <c r="E896" s="77">
        <v>0</v>
      </c>
      <c r="F896" s="77">
        <v>0</v>
      </c>
      <c r="G896" s="77">
        <v>0</v>
      </c>
      <c r="H896" s="77">
        <v>0</v>
      </c>
      <c r="I896" s="77">
        <v>0</v>
      </c>
      <c r="J896" s="77">
        <v>0</v>
      </c>
      <c r="K896" s="77">
        <v>0</v>
      </c>
      <c r="L896" s="77">
        <v>0</v>
      </c>
      <c r="M896" s="77">
        <v>0</v>
      </c>
      <c r="N896" s="77">
        <v>0</v>
      </c>
      <c r="O896" s="77">
        <v>0</v>
      </c>
      <c r="P896" s="77">
        <v>0</v>
      </c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  <c r="AG896" s="77"/>
    </row>
    <row r="897" spans="1:33" x14ac:dyDescent="0.25">
      <c r="A897" s="77" t="s">
        <v>10</v>
      </c>
      <c r="B897" s="77">
        <v>67.541498500000003</v>
      </c>
      <c r="C897" s="77">
        <v>0</v>
      </c>
      <c r="D897" s="77">
        <v>67.541498500000003</v>
      </c>
      <c r="E897" s="77">
        <v>34.271427799999998</v>
      </c>
      <c r="F897" s="77">
        <v>1.31168</v>
      </c>
      <c r="G897" s="77">
        <v>6.2723006799999999</v>
      </c>
      <c r="H897" s="77">
        <v>0.13159776000000001</v>
      </c>
      <c r="I897" s="77">
        <v>0</v>
      </c>
      <c r="J897" s="77">
        <v>0</v>
      </c>
      <c r="K897" s="77">
        <v>25.5544923</v>
      </c>
      <c r="L897" s="77">
        <v>0</v>
      </c>
      <c r="M897" s="77">
        <v>0</v>
      </c>
      <c r="N897" s="77">
        <v>0</v>
      </c>
      <c r="O897" s="77">
        <v>0</v>
      </c>
      <c r="P897" s="77">
        <v>0</v>
      </c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  <c r="AG897" s="77"/>
    </row>
    <row r="898" spans="1:33" x14ac:dyDescent="0.25">
      <c r="A898" s="77" t="s">
        <v>11</v>
      </c>
      <c r="B898" s="77">
        <v>1.91809699</v>
      </c>
      <c r="C898" s="77">
        <v>0</v>
      </c>
      <c r="D898" s="77">
        <v>1.91809699</v>
      </c>
      <c r="E898" s="77">
        <v>0.96050667300000003</v>
      </c>
      <c r="F898" s="77">
        <v>0.13814542499999999</v>
      </c>
      <c r="G898" s="77">
        <v>0.77601485599999998</v>
      </c>
      <c r="H898" s="77">
        <v>4.3430039699999999E-2</v>
      </c>
      <c r="I898" s="77">
        <v>0</v>
      </c>
      <c r="J898" s="77">
        <v>0</v>
      </c>
      <c r="K898" s="77">
        <v>0</v>
      </c>
      <c r="L898" s="77">
        <v>0</v>
      </c>
      <c r="M898" s="77">
        <v>0</v>
      </c>
      <c r="N898" s="77">
        <v>0</v>
      </c>
      <c r="O898" s="77">
        <v>0</v>
      </c>
      <c r="P898" s="77">
        <v>0</v>
      </c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  <c r="AG898" s="77"/>
    </row>
    <row r="899" spans="1:33" x14ac:dyDescent="0.25">
      <c r="A899" s="77" t="s">
        <v>12</v>
      </c>
      <c r="B899" s="77">
        <v>57.716282700000001</v>
      </c>
      <c r="C899" s="77">
        <v>28.5113436</v>
      </c>
      <c r="D899" s="77">
        <v>29.204939100000001</v>
      </c>
      <c r="E899" s="77">
        <v>44.183306899999998</v>
      </c>
      <c r="F899" s="77">
        <v>0.84768105400000004</v>
      </c>
      <c r="G899" s="77">
        <v>8.1073757900000007</v>
      </c>
      <c r="H899" s="77">
        <v>0.26058023800000002</v>
      </c>
      <c r="I899" s="77">
        <v>0</v>
      </c>
      <c r="J899" s="77">
        <v>0</v>
      </c>
      <c r="K899" s="77">
        <v>4.3173386699999998</v>
      </c>
      <c r="L899" s="77">
        <v>0</v>
      </c>
      <c r="M899" s="77">
        <v>0</v>
      </c>
      <c r="N899" s="77">
        <v>0</v>
      </c>
      <c r="O899" s="77">
        <v>0</v>
      </c>
      <c r="P899" s="77">
        <v>0</v>
      </c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  <c r="AG899" s="77"/>
    </row>
    <row r="900" spans="1:33" x14ac:dyDescent="0.25">
      <c r="A900" s="77" t="s">
        <v>13</v>
      </c>
      <c r="B900" s="77">
        <v>74.556111400000006</v>
      </c>
      <c r="C900" s="77">
        <v>0</v>
      </c>
      <c r="D900" s="77">
        <v>74.556111400000006</v>
      </c>
      <c r="E900" s="77">
        <v>58.251425500000003</v>
      </c>
      <c r="F900" s="77">
        <v>4.5709854700000001</v>
      </c>
      <c r="G900" s="77">
        <v>0</v>
      </c>
      <c r="H900" s="77">
        <v>0</v>
      </c>
      <c r="I900" s="77">
        <v>0</v>
      </c>
      <c r="J900" s="77">
        <v>0</v>
      </c>
      <c r="K900" s="77">
        <v>11.7337004</v>
      </c>
      <c r="L900" s="77">
        <v>0</v>
      </c>
      <c r="M900" s="77">
        <v>0</v>
      </c>
      <c r="N900" s="77">
        <v>0</v>
      </c>
      <c r="O900" s="77">
        <v>0</v>
      </c>
      <c r="P900" s="77">
        <v>0</v>
      </c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  <c r="AG900" s="77"/>
    </row>
    <row r="901" spans="1:33" x14ac:dyDescent="0.25">
      <c r="A901" s="77" t="s">
        <v>14</v>
      </c>
      <c r="B901" s="77">
        <v>37.947001299999997</v>
      </c>
      <c r="C901" s="77">
        <v>0</v>
      </c>
      <c r="D901" s="77">
        <v>37.947001299999997</v>
      </c>
      <c r="E901" s="77">
        <v>18.801254400000001</v>
      </c>
      <c r="F901" s="77">
        <v>0.461595476</v>
      </c>
      <c r="G901" s="77">
        <v>18.572249100000001</v>
      </c>
      <c r="H901" s="77">
        <v>0.111902327</v>
      </c>
      <c r="I901" s="105">
        <v>0</v>
      </c>
      <c r="J901" s="77">
        <v>0</v>
      </c>
      <c r="K901" s="77">
        <v>0</v>
      </c>
      <c r="L901" s="77">
        <v>0</v>
      </c>
      <c r="M901" s="77">
        <v>0</v>
      </c>
      <c r="N901" s="77">
        <v>0</v>
      </c>
      <c r="O901" s="77">
        <v>0</v>
      </c>
      <c r="P901" s="77">
        <v>0</v>
      </c>
      <c r="R901" s="77"/>
      <c r="S901" s="77"/>
      <c r="T901" s="77"/>
      <c r="U901" s="77"/>
      <c r="V901" s="77"/>
      <c r="W901" s="77"/>
      <c r="X901" s="77"/>
      <c r="Y901" s="77"/>
      <c r="Z901" s="105"/>
      <c r="AA901" s="77"/>
      <c r="AB901" s="77"/>
      <c r="AC901" s="77"/>
      <c r="AD901" s="77"/>
      <c r="AE901" s="77"/>
      <c r="AF901" s="77"/>
      <c r="AG901" s="77"/>
    </row>
    <row r="902" spans="1:33" x14ac:dyDescent="0.25">
      <c r="A902" s="77" t="s">
        <v>460</v>
      </c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  <c r="AG902" s="77"/>
    </row>
    <row r="903" spans="1:33" x14ac:dyDescent="0.25">
      <c r="A903" s="77" t="s">
        <v>360</v>
      </c>
      <c r="B903" s="77" t="s">
        <v>18</v>
      </c>
      <c r="C903" s="77" t="s">
        <v>19</v>
      </c>
      <c r="D903" s="77" t="s">
        <v>20</v>
      </c>
      <c r="E903" s="77" t="s">
        <v>21</v>
      </c>
      <c r="F903" s="77" t="s">
        <v>22</v>
      </c>
      <c r="G903" s="77" t="s">
        <v>23</v>
      </c>
      <c r="H903" s="77" t="s">
        <v>361</v>
      </c>
      <c r="I903" s="77" t="s">
        <v>25</v>
      </c>
      <c r="J903" s="77" t="s">
        <v>362</v>
      </c>
      <c r="K903" s="77" t="s">
        <v>5</v>
      </c>
      <c r="L903" s="77" t="s">
        <v>6</v>
      </c>
      <c r="M903" s="77" t="s">
        <v>7</v>
      </c>
      <c r="N903" s="77" t="s">
        <v>8</v>
      </c>
      <c r="O903" s="77" t="s">
        <v>9</v>
      </c>
      <c r="P903" s="77" t="s">
        <v>363</v>
      </c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  <c r="AG903" s="77"/>
    </row>
    <row r="904" spans="1:33" x14ac:dyDescent="0.25">
      <c r="A904" s="77" t="s">
        <v>364</v>
      </c>
      <c r="B904" s="77" t="s">
        <v>370</v>
      </c>
      <c r="C904" s="77" t="s">
        <v>370</v>
      </c>
      <c r="D904" s="77" t="s">
        <v>370</v>
      </c>
      <c r="E904" s="77" t="s">
        <v>370</v>
      </c>
      <c r="F904" s="77" t="s">
        <v>370</v>
      </c>
      <c r="G904" s="77" t="s">
        <v>370</v>
      </c>
      <c r="H904" s="77" t="s">
        <v>370</v>
      </c>
      <c r="I904" s="77" t="s">
        <v>370</v>
      </c>
      <c r="J904" s="77" t="s">
        <v>370</v>
      </c>
      <c r="K904" s="77" t="s">
        <v>370</v>
      </c>
      <c r="L904" s="77" t="s">
        <v>370</v>
      </c>
      <c r="M904" s="77" t="s">
        <v>370</v>
      </c>
      <c r="N904" s="77" t="s">
        <v>370</v>
      </c>
      <c r="O904" s="77" t="s">
        <v>370</v>
      </c>
      <c r="P904" s="77" t="s">
        <v>370</v>
      </c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  <c r="AG904" s="77"/>
    </row>
    <row r="905" spans="1:33" x14ac:dyDescent="0.25">
      <c r="A905" s="77" t="s">
        <v>1</v>
      </c>
      <c r="B905" s="77">
        <v>0</v>
      </c>
      <c r="C905" s="77">
        <v>0</v>
      </c>
      <c r="D905" s="77">
        <v>0</v>
      </c>
      <c r="E905" s="77">
        <v>0</v>
      </c>
      <c r="F905" s="77">
        <v>0</v>
      </c>
      <c r="G905" s="77">
        <v>0</v>
      </c>
      <c r="H905" s="77">
        <v>0</v>
      </c>
      <c r="I905" s="77">
        <v>0</v>
      </c>
      <c r="J905" s="77">
        <v>0</v>
      </c>
      <c r="K905" s="77">
        <v>0</v>
      </c>
      <c r="L905" s="77">
        <v>0</v>
      </c>
      <c r="M905" s="77">
        <v>0</v>
      </c>
      <c r="N905" s="77">
        <v>0</v>
      </c>
      <c r="O905" s="77">
        <v>0</v>
      </c>
      <c r="P905" s="77">
        <v>0</v>
      </c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  <c r="AG905" s="77"/>
    </row>
    <row r="906" spans="1:33" x14ac:dyDescent="0.25">
      <c r="A906" s="77" t="s">
        <v>2</v>
      </c>
      <c r="B906" s="77">
        <v>2.2077814199999999</v>
      </c>
      <c r="C906" s="77">
        <v>0</v>
      </c>
      <c r="D906" s="77">
        <v>2.2077814199999999</v>
      </c>
      <c r="E906" s="77">
        <v>0</v>
      </c>
      <c r="F906" s="77">
        <v>0</v>
      </c>
      <c r="G906" s="77">
        <v>0</v>
      </c>
      <c r="H906" s="77">
        <v>0</v>
      </c>
      <c r="I906" s="77">
        <v>0</v>
      </c>
      <c r="J906" s="77">
        <v>0</v>
      </c>
      <c r="K906" s="77">
        <v>2.2077814199999999</v>
      </c>
      <c r="L906" s="77">
        <v>0</v>
      </c>
      <c r="M906" s="77">
        <v>0</v>
      </c>
      <c r="N906" s="77">
        <v>0</v>
      </c>
      <c r="O906" s="77">
        <v>0</v>
      </c>
      <c r="P906" s="77">
        <v>0</v>
      </c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  <c r="AG906" s="77"/>
    </row>
    <row r="907" spans="1:33" x14ac:dyDescent="0.25">
      <c r="A907" s="77" t="s">
        <v>3</v>
      </c>
      <c r="B907" s="77">
        <v>0.59669768000000001</v>
      </c>
      <c r="C907" s="77">
        <v>0</v>
      </c>
      <c r="D907" s="77">
        <v>0.59669768000000001</v>
      </c>
      <c r="E907" s="77">
        <v>0</v>
      </c>
      <c r="F907" s="77">
        <v>0</v>
      </c>
      <c r="G907" s="77">
        <v>0</v>
      </c>
      <c r="H907" s="77">
        <v>0</v>
      </c>
      <c r="I907" s="77">
        <v>0</v>
      </c>
      <c r="J907" s="77">
        <v>0</v>
      </c>
      <c r="K907" s="77">
        <v>0.59669768000000001</v>
      </c>
      <c r="L907" s="77">
        <v>0</v>
      </c>
      <c r="M907" s="77">
        <v>0</v>
      </c>
      <c r="N907" s="77">
        <v>0</v>
      </c>
      <c r="O907" s="77">
        <v>0</v>
      </c>
      <c r="P907" s="77">
        <v>0</v>
      </c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  <c r="AG907" s="77"/>
    </row>
    <row r="908" spans="1:33" x14ac:dyDescent="0.25">
      <c r="A908" s="77" t="s">
        <v>4</v>
      </c>
      <c r="B908" s="77">
        <v>3.4525745900000002</v>
      </c>
      <c r="C908" s="77">
        <v>0</v>
      </c>
      <c r="D908" s="77">
        <v>3.4525745900000002</v>
      </c>
      <c r="E908" s="77">
        <v>1.7289120099999999</v>
      </c>
      <c r="F908" s="77">
        <v>0.24866176500000001</v>
      </c>
      <c r="G908" s="77">
        <v>1.3968267400000001</v>
      </c>
      <c r="H908" s="77">
        <v>7.8174071499999997E-2</v>
      </c>
      <c r="I908" s="77">
        <v>0</v>
      </c>
      <c r="J908" s="77">
        <v>0</v>
      </c>
      <c r="K908" s="77">
        <v>0</v>
      </c>
      <c r="L908" s="77">
        <v>0</v>
      </c>
      <c r="M908" s="77">
        <v>0</v>
      </c>
      <c r="N908" s="77">
        <v>0</v>
      </c>
      <c r="O908" s="77">
        <v>0</v>
      </c>
      <c r="P908" s="77">
        <v>0</v>
      </c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  <c r="AG908" s="77"/>
    </row>
    <row r="909" spans="1:33" x14ac:dyDescent="0.25">
      <c r="A909" s="77" t="s">
        <v>5</v>
      </c>
      <c r="B909" s="77">
        <v>2.2077814199999999</v>
      </c>
      <c r="C909" s="77">
        <v>2.8044791</v>
      </c>
      <c r="D909" s="77">
        <v>-0.59669768000000001</v>
      </c>
      <c r="E909" s="77">
        <v>1.2288435</v>
      </c>
      <c r="F909" s="77">
        <v>0.19503647299999999</v>
      </c>
      <c r="G909" s="77">
        <v>0.77002205899999998</v>
      </c>
      <c r="H909" s="77">
        <v>1.38793862E-2</v>
      </c>
      <c r="I909" s="77">
        <v>0</v>
      </c>
      <c r="J909" s="77">
        <v>0</v>
      </c>
      <c r="K909" s="77">
        <v>0</v>
      </c>
      <c r="L909" s="77">
        <v>0</v>
      </c>
      <c r="M909" s="77">
        <v>0</v>
      </c>
      <c r="N909" s="77">
        <v>0</v>
      </c>
      <c r="O909" s="77">
        <v>0</v>
      </c>
      <c r="P909" s="77">
        <v>0</v>
      </c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  <c r="AG909" s="77"/>
    </row>
    <row r="910" spans="1:33" x14ac:dyDescent="0.25">
      <c r="A910" s="77" t="s">
        <v>6</v>
      </c>
      <c r="B910" s="77">
        <v>0</v>
      </c>
      <c r="C910" s="77">
        <v>0</v>
      </c>
      <c r="D910" s="77">
        <v>0</v>
      </c>
      <c r="E910" s="77">
        <v>0</v>
      </c>
      <c r="F910" s="77">
        <v>0</v>
      </c>
      <c r="G910" s="77">
        <v>0</v>
      </c>
      <c r="H910" s="77">
        <v>0</v>
      </c>
      <c r="I910" s="77">
        <v>0</v>
      </c>
      <c r="J910" s="77">
        <v>0</v>
      </c>
      <c r="K910" s="77">
        <v>0</v>
      </c>
      <c r="L910" s="77">
        <v>0</v>
      </c>
      <c r="M910" s="77">
        <v>0</v>
      </c>
      <c r="N910" s="77">
        <v>0</v>
      </c>
      <c r="O910" s="77">
        <v>0</v>
      </c>
      <c r="P910" s="77">
        <v>0</v>
      </c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  <c r="AG910" s="77"/>
    </row>
    <row r="911" spans="1:33" x14ac:dyDescent="0.25">
      <c r="A911" s="77" t="s">
        <v>7</v>
      </c>
      <c r="B911" s="77">
        <v>0</v>
      </c>
      <c r="C911" s="77">
        <v>0</v>
      </c>
      <c r="D911" s="77">
        <v>0</v>
      </c>
      <c r="E911" s="77">
        <v>0</v>
      </c>
      <c r="F911" s="77">
        <v>0</v>
      </c>
      <c r="G911" s="77">
        <v>0</v>
      </c>
      <c r="H911" s="77">
        <v>0</v>
      </c>
      <c r="I911" s="77">
        <v>0</v>
      </c>
      <c r="J911" s="77">
        <v>0</v>
      </c>
      <c r="K911" s="77">
        <v>0</v>
      </c>
      <c r="L911" s="77">
        <v>0</v>
      </c>
      <c r="M911" s="77">
        <v>0</v>
      </c>
      <c r="N911" s="77">
        <v>0</v>
      </c>
      <c r="O911" s="77">
        <v>0</v>
      </c>
      <c r="P911" s="77">
        <v>0</v>
      </c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  <c r="AG911" s="77"/>
    </row>
    <row r="912" spans="1:33" x14ac:dyDescent="0.25">
      <c r="A912" s="77" t="s">
        <v>8</v>
      </c>
      <c r="B912" s="77">
        <v>0</v>
      </c>
      <c r="C912" s="77">
        <v>0</v>
      </c>
      <c r="D912" s="77">
        <v>0</v>
      </c>
      <c r="E912" s="77">
        <v>0</v>
      </c>
      <c r="F912" s="77">
        <v>0</v>
      </c>
      <c r="G912" s="77">
        <v>0</v>
      </c>
      <c r="H912" s="77">
        <v>0</v>
      </c>
      <c r="I912" s="77">
        <v>0</v>
      </c>
      <c r="J912" s="77">
        <v>0</v>
      </c>
      <c r="K912" s="77">
        <v>0</v>
      </c>
      <c r="L912" s="77">
        <v>0</v>
      </c>
      <c r="M912" s="77">
        <v>0</v>
      </c>
      <c r="N912" s="77">
        <v>0</v>
      </c>
      <c r="O912" s="77">
        <v>0</v>
      </c>
      <c r="P912" s="77">
        <v>0</v>
      </c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  <c r="AG912" s="77"/>
    </row>
    <row r="913" spans="1:33" x14ac:dyDescent="0.25">
      <c r="A913" s="77" t="s">
        <v>9</v>
      </c>
      <c r="B913" s="77">
        <v>0</v>
      </c>
      <c r="C913" s="77">
        <v>0</v>
      </c>
      <c r="D913" s="77">
        <v>0</v>
      </c>
      <c r="E913" s="77">
        <v>0</v>
      </c>
      <c r="F913" s="77">
        <v>0</v>
      </c>
      <c r="G913" s="77">
        <v>0</v>
      </c>
      <c r="H913" s="77">
        <v>0</v>
      </c>
      <c r="I913" s="77">
        <v>0</v>
      </c>
      <c r="J913" s="77">
        <v>0</v>
      </c>
      <c r="K913" s="77">
        <v>0</v>
      </c>
      <c r="L913" s="77">
        <v>0</v>
      </c>
      <c r="M913" s="77">
        <v>0</v>
      </c>
      <c r="N913" s="77">
        <v>0</v>
      </c>
      <c r="O913" s="77">
        <v>0</v>
      </c>
      <c r="P913" s="77">
        <v>0</v>
      </c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  <c r="AG913" s="77"/>
    </row>
    <row r="914" spans="1:33" x14ac:dyDescent="0.25">
      <c r="A914" s="77" t="s">
        <v>10</v>
      </c>
      <c r="B914" s="77">
        <v>0</v>
      </c>
      <c r="C914" s="77">
        <v>0</v>
      </c>
      <c r="D914" s="77">
        <v>0</v>
      </c>
      <c r="E914" s="77">
        <v>0</v>
      </c>
      <c r="F914" s="77">
        <v>0</v>
      </c>
      <c r="G914" s="77">
        <v>0</v>
      </c>
      <c r="H914" s="77">
        <v>0</v>
      </c>
      <c r="I914" s="77">
        <v>0</v>
      </c>
      <c r="J914" s="77">
        <v>0</v>
      </c>
      <c r="K914" s="77">
        <v>0</v>
      </c>
      <c r="L914" s="77">
        <v>0</v>
      </c>
      <c r="M914" s="77">
        <v>0</v>
      </c>
      <c r="N914" s="77">
        <v>0</v>
      </c>
      <c r="O914" s="77">
        <v>0</v>
      </c>
      <c r="P914" s="77">
        <v>0</v>
      </c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  <c r="AG914" s="77"/>
    </row>
    <row r="915" spans="1:33" x14ac:dyDescent="0.25">
      <c r="A915" s="77" t="s">
        <v>11</v>
      </c>
      <c r="B915" s="77">
        <v>0</v>
      </c>
      <c r="C915" s="77">
        <v>0</v>
      </c>
      <c r="D915" s="77">
        <v>0</v>
      </c>
      <c r="E915" s="77">
        <v>0</v>
      </c>
      <c r="F915" s="77">
        <v>0</v>
      </c>
      <c r="G915" s="77">
        <v>0</v>
      </c>
      <c r="H915" s="77">
        <v>0</v>
      </c>
      <c r="I915" s="77">
        <v>0</v>
      </c>
      <c r="J915" s="77">
        <v>0</v>
      </c>
      <c r="K915" s="77">
        <v>0</v>
      </c>
      <c r="L915" s="77">
        <v>0</v>
      </c>
      <c r="M915" s="77">
        <v>0</v>
      </c>
      <c r="N915" s="77">
        <v>0</v>
      </c>
      <c r="O915" s="77">
        <v>0</v>
      </c>
      <c r="P915" s="77">
        <v>0</v>
      </c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  <c r="AG915" s="77"/>
    </row>
    <row r="916" spans="1:33" x14ac:dyDescent="0.25">
      <c r="A916" s="77" t="s">
        <v>12</v>
      </c>
      <c r="B916" s="77">
        <v>0</v>
      </c>
      <c r="C916" s="77">
        <v>0</v>
      </c>
      <c r="D916" s="77">
        <v>0</v>
      </c>
      <c r="E916" s="77">
        <v>0</v>
      </c>
      <c r="F916" s="77">
        <v>0</v>
      </c>
      <c r="G916" s="77">
        <v>0</v>
      </c>
      <c r="H916" s="77">
        <v>0</v>
      </c>
      <c r="I916" s="77">
        <v>0</v>
      </c>
      <c r="J916" s="77">
        <v>0</v>
      </c>
      <c r="K916" s="77">
        <v>0</v>
      </c>
      <c r="L916" s="77">
        <v>0</v>
      </c>
      <c r="M916" s="77">
        <v>0</v>
      </c>
      <c r="N916" s="77">
        <v>0</v>
      </c>
      <c r="O916" s="77">
        <v>0</v>
      </c>
      <c r="P916" s="77">
        <v>0</v>
      </c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  <c r="AG916" s="77"/>
    </row>
    <row r="917" spans="1:33" x14ac:dyDescent="0.25">
      <c r="A917" s="77" t="s">
        <v>13</v>
      </c>
      <c r="B917" s="77">
        <v>0</v>
      </c>
      <c r="C917" s="77">
        <v>0</v>
      </c>
      <c r="D917" s="77">
        <v>0</v>
      </c>
      <c r="E917" s="77">
        <v>0</v>
      </c>
      <c r="F917" s="77">
        <v>0</v>
      </c>
      <c r="G917" s="77">
        <v>0</v>
      </c>
      <c r="H917" s="77">
        <v>0</v>
      </c>
      <c r="I917" s="77">
        <v>0</v>
      </c>
      <c r="J917" s="77">
        <v>0</v>
      </c>
      <c r="K917" s="77">
        <v>0</v>
      </c>
      <c r="L917" s="77">
        <v>0</v>
      </c>
      <c r="M917" s="77">
        <v>0</v>
      </c>
      <c r="N917" s="77">
        <v>0</v>
      </c>
      <c r="O917" s="77">
        <v>0</v>
      </c>
      <c r="P917" s="77">
        <v>0</v>
      </c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  <c r="AG917" s="77"/>
    </row>
    <row r="918" spans="1:33" x14ac:dyDescent="0.25">
      <c r="A918" s="77" t="s">
        <v>14</v>
      </c>
      <c r="B918" s="77">
        <v>0</v>
      </c>
      <c r="C918" s="77">
        <v>0</v>
      </c>
      <c r="D918" s="77">
        <v>0</v>
      </c>
      <c r="E918" s="77">
        <v>0</v>
      </c>
      <c r="F918" s="77">
        <v>0</v>
      </c>
      <c r="G918" s="77">
        <v>0</v>
      </c>
      <c r="H918" s="77">
        <v>0</v>
      </c>
      <c r="I918" s="77">
        <v>0</v>
      </c>
      <c r="J918" s="77">
        <v>0</v>
      </c>
      <c r="K918" s="77">
        <v>0</v>
      </c>
      <c r="L918" s="77">
        <v>0</v>
      </c>
      <c r="M918" s="77">
        <v>0</v>
      </c>
      <c r="N918" s="77">
        <v>0</v>
      </c>
      <c r="O918" s="77">
        <v>0</v>
      </c>
      <c r="P918" s="77">
        <v>0</v>
      </c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  <c r="AG918" s="77"/>
    </row>
    <row r="919" spans="1:33" x14ac:dyDescent="0.25">
      <c r="A919" s="77" t="s">
        <v>461</v>
      </c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  <c r="AG919" s="77"/>
    </row>
    <row r="920" spans="1:33" x14ac:dyDescent="0.25">
      <c r="A920" s="77" t="s">
        <v>360</v>
      </c>
      <c r="B920" s="77" t="s">
        <v>18</v>
      </c>
      <c r="C920" s="77" t="s">
        <v>19</v>
      </c>
      <c r="D920" s="77" t="s">
        <v>20</v>
      </c>
      <c r="E920" s="77" t="s">
        <v>21</v>
      </c>
      <c r="F920" s="77" t="s">
        <v>22</v>
      </c>
      <c r="G920" s="77" t="s">
        <v>23</v>
      </c>
      <c r="H920" s="77" t="s">
        <v>361</v>
      </c>
      <c r="I920" s="77" t="s">
        <v>25</v>
      </c>
      <c r="J920" s="77" t="s">
        <v>362</v>
      </c>
      <c r="K920" s="77" t="s">
        <v>5</v>
      </c>
      <c r="L920" s="77" t="s">
        <v>6</v>
      </c>
      <c r="M920" s="77" t="s">
        <v>7</v>
      </c>
      <c r="N920" s="77" t="s">
        <v>8</v>
      </c>
      <c r="O920" s="77" t="s">
        <v>9</v>
      </c>
      <c r="P920" s="77" t="s">
        <v>363</v>
      </c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  <c r="AG920" s="77"/>
    </row>
    <row r="921" spans="1:33" x14ac:dyDescent="0.25">
      <c r="A921" s="77" t="s">
        <v>364</v>
      </c>
      <c r="B921" s="77" t="s">
        <v>365</v>
      </c>
      <c r="C921" s="77" t="s">
        <v>365</v>
      </c>
      <c r="D921" s="77" t="s">
        <v>365</v>
      </c>
      <c r="E921" s="77" t="s">
        <v>365</v>
      </c>
      <c r="F921" s="77" t="s">
        <v>365</v>
      </c>
      <c r="G921" s="77" t="s">
        <v>365</v>
      </c>
      <c r="H921" s="77" t="s">
        <v>365</v>
      </c>
      <c r="I921" s="77" t="s">
        <v>365</v>
      </c>
      <c r="J921" s="77" t="s">
        <v>365</v>
      </c>
      <c r="K921" s="77" t="s">
        <v>365</v>
      </c>
      <c r="L921" s="77" t="s">
        <v>365</v>
      </c>
      <c r="M921" s="77" t="s">
        <v>365</v>
      </c>
      <c r="N921" s="77" t="s">
        <v>365</v>
      </c>
      <c r="O921" s="77" t="s">
        <v>365</v>
      </c>
      <c r="P921" s="77" t="s">
        <v>365</v>
      </c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  <c r="AG921" s="77"/>
    </row>
    <row r="922" spans="1:33" x14ac:dyDescent="0.25">
      <c r="A922" s="77" t="s">
        <v>1</v>
      </c>
      <c r="B922" s="77">
        <v>0</v>
      </c>
      <c r="C922" s="77">
        <v>0</v>
      </c>
      <c r="D922" s="77">
        <v>0</v>
      </c>
      <c r="E922" s="77">
        <v>0</v>
      </c>
      <c r="F922" s="77">
        <v>0</v>
      </c>
      <c r="G922" s="77">
        <v>0</v>
      </c>
      <c r="H922" s="77">
        <v>0</v>
      </c>
      <c r="I922" s="77">
        <v>0</v>
      </c>
      <c r="J922" s="77">
        <v>0</v>
      </c>
      <c r="K922" s="77">
        <v>0</v>
      </c>
      <c r="L922" s="77">
        <v>0</v>
      </c>
      <c r="M922" s="77">
        <v>0</v>
      </c>
      <c r="N922" s="77">
        <v>0</v>
      </c>
      <c r="O922" s="77">
        <v>0</v>
      </c>
      <c r="P922" s="77">
        <v>0</v>
      </c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  <c r="AG922" s="77"/>
    </row>
    <row r="923" spans="1:33" x14ac:dyDescent="0.25">
      <c r="A923" s="77" t="s">
        <v>2</v>
      </c>
      <c r="B923" s="77">
        <v>0</v>
      </c>
      <c r="C923" s="77">
        <v>0</v>
      </c>
      <c r="D923" s="77">
        <v>0</v>
      </c>
      <c r="E923" s="77">
        <v>0</v>
      </c>
      <c r="F923" s="77">
        <v>0</v>
      </c>
      <c r="G923" s="77">
        <v>0</v>
      </c>
      <c r="H923" s="77">
        <v>0</v>
      </c>
      <c r="I923" s="77">
        <v>0</v>
      </c>
      <c r="J923" s="77">
        <v>0</v>
      </c>
      <c r="K923" s="77">
        <v>0</v>
      </c>
      <c r="L923" s="77">
        <v>0</v>
      </c>
      <c r="M923" s="77">
        <v>0</v>
      </c>
      <c r="N923" s="77">
        <v>0</v>
      </c>
      <c r="O923" s="77">
        <v>0</v>
      </c>
      <c r="P923" s="77">
        <v>0</v>
      </c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  <c r="AG923" s="77"/>
    </row>
    <row r="924" spans="1:33" x14ac:dyDescent="0.25">
      <c r="A924" s="77" t="s">
        <v>3</v>
      </c>
      <c r="B924" s="77">
        <v>29.417538199999999</v>
      </c>
      <c r="C924" s="77">
        <v>0</v>
      </c>
      <c r="D924" s="77">
        <v>29.417538199999999</v>
      </c>
      <c r="E924" s="77">
        <v>0</v>
      </c>
      <c r="F924" s="77">
        <v>0</v>
      </c>
      <c r="G924" s="77">
        <v>0</v>
      </c>
      <c r="H924" s="77">
        <v>0</v>
      </c>
      <c r="I924" s="77">
        <v>0</v>
      </c>
      <c r="J924" s="77">
        <v>0</v>
      </c>
      <c r="K924" s="77">
        <v>29.417538199999999</v>
      </c>
      <c r="L924" s="77">
        <v>0</v>
      </c>
      <c r="M924" s="77">
        <v>0</v>
      </c>
      <c r="N924" s="77">
        <v>0</v>
      </c>
      <c r="O924" s="77">
        <v>0</v>
      </c>
      <c r="P924" s="77">
        <v>0</v>
      </c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  <c r="AG924" s="77"/>
    </row>
    <row r="925" spans="1:33" x14ac:dyDescent="0.25">
      <c r="A925" s="77" t="s">
        <v>4</v>
      </c>
      <c r="B925" s="77">
        <v>45.887658100000003</v>
      </c>
      <c r="C925" s="77">
        <v>0</v>
      </c>
      <c r="D925" s="77">
        <v>45.887658100000003</v>
      </c>
      <c r="E925" s="77">
        <v>22.952514600000001</v>
      </c>
      <c r="F925" s="77">
        <v>3.30261519</v>
      </c>
      <c r="G925" s="77">
        <v>18.591564099999999</v>
      </c>
      <c r="H925" s="77">
        <v>1.0409641700000001</v>
      </c>
      <c r="I925" s="77">
        <v>0</v>
      </c>
      <c r="J925" s="77">
        <v>0</v>
      </c>
      <c r="K925" s="77">
        <v>0</v>
      </c>
      <c r="L925" s="77">
        <v>0</v>
      </c>
      <c r="M925" s="77">
        <v>0</v>
      </c>
      <c r="N925" s="77">
        <v>0</v>
      </c>
      <c r="O925" s="77">
        <v>0</v>
      </c>
      <c r="P925" s="77">
        <v>0</v>
      </c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  <c r="AG925" s="77"/>
    </row>
    <row r="926" spans="1:33" x14ac:dyDescent="0.25">
      <c r="A926" s="77" t="s">
        <v>5</v>
      </c>
      <c r="B926" s="77">
        <v>29.417538199999999</v>
      </c>
      <c r="C926" s="77">
        <v>29.417538199999999</v>
      </c>
      <c r="D926" s="105">
        <v>0</v>
      </c>
      <c r="E926" s="77">
        <v>16.419082</v>
      </c>
      <c r="F926" s="77">
        <v>2.6085984199999999</v>
      </c>
      <c r="G926" s="77">
        <v>10.2051664</v>
      </c>
      <c r="H926" s="77">
        <v>0.18469131699999999</v>
      </c>
      <c r="I926" s="77">
        <v>0</v>
      </c>
      <c r="J926" s="77">
        <v>0</v>
      </c>
      <c r="K926" s="77">
        <v>0</v>
      </c>
      <c r="L926" s="77">
        <v>0</v>
      </c>
      <c r="M926" s="77">
        <v>0</v>
      </c>
      <c r="N926" s="77">
        <v>0</v>
      </c>
      <c r="O926" s="77">
        <v>0</v>
      </c>
      <c r="P926" s="77">
        <v>0</v>
      </c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  <c r="AG926" s="77"/>
    </row>
    <row r="927" spans="1:33" x14ac:dyDescent="0.25">
      <c r="A927" s="77" t="s">
        <v>6</v>
      </c>
      <c r="B927" s="77">
        <v>0</v>
      </c>
      <c r="C927" s="77">
        <v>0</v>
      </c>
      <c r="D927" s="77">
        <v>0</v>
      </c>
      <c r="E927" s="77">
        <v>0</v>
      </c>
      <c r="F927" s="77">
        <v>0</v>
      </c>
      <c r="G927" s="77">
        <v>0</v>
      </c>
      <c r="H927" s="77">
        <v>0</v>
      </c>
      <c r="I927" s="77">
        <v>0</v>
      </c>
      <c r="J927" s="77">
        <v>0</v>
      </c>
      <c r="K927" s="77">
        <v>0</v>
      </c>
      <c r="L927" s="77">
        <v>0</v>
      </c>
      <c r="M927" s="77">
        <v>0</v>
      </c>
      <c r="N927" s="77">
        <v>0</v>
      </c>
      <c r="O927" s="77">
        <v>0</v>
      </c>
      <c r="P927" s="77">
        <v>0</v>
      </c>
      <c r="R927" s="77"/>
      <c r="S927" s="77"/>
      <c r="T927" s="77"/>
      <c r="U927" s="105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  <c r="AG927" s="77"/>
    </row>
    <row r="928" spans="1:33" x14ac:dyDescent="0.25">
      <c r="A928" s="77" t="s">
        <v>7</v>
      </c>
      <c r="B928" s="77">
        <v>0</v>
      </c>
      <c r="C928" s="77">
        <v>0</v>
      </c>
      <c r="D928" s="77">
        <v>0</v>
      </c>
      <c r="E928" s="77">
        <v>0</v>
      </c>
      <c r="F928" s="77">
        <v>0</v>
      </c>
      <c r="G928" s="77">
        <v>0</v>
      </c>
      <c r="H928" s="77">
        <v>0</v>
      </c>
      <c r="I928" s="77">
        <v>0</v>
      </c>
      <c r="J928" s="77">
        <v>0</v>
      </c>
      <c r="K928" s="77">
        <v>0</v>
      </c>
      <c r="L928" s="77">
        <v>0</v>
      </c>
      <c r="M928" s="77">
        <v>0</v>
      </c>
      <c r="N928" s="77">
        <v>0</v>
      </c>
      <c r="O928" s="77">
        <v>0</v>
      </c>
      <c r="P928" s="77">
        <v>0</v>
      </c>
      <c r="R928" s="77"/>
      <c r="S928" s="77"/>
      <c r="T928" s="77"/>
      <c r="U928" s="105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  <c r="AG928" s="77"/>
    </row>
    <row r="929" spans="1:33" x14ac:dyDescent="0.25">
      <c r="A929" s="77" t="s">
        <v>8</v>
      </c>
      <c r="B929" s="77">
        <v>0</v>
      </c>
      <c r="C929" s="77">
        <v>0</v>
      </c>
      <c r="D929" s="77">
        <v>0</v>
      </c>
      <c r="E929" s="77">
        <v>0</v>
      </c>
      <c r="F929" s="77">
        <v>0</v>
      </c>
      <c r="G929" s="77">
        <v>0</v>
      </c>
      <c r="H929" s="77">
        <v>0</v>
      </c>
      <c r="I929" s="77">
        <v>0</v>
      </c>
      <c r="J929" s="77">
        <v>0</v>
      </c>
      <c r="K929" s="77">
        <v>0</v>
      </c>
      <c r="L929" s="77">
        <v>0</v>
      </c>
      <c r="M929" s="77">
        <v>0</v>
      </c>
      <c r="N929" s="77">
        <v>0</v>
      </c>
      <c r="O929" s="77">
        <v>0</v>
      </c>
      <c r="P929" s="77">
        <v>0</v>
      </c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  <c r="AG929" s="77"/>
    </row>
    <row r="930" spans="1:33" x14ac:dyDescent="0.25">
      <c r="A930" s="77" t="s">
        <v>9</v>
      </c>
      <c r="B930" s="77">
        <v>0</v>
      </c>
      <c r="C930" s="77">
        <v>0</v>
      </c>
      <c r="D930" s="77">
        <v>0</v>
      </c>
      <c r="E930" s="77">
        <v>0</v>
      </c>
      <c r="F930" s="77">
        <v>0</v>
      </c>
      <c r="G930" s="77">
        <v>0</v>
      </c>
      <c r="H930" s="77">
        <v>0</v>
      </c>
      <c r="I930" s="77">
        <v>0</v>
      </c>
      <c r="J930" s="77">
        <v>0</v>
      </c>
      <c r="K930" s="77">
        <v>0</v>
      </c>
      <c r="L930" s="77">
        <v>0</v>
      </c>
      <c r="M930" s="77">
        <v>0</v>
      </c>
      <c r="N930" s="77">
        <v>0</v>
      </c>
      <c r="O930" s="77">
        <v>0</v>
      </c>
      <c r="P930" s="77">
        <v>0</v>
      </c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  <c r="AG930" s="77"/>
    </row>
    <row r="931" spans="1:33" x14ac:dyDescent="0.25">
      <c r="A931" s="77" t="s">
        <v>10</v>
      </c>
      <c r="B931" s="77">
        <v>0</v>
      </c>
      <c r="C931" s="77">
        <v>0</v>
      </c>
      <c r="D931" s="77">
        <v>0</v>
      </c>
      <c r="E931" s="77">
        <v>0</v>
      </c>
      <c r="F931" s="77">
        <v>0</v>
      </c>
      <c r="G931" s="77">
        <v>0</v>
      </c>
      <c r="H931" s="77">
        <v>0</v>
      </c>
      <c r="I931" s="77">
        <v>0</v>
      </c>
      <c r="J931" s="77">
        <v>0</v>
      </c>
      <c r="K931" s="77">
        <v>0</v>
      </c>
      <c r="L931" s="77">
        <v>0</v>
      </c>
      <c r="M931" s="77">
        <v>0</v>
      </c>
      <c r="N931" s="77">
        <v>0</v>
      </c>
      <c r="O931" s="77">
        <v>0</v>
      </c>
      <c r="P931" s="77">
        <v>0</v>
      </c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  <c r="AG931" s="77"/>
    </row>
    <row r="932" spans="1:33" x14ac:dyDescent="0.25">
      <c r="A932" s="77" t="s">
        <v>11</v>
      </c>
      <c r="B932" s="77">
        <v>0</v>
      </c>
      <c r="C932" s="77">
        <v>0</v>
      </c>
      <c r="D932" s="77">
        <v>0</v>
      </c>
      <c r="E932" s="77">
        <v>0</v>
      </c>
      <c r="F932" s="77">
        <v>0</v>
      </c>
      <c r="G932" s="77">
        <v>0</v>
      </c>
      <c r="H932" s="77">
        <v>0</v>
      </c>
      <c r="I932" s="77">
        <v>0</v>
      </c>
      <c r="J932" s="77">
        <v>0</v>
      </c>
      <c r="K932" s="77">
        <v>0</v>
      </c>
      <c r="L932" s="77">
        <v>0</v>
      </c>
      <c r="M932" s="77">
        <v>0</v>
      </c>
      <c r="N932" s="77">
        <v>0</v>
      </c>
      <c r="O932" s="77">
        <v>0</v>
      </c>
      <c r="P932" s="77">
        <v>0</v>
      </c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  <c r="AG932" s="77"/>
    </row>
    <row r="933" spans="1:33" x14ac:dyDescent="0.25">
      <c r="A933" s="77" t="s">
        <v>12</v>
      </c>
      <c r="B933" s="77">
        <v>0</v>
      </c>
      <c r="C933" s="77">
        <v>0</v>
      </c>
      <c r="D933" s="77">
        <v>0</v>
      </c>
      <c r="E933" s="77">
        <v>0</v>
      </c>
      <c r="F933" s="77">
        <v>0</v>
      </c>
      <c r="G933" s="77">
        <v>0</v>
      </c>
      <c r="H933" s="77">
        <v>0</v>
      </c>
      <c r="I933" s="77">
        <v>0</v>
      </c>
      <c r="J933" s="77">
        <v>0</v>
      </c>
      <c r="K933" s="77">
        <v>0</v>
      </c>
      <c r="L933" s="77">
        <v>0</v>
      </c>
      <c r="M933" s="77">
        <v>0</v>
      </c>
      <c r="N933" s="77">
        <v>0</v>
      </c>
      <c r="O933" s="77">
        <v>0</v>
      </c>
      <c r="P933" s="77">
        <v>0</v>
      </c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  <c r="AG933" s="77"/>
    </row>
    <row r="934" spans="1:33" x14ac:dyDescent="0.25">
      <c r="A934" s="77" t="s">
        <v>13</v>
      </c>
      <c r="B934" s="77">
        <v>0</v>
      </c>
      <c r="C934" s="77">
        <v>0</v>
      </c>
      <c r="D934" s="77">
        <v>0</v>
      </c>
      <c r="E934" s="77">
        <v>0</v>
      </c>
      <c r="F934" s="77">
        <v>0</v>
      </c>
      <c r="G934" s="77">
        <v>0</v>
      </c>
      <c r="H934" s="77">
        <v>0</v>
      </c>
      <c r="I934" s="77">
        <v>0</v>
      </c>
      <c r="J934" s="77">
        <v>0</v>
      </c>
      <c r="K934" s="77">
        <v>0</v>
      </c>
      <c r="L934" s="77">
        <v>0</v>
      </c>
      <c r="M934" s="77">
        <v>0</v>
      </c>
      <c r="N934" s="77">
        <v>0</v>
      </c>
      <c r="O934" s="77">
        <v>0</v>
      </c>
      <c r="P934" s="77">
        <v>0</v>
      </c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  <c r="AG934" s="77"/>
    </row>
    <row r="935" spans="1:33" x14ac:dyDescent="0.25">
      <c r="A935" s="77" t="s">
        <v>14</v>
      </c>
      <c r="B935" s="77">
        <v>0</v>
      </c>
      <c r="C935" s="77">
        <v>0</v>
      </c>
      <c r="D935" s="77">
        <v>0</v>
      </c>
      <c r="E935" s="77">
        <v>0</v>
      </c>
      <c r="F935" s="77">
        <v>0</v>
      </c>
      <c r="G935" s="77">
        <v>0</v>
      </c>
      <c r="H935" s="77">
        <v>0</v>
      </c>
      <c r="I935" s="77">
        <v>0</v>
      </c>
      <c r="J935" s="77">
        <v>0</v>
      </c>
      <c r="K935" s="77">
        <v>0</v>
      </c>
      <c r="L935" s="77">
        <v>0</v>
      </c>
      <c r="M935" s="77">
        <v>0</v>
      </c>
      <c r="N935" s="77">
        <v>0</v>
      </c>
      <c r="O935" s="77">
        <v>0</v>
      </c>
      <c r="P935" s="77">
        <v>0</v>
      </c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7"/>
      <c r="AD935" s="77"/>
      <c r="AE935" s="77"/>
      <c r="AF935" s="77"/>
      <c r="AG935" s="77"/>
    </row>
    <row r="936" spans="1:33" x14ac:dyDescent="0.25">
      <c r="A936" s="77" t="s">
        <v>462</v>
      </c>
      <c r="B936" s="77"/>
      <c r="C936" s="77"/>
      <c r="D936" s="77"/>
      <c r="E936" s="77"/>
      <c r="F936" s="77"/>
      <c r="G936" s="77"/>
      <c r="H936" s="77"/>
      <c r="I936" s="77"/>
      <c r="J936" s="77"/>
      <c r="K936" s="77"/>
      <c r="L936" s="77"/>
      <c r="M936" s="77"/>
      <c r="N936" s="77"/>
      <c r="O936" s="77"/>
      <c r="P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7"/>
      <c r="AD936" s="77"/>
      <c r="AE936" s="77"/>
      <c r="AF936" s="77"/>
      <c r="AG936" s="77"/>
    </row>
    <row r="937" spans="1:33" x14ac:dyDescent="0.25">
      <c r="A937" s="77" t="s">
        <v>360</v>
      </c>
      <c r="B937" s="77" t="s">
        <v>366</v>
      </c>
      <c r="C937" s="77" t="s">
        <v>367</v>
      </c>
      <c r="D937" s="77" t="s">
        <v>368</v>
      </c>
      <c r="E937" s="77" t="s">
        <v>21</v>
      </c>
      <c r="F937" s="77" t="s">
        <v>22</v>
      </c>
      <c r="G937" s="77" t="s">
        <v>23</v>
      </c>
      <c r="H937" s="77" t="s">
        <v>361</v>
      </c>
      <c r="I937" s="77" t="s">
        <v>25</v>
      </c>
      <c r="J937" s="77" t="s">
        <v>362</v>
      </c>
      <c r="K937" s="77" t="s">
        <v>5</v>
      </c>
      <c r="L937" s="77" t="s">
        <v>6</v>
      </c>
      <c r="M937" s="77" t="s">
        <v>7</v>
      </c>
      <c r="N937" s="77" t="s">
        <v>8</v>
      </c>
      <c r="O937" s="77" t="s">
        <v>9</v>
      </c>
      <c r="P937" s="77" t="s">
        <v>363</v>
      </c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7"/>
      <c r="AD937" s="77"/>
      <c r="AE937" s="77"/>
      <c r="AF937" s="77"/>
      <c r="AG937" s="77"/>
    </row>
    <row r="938" spans="1:33" x14ac:dyDescent="0.25">
      <c r="A938" s="77" t="s">
        <v>364</v>
      </c>
      <c r="B938" s="77" t="s">
        <v>369</v>
      </c>
      <c r="C938" s="77" t="s">
        <v>369</v>
      </c>
      <c r="D938" s="77" t="s">
        <v>369</v>
      </c>
      <c r="E938" s="77" t="s">
        <v>369</v>
      </c>
      <c r="F938" s="77" t="s">
        <v>369</v>
      </c>
      <c r="G938" s="77" t="s">
        <v>369</v>
      </c>
      <c r="H938" s="77" t="s">
        <v>369</v>
      </c>
      <c r="I938" s="77" t="s">
        <v>369</v>
      </c>
      <c r="J938" s="77" t="s">
        <v>369</v>
      </c>
      <c r="K938" s="77" t="s">
        <v>369</v>
      </c>
      <c r="L938" s="77" t="s">
        <v>369</v>
      </c>
      <c r="M938" s="77" t="s">
        <v>369</v>
      </c>
      <c r="N938" s="77" t="s">
        <v>369</v>
      </c>
      <c r="O938" s="77" t="s">
        <v>369</v>
      </c>
      <c r="P938" s="77" t="s">
        <v>369</v>
      </c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7"/>
      <c r="AD938" s="77"/>
      <c r="AE938" s="77"/>
      <c r="AF938" s="77"/>
      <c r="AG938" s="77"/>
    </row>
    <row r="939" spans="1:33" x14ac:dyDescent="0.25">
      <c r="A939" s="77" t="s">
        <v>1</v>
      </c>
      <c r="B939" s="77">
        <v>78.368869700000005</v>
      </c>
      <c r="C939" s="77">
        <v>0</v>
      </c>
      <c r="D939" s="77">
        <v>78.368869700000005</v>
      </c>
      <c r="E939" s="77">
        <v>49.995046799999997</v>
      </c>
      <c r="F939" s="77">
        <v>0</v>
      </c>
      <c r="G939" s="77">
        <v>28.373822799999999</v>
      </c>
      <c r="H939" s="77">
        <v>0</v>
      </c>
      <c r="I939" s="77">
        <v>0</v>
      </c>
      <c r="J939" s="77">
        <v>0</v>
      </c>
      <c r="K939" s="77">
        <v>0</v>
      </c>
      <c r="L939" s="77">
        <v>0</v>
      </c>
      <c r="M939" s="77">
        <v>0</v>
      </c>
      <c r="N939" s="77">
        <v>0</v>
      </c>
      <c r="O939" s="77">
        <v>0</v>
      </c>
      <c r="P939" s="77">
        <v>0</v>
      </c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7"/>
      <c r="AD939" s="77"/>
      <c r="AE939" s="77"/>
      <c r="AF939" s="77"/>
      <c r="AG939" s="77"/>
    </row>
    <row r="940" spans="1:33" x14ac:dyDescent="0.25">
      <c r="A940" s="77" t="s">
        <v>2</v>
      </c>
      <c r="B940" s="77">
        <v>78.323644900000005</v>
      </c>
      <c r="C940" s="77">
        <v>0</v>
      </c>
      <c r="D940" s="77">
        <v>78.323644900000005</v>
      </c>
      <c r="E940" s="77">
        <v>54.423800300000003</v>
      </c>
      <c r="F940" s="77">
        <v>2.0829774200000002</v>
      </c>
      <c r="G940" s="77">
        <v>9.9605549399999997</v>
      </c>
      <c r="H940" s="77">
        <v>0.208980211</v>
      </c>
      <c r="I940" s="77">
        <v>0</v>
      </c>
      <c r="J940" s="77">
        <v>0</v>
      </c>
      <c r="K940" s="77">
        <v>11.647332</v>
      </c>
      <c r="L940" s="77">
        <v>0</v>
      </c>
      <c r="M940" s="77">
        <v>0</v>
      </c>
      <c r="N940" s="77">
        <v>0</v>
      </c>
      <c r="O940" s="77">
        <v>0</v>
      </c>
      <c r="P940" s="77">
        <v>0</v>
      </c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7"/>
      <c r="AD940" s="77"/>
      <c r="AE940" s="77"/>
      <c r="AF940" s="77"/>
      <c r="AG940" s="77"/>
    </row>
    <row r="941" spans="1:33" x14ac:dyDescent="0.25">
      <c r="A941" s="77" t="s">
        <v>3</v>
      </c>
      <c r="B941" s="77">
        <v>40.043230200000004</v>
      </c>
      <c r="C941" s="77">
        <v>0</v>
      </c>
      <c r="D941" s="77">
        <v>40.043230200000004</v>
      </c>
      <c r="E941" s="77">
        <v>0</v>
      </c>
      <c r="F941" s="77">
        <v>0</v>
      </c>
      <c r="G941" s="77">
        <v>0</v>
      </c>
      <c r="H941" s="77">
        <v>0</v>
      </c>
      <c r="I941" s="77">
        <v>0</v>
      </c>
      <c r="J941" s="77">
        <v>0</v>
      </c>
      <c r="K941" s="77">
        <v>5.0681900899999999</v>
      </c>
      <c r="L941" s="77">
        <v>0</v>
      </c>
      <c r="M941" s="77">
        <v>0</v>
      </c>
      <c r="N941" s="77">
        <v>0</v>
      </c>
      <c r="O941" s="77">
        <v>0</v>
      </c>
      <c r="P941" s="77">
        <v>34.975040100000001</v>
      </c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7"/>
      <c r="AD941" s="77"/>
      <c r="AE941" s="77"/>
      <c r="AF941" s="77"/>
      <c r="AG941" s="77"/>
    </row>
    <row r="942" spans="1:33" x14ac:dyDescent="0.25">
      <c r="A942" s="77" t="s">
        <v>4</v>
      </c>
      <c r="B942" s="77">
        <v>143.76858300000001</v>
      </c>
      <c r="C942" s="77">
        <v>0</v>
      </c>
      <c r="D942" s="77">
        <v>143.76858300000001</v>
      </c>
      <c r="E942" s="77">
        <v>77.250410200000005</v>
      </c>
      <c r="F942" s="77">
        <v>12.3812011</v>
      </c>
      <c r="G942" s="77">
        <v>57.691937199999998</v>
      </c>
      <c r="H942" s="77">
        <v>2.8887239600000001</v>
      </c>
      <c r="I942" s="77">
        <v>0</v>
      </c>
      <c r="J942" s="77">
        <v>0</v>
      </c>
      <c r="K942" s="77">
        <v>0</v>
      </c>
      <c r="L942" s="77">
        <v>0</v>
      </c>
      <c r="M942" s="77">
        <v>0</v>
      </c>
      <c r="N942" s="77">
        <v>0</v>
      </c>
      <c r="O942" s="77">
        <v>0</v>
      </c>
      <c r="P942" s="77">
        <v>-6.44368987</v>
      </c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7"/>
      <c r="AD942" s="77"/>
      <c r="AE942" s="77"/>
      <c r="AF942" s="77"/>
      <c r="AG942" s="77"/>
    </row>
    <row r="943" spans="1:33" x14ac:dyDescent="0.25">
      <c r="A943" s="77" t="s">
        <v>5</v>
      </c>
      <c r="B943" s="77">
        <v>55.197818900000001</v>
      </c>
      <c r="C943" s="77">
        <v>57.054181100000001</v>
      </c>
      <c r="D943" s="77">
        <v>-1.8563621699999999</v>
      </c>
      <c r="E943" s="77">
        <v>28.563512299999999</v>
      </c>
      <c r="F943" s="77">
        <v>4.9264393999999996</v>
      </c>
      <c r="G943" s="77">
        <v>21.305279599999999</v>
      </c>
      <c r="H943" s="77">
        <v>0.40258763400000003</v>
      </c>
      <c r="I943" s="77">
        <v>0</v>
      </c>
      <c r="J943" s="77">
        <v>0</v>
      </c>
      <c r="K943" s="77">
        <v>0</v>
      </c>
      <c r="L943" s="77">
        <v>0</v>
      </c>
      <c r="M943" s="77">
        <v>0</v>
      </c>
      <c r="N943" s="77">
        <v>0</v>
      </c>
      <c r="O943" s="77">
        <v>0</v>
      </c>
      <c r="P943" s="77">
        <v>0</v>
      </c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7"/>
      <c r="AD943" s="77"/>
      <c r="AE943" s="77"/>
      <c r="AF943" s="77"/>
      <c r="AG943" s="77"/>
    </row>
    <row r="944" spans="1:33" x14ac:dyDescent="0.25">
      <c r="A944" s="77" t="s">
        <v>6</v>
      </c>
      <c r="B944" s="77">
        <v>0</v>
      </c>
      <c r="C944" s="77">
        <v>0</v>
      </c>
      <c r="D944" s="77">
        <v>0</v>
      </c>
      <c r="E944" s="77">
        <v>0</v>
      </c>
      <c r="F944" s="77">
        <v>0</v>
      </c>
      <c r="G944" s="77">
        <v>0</v>
      </c>
      <c r="H944" s="77">
        <v>0</v>
      </c>
      <c r="I944" s="77">
        <v>0</v>
      </c>
      <c r="J944" s="77">
        <v>0</v>
      </c>
      <c r="K944" s="77">
        <v>0</v>
      </c>
      <c r="L944" s="77">
        <v>0</v>
      </c>
      <c r="M944" s="77">
        <v>0</v>
      </c>
      <c r="N944" s="77">
        <v>0</v>
      </c>
      <c r="O944" s="77">
        <v>0</v>
      </c>
      <c r="P944" s="77">
        <v>0</v>
      </c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7"/>
      <c r="AD944" s="77"/>
      <c r="AE944" s="77"/>
      <c r="AF944" s="77"/>
      <c r="AG944" s="77"/>
    </row>
    <row r="945" spans="1:33" x14ac:dyDescent="0.25">
      <c r="A945" s="77" t="s">
        <v>7</v>
      </c>
      <c r="B945" s="77">
        <v>0</v>
      </c>
      <c r="C945" s="77">
        <v>0</v>
      </c>
      <c r="D945" s="77">
        <v>0</v>
      </c>
      <c r="E945" s="77">
        <v>0</v>
      </c>
      <c r="F945" s="77">
        <v>0</v>
      </c>
      <c r="G945" s="77">
        <v>0</v>
      </c>
      <c r="H945" s="77">
        <v>0</v>
      </c>
      <c r="I945" s="77">
        <v>0</v>
      </c>
      <c r="J945" s="77">
        <v>0</v>
      </c>
      <c r="K945" s="77">
        <v>0</v>
      </c>
      <c r="L945" s="77">
        <v>0</v>
      </c>
      <c r="M945" s="77">
        <v>0</v>
      </c>
      <c r="N945" s="77">
        <v>0</v>
      </c>
      <c r="O945" s="77">
        <v>0</v>
      </c>
      <c r="P945" s="77">
        <v>0</v>
      </c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7"/>
      <c r="AD945" s="77"/>
      <c r="AE945" s="77"/>
      <c r="AF945" s="77"/>
      <c r="AG945" s="77"/>
    </row>
    <row r="946" spans="1:33" x14ac:dyDescent="0.25">
      <c r="A946" s="77" t="s">
        <v>8</v>
      </c>
      <c r="B946" s="77">
        <v>0</v>
      </c>
      <c r="C946" s="77">
        <v>0</v>
      </c>
      <c r="D946" s="77">
        <v>0</v>
      </c>
      <c r="E946" s="77">
        <v>0</v>
      </c>
      <c r="F946" s="77">
        <v>0</v>
      </c>
      <c r="G946" s="77">
        <v>0</v>
      </c>
      <c r="H946" s="77">
        <v>0</v>
      </c>
      <c r="I946" s="77">
        <v>0</v>
      </c>
      <c r="J946" s="77">
        <v>0</v>
      </c>
      <c r="K946" s="77">
        <v>0</v>
      </c>
      <c r="L946" s="77">
        <v>0</v>
      </c>
      <c r="M946" s="77">
        <v>0</v>
      </c>
      <c r="N946" s="77">
        <v>0</v>
      </c>
      <c r="O946" s="77">
        <v>0</v>
      </c>
      <c r="P946" s="77">
        <v>0</v>
      </c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7"/>
      <c r="AD946" s="77"/>
      <c r="AE946" s="77"/>
      <c r="AF946" s="77"/>
      <c r="AG946" s="77"/>
    </row>
    <row r="947" spans="1:33" x14ac:dyDescent="0.25">
      <c r="A947" s="77" t="s">
        <v>9</v>
      </c>
      <c r="B947" s="77">
        <v>0</v>
      </c>
      <c r="C947" s="77">
        <v>0</v>
      </c>
      <c r="D947" s="77">
        <v>0</v>
      </c>
      <c r="E947" s="77">
        <v>0</v>
      </c>
      <c r="F947" s="77">
        <v>0</v>
      </c>
      <c r="G947" s="77">
        <v>0</v>
      </c>
      <c r="H947" s="77">
        <v>0</v>
      </c>
      <c r="I947" s="77">
        <v>0</v>
      </c>
      <c r="J947" s="77">
        <v>0</v>
      </c>
      <c r="K947" s="77">
        <v>0</v>
      </c>
      <c r="L947" s="77">
        <v>0</v>
      </c>
      <c r="M947" s="77">
        <v>0</v>
      </c>
      <c r="N947" s="77">
        <v>0</v>
      </c>
      <c r="O947" s="77">
        <v>0</v>
      </c>
      <c r="P947" s="77">
        <v>0</v>
      </c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7"/>
      <c r="AD947" s="77"/>
      <c r="AE947" s="77"/>
      <c r="AF947" s="77"/>
      <c r="AG947" s="77"/>
    </row>
    <row r="948" spans="1:33" x14ac:dyDescent="0.25">
      <c r="A948" s="77" t="s">
        <v>10</v>
      </c>
      <c r="B948" s="77">
        <v>61.466483799999999</v>
      </c>
      <c r="C948" s="77">
        <v>0</v>
      </c>
      <c r="D948" s="77">
        <v>61.466483799999999</v>
      </c>
      <c r="E948" s="77">
        <v>30.255244900000001</v>
      </c>
      <c r="F948" s="77">
        <v>1.1579675</v>
      </c>
      <c r="G948" s="77">
        <v>5.5372654399999996</v>
      </c>
      <c r="H948" s="77">
        <v>0.11617614800000001</v>
      </c>
      <c r="I948" s="77">
        <v>0</v>
      </c>
      <c r="J948" s="77">
        <v>0</v>
      </c>
      <c r="K948" s="77">
        <v>24.399829799999999</v>
      </c>
      <c r="L948" s="77">
        <v>0</v>
      </c>
      <c r="M948" s="77">
        <v>0</v>
      </c>
      <c r="N948" s="77">
        <v>0</v>
      </c>
      <c r="O948" s="77">
        <v>0</v>
      </c>
      <c r="P948" s="77">
        <v>0</v>
      </c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7"/>
      <c r="AD948" s="77"/>
      <c r="AE948" s="77"/>
      <c r="AF948" s="77"/>
      <c r="AG948" s="77"/>
    </row>
    <row r="949" spans="1:33" x14ac:dyDescent="0.25">
      <c r="A949" s="77" t="s">
        <v>11</v>
      </c>
      <c r="B949" s="77">
        <v>3.8239715099999998</v>
      </c>
      <c r="C949" s="77">
        <v>0</v>
      </c>
      <c r="D949" s="77">
        <v>3.8239715099999998</v>
      </c>
      <c r="E949" s="77">
        <v>1.91270955</v>
      </c>
      <c r="F949" s="77">
        <v>0.275217932</v>
      </c>
      <c r="G949" s="77">
        <v>1.5492970100000001</v>
      </c>
      <c r="H949" s="77">
        <v>8.6747013900000003E-2</v>
      </c>
      <c r="I949" s="77">
        <v>0</v>
      </c>
      <c r="J949" s="77">
        <v>0</v>
      </c>
      <c r="K949" s="77">
        <v>0</v>
      </c>
      <c r="L949" s="77">
        <v>0</v>
      </c>
      <c r="M949" s="77">
        <v>0</v>
      </c>
      <c r="N949" s="77">
        <v>0</v>
      </c>
      <c r="O949" s="77">
        <v>0</v>
      </c>
      <c r="P949" s="77">
        <v>0</v>
      </c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7"/>
      <c r="AD949" s="77"/>
      <c r="AE949" s="77"/>
      <c r="AF949" s="77"/>
      <c r="AG949" s="77"/>
    </row>
    <row r="950" spans="1:33" x14ac:dyDescent="0.25">
      <c r="A950" s="77" t="s">
        <v>12</v>
      </c>
      <c r="B950" s="77">
        <v>57.401851999999998</v>
      </c>
      <c r="C950" s="77">
        <v>28.531350199999999</v>
      </c>
      <c r="D950" s="77">
        <v>28.8705018</v>
      </c>
      <c r="E950" s="77">
        <v>43.992319700000003</v>
      </c>
      <c r="F950" s="77">
        <v>0.84434452900000001</v>
      </c>
      <c r="G950" s="77">
        <v>8.0998179199999996</v>
      </c>
      <c r="H950" s="77">
        <v>0.26024104199999998</v>
      </c>
      <c r="I950" s="77">
        <v>0</v>
      </c>
      <c r="J950" s="77">
        <v>0</v>
      </c>
      <c r="K950" s="77">
        <v>4.2051287400000001</v>
      </c>
      <c r="L950" s="77">
        <v>0</v>
      </c>
      <c r="M950" s="77">
        <v>0</v>
      </c>
      <c r="N950" s="77">
        <v>0</v>
      </c>
      <c r="O950" s="77">
        <v>0</v>
      </c>
      <c r="P950" s="77">
        <v>0</v>
      </c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7"/>
      <c r="AD950" s="77"/>
      <c r="AE950" s="77"/>
      <c r="AF950" s="77"/>
      <c r="AG950" s="77"/>
    </row>
    <row r="951" spans="1:33" x14ac:dyDescent="0.25">
      <c r="A951" s="77" t="s">
        <v>13</v>
      </c>
      <c r="B951" s="77">
        <v>72.676922200000007</v>
      </c>
      <c r="C951" s="77">
        <v>0</v>
      </c>
      <c r="D951" s="77">
        <v>72.676922200000007</v>
      </c>
      <c r="E951" s="77">
        <v>56.392910700000002</v>
      </c>
      <c r="F951" s="77">
        <v>4.5503110600000003</v>
      </c>
      <c r="G951" s="77">
        <v>0</v>
      </c>
      <c r="H951" s="77">
        <v>0</v>
      </c>
      <c r="I951" s="77">
        <v>0</v>
      </c>
      <c r="J951" s="77">
        <v>0</v>
      </c>
      <c r="K951" s="77">
        <v>11.7337004</v>
      </c>
      <c r="L951" s="77">
        <v>0</v>
      </c>
      <c r="M951" s="77">
        <v>0</v>
      </c>
      <c r="N951" s="77">
        <v>0</v>
      </c>
      <c r="O951" s="77">
        <v>0</v>
      </c>
      <c r="P951" s="77">
        <v>0</v>
      </c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7"/>
      <c r="AD951" s="77"/>
      <c r="AE951" s="77"/>
      <c r="AF951" s="77"/>
      <c r="AG951" s="77"/>
    </row>
    <row r="952" spans="1:33" x14ac:dyDescent="0.25">
      <c r="A952" s="77" t="s">
        <v>14</v>
      </c>
      <c r="B952" s="77">
        <v>36.575516999999998</v>
      </c>
      <c r="C952" s="77">
        <v>0</v>
      </c>
      <c r="D952" s="77">
        <v>36.575516999999998</v>
      </c>
      <c r="E952" s="77">
        <v>17.860002300000001</v>
      </c>
      <c r="F952" s="77">
        <v>0.42557067199999998</v>
      </c>
      <c r="G952" s="77">
        <v>18.186334899999999</v>
      </c>
      <c r="H952" s="77">
        <v>0.103609063</v>
      </c>
      <c r="I952" s="105">
        <v>0</v>
      </c>
      <c r="J952" s="77">
        <v>0</v>
      </c>
      <c r="K952" s="77">
        <v>0</v>
      </c>
      <c r="L952" s="77">
        <v>0</v>
      </c>
      <c r="M952" s="77">
        <v>0</v>
      </c>
      <c r="N952" s="77">
        <v>0</v>
      </c>
      <c r="O952" s="77">
        <v>0</v>
      </c>
      <c r="P952" s="77">
        <v>0</v>
      </c>
      <c r="R952" s="77"/>
      <c r="S952" s="77"/>
      <c r="T952" s="77"/>
      <c r="U952" s="77"/>
      <c r="V952" s="77"/>
      <c r="W952" s="77"/>
      <c r="X952" s="77"/>
      <c r="Y952" s="77"/>
      <c r="Z952" s="105"/>
      <c r="AA952" s="77"/>
      <c r="AB952" s="77"/>
      <c r="AC952" s="77"/>
      <c r="AD952" s="77"/>
      <c r="AE952" s="77"/>
      <c r="AF952" s="77"/>
      <c r="AG952" s="77"/>
    </row>
    <row r="953" spans="1:33" x14ac:dyDescent="0.25">
      <c r="A953" s="77" t="s">
        <v>463</v>
      </c>
      <c r="B953" s="77"/>
      <c r="C953" s="77"/>
      <c r="D953" s="77"/>
      <c r="E953" s="77"/>
      <c r="F953" s="77"/>
      <c r="G953" s="77"/>
      <c r="H953" s="77"/>
      <c r="I953" s="77"/>
      <c r="J953" s="77"/>
      <c r="K953" s="77"/>
      <c r="L953" s="77"/>
      <c r="M953" s="77"/>
      <c r="N953" s="77"/>
      <c r="O953" s="77"/>
      <c r="P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7"/>
      <c r="AD953" s="77"/>
      <c r="AE953" s="77"/>
      <c r="AF953" s="77"/>
      <c r="AG953" s="77"/>
    </row>
    <row r="954" spans="1:33" x14ac:dyDescent="0.25">
      <c r="A954" s="77" t="s">
        <v>360</v>
      </c>
      <c r="B954" s="77" t="s">
        <v>18</v>
      </c>
      <c r="C954" s="77" t="s">
        <v>19</v>
      </c>
      <c r="D954" s="77" t="s">
        <v>20</v>
      </c>
      <c r="E954" s="77" t="s">
        <v>21</v>
      </c>
      <c r="F954" s="77" t="s">
        <v>22</v>
      </c>
      <c r="G954" s="77" t="s">
        <v>23</v>
      </c>
      <c r="H954" s="77" t="s">
        <v>361</v>
      </c>
      <c r="I954" s="77" t="s">
        <v>25</v>
      </c>
      <c r="J954" s="77" t="s">
        <v>362</v>
      </c>
      <c r="K954" s="77" t="s">
        <v>5</v>
      </c>
      <c r="L954" s="77" t="s">
        <v>6</v>
      </c>
      <c r="M954" s="77" t="s">
        <v>7</v>
      </c>
      <c r="N954" s="77" t="s">
        <v>8</v>
      </c>
      <c r="O954" s="77" t="s">
        <v>9</v>
      </c>
      <c r="P954" s="77" t="s">
        <v>363</v>
      </c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7"/>
      <c r="AD954" s="77"/>
      <c r="AE954" s="77"/>
      <c r="AF954" s="77"/>
      <c r="AG954" s="77"/>
    </row>
    <row r="955" spans="1:33" x14ac:dyDescent="0.25">
      <c r="A955" s="77" t="s">
        <v>364</v>
      </c>
      <c r="B955" s="77" t="s">
        <v>370</v>
      </c>
      <c r="C955" s="77" t="s">
        <v>370</v>
      </c>
      <c r="D955" s="77" t="s">
        <v>370</v>
      </c>
      <c r="E955" s="77" t="s">
        <v>370</v>
      </c>
      <c r="F955" s="77" t="s">
        <v>370</v>
      </c>
      <c r="G955" s="77" t="s">
        <v>370</v>
      </c>
      <c r="H955" s="77" t="s">
        <v>370</v>
      </c>
      <c r="I955" s="77" t="s">
        <v>370</v>
      </c>
      <c r="J955" s="77" t="s">
        <v>370</v>
      </c>
      <c r="K955" s="77" t="s">
        <v>370</v>
      </c>
      <c r="L955" s="77" t="s">
        <v>370</v>
      </c>
      <c r="M955" s="77" t="s">
        <v>370</v>
      </c>
      <c r="N955" s="77" t="s">
        <v>370</v>
      </c>
      <c r="O955" s="77" t="s">
        <v>370</v>
      </c>
      <c r="P955" s="77" t="s">
        <v>370</v>
      </c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7"/>
      <c r="AD955" s="77"/>
      <c r="AE955" s="77"/>
      <c r="AF955" s="77"/>
      <c r="AG955" s="77"/>
    </row>
    <row r="956" spans="1:33" x14ac:dyDescent="0.25">
      <c r="A956" s="77" t="s">
        <v>1</v>
      </c>
      <c r="B956" s="77">
        <v>0</v>
      </c>
      <c r="C956" s="77">
        <v>0</v>
      </c>
      <c r="D956" s="77">
        <v>0</v>
      </c>
      <c r="E956" s="77">
        <v>0</v>
      </c>
      <c r="F956" s="77">
        <v>0</v>
      </c>
      <c r="G956" s="77">
        <v>0</v>
      </c>
      <c r="H956" s="77">
        <v>0</v>
      </c>
      <c r="I956" s="77">
        <v>0</v>
      </c>
      <c r="J956" s="77">
        <v>0</v>
      </c>
      <c r="K956" s="77">
        <v>0</v>
      </c>
      <c r="L956" s="77">
        <v>0</v>
      </c>
      <c r="M956" s="77">
        <v>0</v>
      </c>
      <c r="N956" s="77">
        <v>0</v>
      </c>
      <c r="O956" s="77">
        <v>0</v>
      </c>
      <c r="P956" s="77">
        <v>0</v>
      </c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7"/>
      <c r="AD956" s="77"/>
      <c r="AE956" s="77"/>
      <c r="AF956" s="77"/>
      <c r="AG956" s="77"/>
    </row>
    <row r="957" spans="1:33" x14ac:dyDescent="0.25">
      <c r="A957" s="77" t="s">
        <v>2</v>
      </c>
      <c r="B957" s="77">
        <v>2.1503999999999999</v>
      </c>
      <c r="C957" s="77">
        <v>0</v>
      </c>
      <c r="D957" s="77">
        <v>2.1503999999999999</v>
      </c>
      <c r="E957" s="77">
        <v>0</v>
      </c>
      <c r="F957" s="77">
        <v>0</v>
      </c>
      <c r="G957" s="77">
        <v>0</v>
      </c>
      <c r="H957" s="77">
        <v>0</v>
      </c>
      <c r="I957" s="77">
        <v>0</v>
      </c>
      <c r="J957" s="77">
        <v>0</v>
      </c>
      <c r="K957" s="77">
        <v>2.1503999999999999</v>
      </c>
      <c r="L957" s="77">
        <v>0</v>
      </c>
      <c r="M957" s="77">
        <v>0</v>
      </c>
      <c r="N957" s="77">
        <v>0</v>
      </c>
      <c r="O957" s="77">
        <v>0</v>
      </c>
      <c r="P957" s="77">
        <v>0</v>
      </c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7"/>
      <c r="AD957" s="77"/>
      <c r="AE957" s="77"/>
      <c r="AF957" s="77"/>
      <c r="AG957" s="77"/>
    </row>
    <row r="958" spans="1:33" x14ac:dyDescent="0.25">
      <c r="A958" s="77" t="s">
        <v>3</v>
      </c>
      <c r="B958" s="77">
        <v>0.58118919000000002</v>
      </c>
      <c r="C958" s="77">
        <v>0</v>
      </c>
      <c r="D958" s="77">
        <v>0.58118919000000002</v>
      </c>
      <c r="E958" s="77">
        <v>0</v>
      </c>
      <c r="F958" s="77">
        <v>0</v>
      </c>
      <c r="G958" s="77">
        <v>0</v>
      </c>
      <c r="H958" s="77">
        <v>0</v>
      </c>
      <c r="I958" s="77">
        <v>0</v>
      </c>
      <c r="J958" s="77">
        <v>0</v>
      </c>
      <c r="K958" s="77">
        <v>0.58118919000000002</v>
      </c>
      <c r="L958" s="77">
        <v>0</v>
      </c>
      <c r="M958" s="77">
        <v>0</v>
      </c>
      <c r="N958" s="77">
        <v>0</v>
      </c>
      <c r="O958" s="77">
        <v>0</v>
      </c>
      <c r="P958" s="77">
        <v>0</v>
      </c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7"/>
      <c r="AD958" s="77"/>
      <c r="AE958" s="77"/>
      <c r="AF958" s="77"/>
      <c r="AG958" s="77"/>
    </row>
    <row r="959" spans="1:33" x14ac:dyDescent="0.25">
      <c r="A959" s="77" t="s">
        <v>4</v>
      </c>
      <c r="B959" s="77">
        <v>3.4415743600000002</v>
      </c>
      <c r="C959" s="77">
        <v>0</v>
      </c>
      <c r="D959" s="77">
        <v>3.4415743600000002</v>
      </c>
      <c r="E959" s="77">
        <v>1.7214385999999999</v>
      </c>
      <c r="F959" s="77">
        <v>0.24769613900000001</v>
      </c>
      <c r="G959" s="77">
        <v>1.39436731</v>
      </c>
      <c r="H959" s="77">
        <v>7.8072312500000005E-2</v>
      </c>
      <c r="I959" s="77">
        <v>0</v>
      </c>
      <c r="J959" s="77">
        <v>0</v>
      </c>
      <c r="K959" s="77">
        <v>0</v>
      </c>
      <c r="L959" s="77">
        <v>0</v>
      </c>
      <c r="M959" s="77">
        <v>0</v>
      </c>
      <c r="N959" s="77">
        <v>0</v>
      </c>
      <c r="O959" s="77">
        <v>0</v>
      </c>
      <c r="P959" s="77">
        <v>0</v>
      </c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7"/>
      <c r="AD959" s="77"/>
      <c r="AE959" s="77"/>
      <c r="AF959" s="77"/>
      <c r="AG959" s="77"/>
    </row>
    <row r="960" spans="1:33" x14ac:dyDescent="0.25">
      <c r="A960" s="77" t="s">
        <v>5</v>
      </c>
      <c r="B960" s="77">
        <v>2.1503999999999999</v>
      </c>
      <c r="C960" s="77">
        <v>2.7315891899999998</v>
      </c>
      <c r="D960" s="77">
        <v>-0.58118919000000002</v>
      </c>
      <c r="E960" s="77">
        <v>1.2002225900000001</v>
      </c>
      <c r="F960" s="77">
        <v>0.19068658999999999</v>
      </c>
      <c r="G960" s="77">
        <v>0.74599002199999997</v>
      </c>
      <c r="H960" s="77">
        <v>1.3500796900000001E-2</v>
      </c>
      <c r="I960" s="77">
        <v>0</v>
      </c>
      <c r="J960" s="77">
        <v>0</v>
      </c>
      <c r="K960" s="77">
        <v>0</v>
      </c>
      <c r="L960" s="77">
        <v>0</v>
      </c>
      <c r="M960" s="77">
        <v>0</v>
      </c>
      <c r="N960" s="77">
        <v>0</v>
      </c>
      <c r="O960" s="77">
        <v>0</v>
      </c>
      <c r="P960" s="77">
        <v>0</v>
      </c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7"/>
      <c r="AD960" s="77"/>
      <c r="AE960" s="77"/>
      <c r="AF960" s="77"/>
      <c r="AG960" s="77"/>
    </row>
    <row r="961" spans="1:33" x14ac:dyDescent="0.25">
      <c r="A961" s="77" t="s">
        <v>6</v>
      </c>
      <c r="B961" s="77">
        <v>0</v>
      </c>
      <c r="C961" s="77">
        <v>0</v>
      </c>
      <c r="D961" s="77">
        <v>0</v>
      </c>
      <c r="E961" s="77">
        <v>0</v>
      </c>
      <c r="F961" s="77">
        <v>0</v>
      </c>
      <c r="G961" s="77">
        <v>0</v>
      </c>
      <c r="H961" s="77">
        <v>0</v>
      </c>
      <c r="I961" s="77">
        <v>0</v>
      </c>
      <c r="J961" s="77">
        <v>0</v>
      </c>
      <c r="K961" s="77">
        <v>0</v>
      </c>
      <c r="L961" s="77">
        <v>0</v>
      </c>
      <c r="M961" s="77">
        <v>0</v>
      </c>
      <c r="N961" s="77">
        <v>0</v>
      </c>
      <c r="O961" s="77">
        <v>0</v>
      </c>
      <c r="P961" s="77">
        <v>0</v>
      </c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7"/>
      <c r="AD961" s="77"/>
      <c r="AE961" s="77"/>
      <c r="AF961" s="77"/>
      <c r="AG961" s="77"/>
    </row>
    <row r="962" spans="1:33" x14ac:dyDescent="0.25">
      <c r="A962" s="77" t="s">
        <v>7</v>
      </c>
      <c r="B962" s="77">
        <v>0</v>
      </c>
      <c r="C962" s="77">
        <v>0</v>
      </c>
      <c r="D962" s="77">
        <v>0</v>
      </c>
      <c r="E962" s="77">
        <v>0</v>
      </c>
      <c r="F962" s="77">
        <v>0</v>
      </c>
      <c r="G962" s="77">
        <v>0</v>
      </c>
      <c r="H962" s="77">
        <v>0</v>
      </c>
      <c r="I962" s="77">
        <v>0</v>
      </c>
      <c r="J962" s="77">
        <v>0</v>
      </c>
      <c r="K962" s="77">
        <v>0</v>
      </c>
      <c r="L962" s="77">
        <v>0</v>
      </c>
      <c r="M962" s="77">
        <v>0</v>
      </c>
      <c r="N962" s="77">
        <v>0</v>
      </c>
      <c r="O962" s="77">
        <v>0</v>
      </c>
      <c r="P962" s="77">
        <v>0</v>
      </c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7"/>
      <c r="AD962" s="77"/>
      <c r="AE962" s="77"/>
      <c r="AF962" s="77"/>
      <c r="AG962" s="77"/>
    </row>
    <row r="963" spans="1:33" x14ac:dyDescent="0.25">
      <c r="A963" s="77" t="s">
        <v>8</v>
      </c>
      <c r="B963" s="77">
        <v>0</v>
      </c>
      <c r="C963" s="77">
        <v>0</v>
      </c>
      <c r="D963" s="77">
        <v>0</v>
      </c>
      <c r="E963" s="77">
        <v>0</v>
      </c>
      <c r="F963" s="77">
        <v>0</v>
      </c>
      <c r="G963" s="77">
        <v>0</v>
      </c>
      <c r="H963" s="77">
        <v>0</v>
      </c>
      <c r="I963" s="77">
        <v>0</v>
      </c>
      <c r="J963" s="77">
        <v>0</v>
      </c>
      <c r="K963" s="77">
        <v>0</v>
      </c>
      <c r="L963" s="77">
        <v>0</v>
      </c>
      <c r="M963" s="77">
        <v>0</v>
      </c>
      <c r="N963" s="77">
        <v>0</v>
      </c>
      <c r="O963" s="77">
        <v>0</v>
      </c>
      <c r="P963" s="77">
        <v>0</v>
      </c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7"/>
      <c r="AD963" s="77"/>
      <c r="AE963" s="77"/>
      <c r="AF963" s="77"/>
      <c r="AG963" s="77"/>
    </row>
    <row r="964" spans="1:33" x14ac:dyDescent="0.25">
      <c r="A964" s="77" t="s">
        <v>9</v>
      </c>
      <c r="B964" s="77">
        <v>0</v>
      </c>
      <c r="C964" s="77">
        <v>0</v>
      </c>
      <c r="D964" s="77">
        <v>0</v>
      </c>
      <c r="E964" s="77">
        <v>0</v>
      </c>
      <c r="F964" s="77">
        <v>0</v>
      </c>
      <c r="G964" s="77">
        <v>0</v>
      </c>
      <c r="H964" s="77">
        <v>0</v>
      </c>
      <c r="I964" s="77">
        <v>0</v>
      </c>
      <c r="J964" s="77">
        <v>0</v>
      </c>
      <c r="K964" s="77">
        <v>0</v>
      </c>
      <c r="L964" s="77">
        <v>0</v>
      </c>
      <c r="M964" s="77">
        <v>0</v>
      </c>
      <c r="N964" s="77">
        <v>0</v>
      </c>
      <c r="O964" s="77">
        <v>0</v>
      </c>
      <c r="P964" s="77">
        <v>0</v>
      </c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7"/>
      <c r="AD964" s="77"/>
      <c r="AE964" s="77"/>
      <c r="AF964" s="77"/>
      <c r="AG964" s="77"/>
    </row>
    <row r="965" spans="1:33" x14ac:dyDescent="0.25">
      <c r="A965" s="77" t="s">
        <v>10</v>
      </c>
      <c r="B965" s="77">
        <v>0</v>
      </c>
      <c r="C965" s="77">
        <v>0</v>
      </c>
      <c r="D965" s="77">
        <v>0</v>
      </c>
      <c r="E965" s="77">
        <v>0</v>
      </c>
      <c r="F965" s="77">
        <v>0</v>
      </c>
      <c r="G965" s="77">
        <v>0</v>
      </c>
      <c r="H965" s="77">
        <v>0</v>
      </c>
      <c r="I965" s="77">
        <v>0</v>
      </c>
      <c r="J965" s="77">
        <v>0</v>
      </c>
      <c r="K965" s="77">
        <v>0</v>
      </c>
      <c r="L965" s="77">
        <v>0</v>
      </c>
      <c r="M965" s="77">
        <v>0</v>
      </c>
      <c r="N965" s="77">
        <v>0</v>
      </c>
      <c r="O965" s="77">
        <v>0</v>
      </c>
      <c r="P965" s="77">
        <v>0</v>
      </c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7"/>
      <c r="AD965" s="77"/>
      <c r="AE965" s="77"/>
      <c r="AF965" s="77"/>
      <c r="AG965" s="77"/>
    </row>
    <row r="966" spans="1:33" x14ac:dyDescent="0.25">
      <c r="A966" s="77" t="s">
        <v>11</v>
      </c>
      <c r="B966" s="77">
        <v>0</v>
      </c>
      <c r="C966" s="77">
        <v>0</v>
      </c>
      <c r="D966" s="77">
        <v>0</v>
      </c>
      <c r="E966" s="77">
        <v>0</v>
      </c>
      <c r="F966" s="77">
        <v>0</v>
      </c>
      <c r="G966" s="77">
        <v>0</v>
      </c>
      <c r="H966" s="77">
        <v>0</v>
      </c>
      <c r="I966" s="77">
        <v>0</v>
      </c>
      <c r="J966" s="77">
        <v>0</v>
      </c>
      <c r="K966" s="77">
        <v>0</v>
      </c>
      <c r="L966" s="77">
        <v>0</v>
      </c>
      <c r="M966" s="77">
        <v>0</v>
      </c>
      <c r="N966" s="77">
        <v>0</v>
      </c>
      <c r="O966" s="77">
        <v>0</v>
      </c>
      <c r="P966" s="77">
        <v>0</v>
      </c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7"/>
      <c r="AD966" s="77"/>
      <c r="AE966" s="77"/>
      <c r="AF966" s="77"/>
      <c r="AG966" s="77"/>
    </row>
    <row r="967" spans="1:33" x14ac:dyDescent="0.25">
      <c r="A967" s="77" t="s">
        <v>12</v>
      </c>
      <c r="B967" s="77">
        <v>0</v>
      </c>
      <c r="C967" s="77">
        <v>0</v>
      </c>
      <c r="D967" s="77">
        <v>0</v>
      </c>
      <c r="E967" s="77">
        <v>0</v>
      </c>
      <c r="F967" s="77">
        <v>0</v>
      </c>
      <c r="G967" s="77">
        <v>0</v>
      </c>
      <c r="H967" s="77">
        <v>0</v>
      </c>
      <c r="I967" s="77">
        <v>0</v>
      </c>
      <c r="J967" s="77">
        <v>0</v>
      </c>
      <c r="K967" s="77">
        <v>0</v>
      </c>
      <c r="L967" s="77">
        <v>0</v>
      </c>
      <c r="M967" s="77">
        <v>0</v>
      </c>
      <c r="N967" s="77">
        <v>0</v>
      </c>
      <c r="O967" s="77">
        <v>0</v>
      </c>
      <c r="P967" s="77">
        <v>0</v>
      </c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7"/>
      <c r="AD967" s="77"/>
      <c r="AE967" s="77"/>
      <c r="AF967" s="77"/>
      <c r="AG967" s="77"/>
    </row>
    <row r="968" spans="1:33" x14ac:dyDescent="0.25">
      <c r="A968" s="77" t="s">
        <v>13</v>
      </c>
      <c r="B968" s="77">
        <v>0</v>
      </c>
      <c r="C968" s="77">
        <v>0</v>
      </c>
      <c r="D968" s="77">
        <v>0</v>
      </c>
      <c r="E968" s="77">
        <v>0</v>
      </c>
      <c r="F968" s="77">
        <v>0</v>
      </c>
      <c r="G968" s="77">
        <v>0</v>
      </c>
      <c r="H968" s="77">
        <v>0</v>
      </c>
      <c r="I968" s="77">
        <v>0</v>
      </c>
      <c r="J968" s="77">
        <v>0</v>
      </c>
      <c r="K968" s="77">
        <v>0</v>
      </c>
      <c r="L968" s="77">
        <v>0</v>
      </c>
      <c r="M968" s="77">
        <v>0</v>
      </c>
      <c r="N968" s="77">
        <v>0</v>
      </c>
      <c r="O968" s="77">
        <v>0</v>
      </c>
      <c r="P968" s="77">
        <v>0</v>
      </c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7"/>
      <c r="AD968" s="77"/>
      <c r="AE968" s="77"/>
      <c r="AF968" s="77"/>
      <c r="AG968" s="77"/>
    </row>
    <row r="969" spans="1:33" x14ac:dyDescent="0.25">
      <c r="A969" s="77" t="s">
        <v>14</v>
      </c>
      <c r="B969" s="77">
        <v>0</v>
      </c>
      <c r="C969" s="77">
        <v>0</v>
      </c>
      <c r="D969" s="77">
        <v>0</v>
      </c>
      <c r="E969" s="77">
        <v>0</v>
      </c>
      <c r="F969" s="77">
        <v>0</v>
      </c>
      <c r="G969" s="77">
        <v>0</v>
      </c>
      <c r="H969" s="77">
        <v>0</v>
      </c>
      <c r="I969" s="77">
        <v>0</v>
      </c>
      <c r="J969" s="77">
        <v>0</v>
      </c>
      <c r="K969" s="77">
        <v>0</v>
      </c>
      <c r="L969" s="77">
        <v>0</v>
      </c>
      <c r="M969" s="77">
        <v>0</v>
      </c>
      <c r="N969" s="77">
        <v>0</v>
      </c>
      <c r="O969" s="77">
        <v>0</v>
      </c>
      <c r="P969" s="77">
        <v>0</v>
      </c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7"/>
      <c r="AD969" s="77"/>
      <c r="AE969" s="77"/>
      <c r="AF969" s="77"/>
      <c r="AG969" s="77"/>
    </row>
    <row r="970" spans="1:33" x14ac:dyDescent="0.25">
      <c r="A970" s="77" t="s">
        <v>464</v>
      </c>
      <c r="B970" s="77"/>
      <c r="C970" s="77"/>
      <c r="D970" s="77"/>
      <c r="E970" s="77"/>
      <c r="F970" s="77"/>
      <c r="G970" s="77"/>
      <c r="H970" s="77"/>
      <c r="I970" s="77"/>
      <c r="J970" s="77"/>
      <c r="K970" s="77"/>
      <c r="L970" s="77"/>
      <c r="M970" s="77"/>
      <c r="N970" s="77"/>
      <c r="O970" s="77"/>
      <c r="P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7"/>
      <c r="AD970" s="77"/>
      <c r="AE970" s="77"/>
      <c r="AF970" s="77"/>
      <c r="AG970" s="77"/>
    </row>
    <row r="971" spans="1:33" x14ac:dyDescent="0.25">
      <c r="A971" s="77" t="s">
        <v>360</v>
      </c>
      <c r="B971" s="77" t="s">
        <v>18</v>
      </c>
      <c r="C971" s="77" t="s">
        <v>19</v>
      </c>
      <c r="D971" s="77" t="s">
        <v>20</v>
      </c>
      <c r="E971" s="77" t="s">
        <v>21</v>
      </c>
      <c r="F971" s="77" t="s">
        <v>22</v>
      </c>
      <c r="G971" s="77" t="s">
        <v>23</v>
      </c>
      <c r="H971" s="77" t="s">
        <v>361</v>
      </c>
      <c r="I971" s="77" t="s">
        <v>25</v>
      </c>
      <c r="J971" s="77" t="s">
        <v>362</v>
      </c>
      <c r="K971" s="77" t="s">
        <v>5</v>
      </c>
      <c r="L971" s="77" t="s">
        <v>6</v>
      </c>
      <c r="M971" s="77" t="s">
        <v>7</v>
      </c>
      <c r="N971" s="77" t="s">
        <v>8</v>
      </c>
      <c r="O971" s="77" t="s">
        <v>9</v>
      </c>
      <c r="P971" s="77" t="s">
        <v>363</v>
      </c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7"/>
      <c r="AD971" s="77"/>
      <c r="AE971" s="77"/>
      <c r="AF971" s="77"/>
      <c r="AG971" s="77"/>
    </row>
    <row r="972" spans="1:33" x14ac:dyDescent="0.25">
      <c r="A972" s="77" t="s">
        <v>364</v>
      </c>
      <c r="B972" s="77" t="s">
        <v>365</v>
      </c>
      <c r="C972" s="77" t="s">
        <v>365</v>
      </c>
      <c r="D972" s="77" t="s">
        <v>365</v>
      </c>
      <c r="E972" s="77" t="s">
        <v>365</v>
      </c>
      <c r="F972" s="77" t="s">
        <v>365</v>
      </c>
      <c r="G972" s="77" t="s">
        <v>365</v>
      </c>
      <c r="H972" s="77" t="s">
        <v>365</v>
      </c>
      <c r="I972" s="77" t="s">
        <v>365</v>
      </c>
      <c r="J972" s="77" t="s">
        <v>365</v>
      </c>
      <c r="K972" s="77" t="s">
        <v>365</v>
      </c>
      <c r="L972" s="77" t="s">
        <v>365</v>
      </c>
      <c r="M972" s="77" t="s">
        <v>365</v>
      </c>
      <c r="N972" s="77" t="s">
        <v>365</v>
      </c>
      <c r="O972" s="77" t="s">
        <v>365</v>
      </c>
      <c r="P972" s="77" t="s">
        <v>365</v>
      </c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7"/>
      <c r="AD972" s="77"/>
      <c r="AE972" s="77"/>
      <c r="AF972" s="77"/>
      <c r="AG972" s="77"/>
    </row>
    <row r="973" spans="1:33" x14ac:dyDescent="0.25">
      <c r="A973" s="77" t="s">
        <v>1</v>
      </c>
      <c r="B973" s="77">
        <v>0</v>
      </c>
      <c r="C973" s="77">
        <v>0</v>
      </c>
      <c r="D973" s="77">
        <v>0</v>
      </c>
      <c r="E973" s="77">
        <v>0</v>
      </c>
      <c r="F973" s="77">
        <v>0</v>
      </c>
      <c r="G973" s="77">
        <v>0</v>
      </c>
      <c r="H973" s="77">
        <v>0</v>
      </c>
      <c r="I973" s="77">
        <v>0</v>
      </c>
      <c r="J973" s="77">
        <v>0</v>
      </c>
      <c r="K973" s="77">
        <v>0</v>
      </c>
      <c r="L973" s="77">
        <v>0</v>
      </c>
      <c r="M973" s="77">
        <v>0</v>
      </c>
      <c r="N973" s="77">
        <v>0</v>
      </c>
      <c r="O973" s="77">
        <v>0</v>
      </c>
      <c r="P973" s="77">
        <v>0</v>
      </c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7"/>
      <c r="AD973" s="77"/>
      <c r="AE973" s="77"/>
      <c r="AF973" s="77"/>
      <c r="AG973" s="77"/>
    </row>
    <row r="974" spans="1:33" x14ac:dyDescent="0.25">
      <c r="A974" s="77" t="s">
        <v>2</v>
      </c>
      <c r="B974" s="77">
        <v>0</v>
      </c>
      <c r="C974" s="77">
        <v>0</v>
      </c>
      <c r="D974" s="77">
        <v>0</v>
      </c>
      <c r="E974" s="77">
        <v>0</v>
      </c>
      <c r="F974" s="77">
        <v>0</v>
      </c>
      <c r="G974" s="77">
        <v>0</v>
      </c>
      <c r="H974" s="77">
        <v>0</v>
      </c>
      <c r="I974" s="77">
        <v>0</v>
      </c>
      <c r="J974" s="77">
        <v>0</v>
      </c>
      <c r="K974" s="77">
        <v>0</v>
      </c>
      <c r="L974" s="77">
        <v>0</v>
      </c>
      <c r="M974" s="77">
        <v>0</v>
      </c>
      <c r="N974" s="77">
        <v>0</v>
      </c>
      <c r="O974" s="77">
        <v>0</v>
      </c>
      <c r="P974" s="77">
        <v>0</v>
      </c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7"/>
      <c r="AD974" s="77"/>
      <c r="AE974" s="77"/>
      <c r="AF974" s="77"/>
      <c r="AG974" s="77"/>
    </row>
    <row r="975" spans="1:33" x14ac:dyDescent="0.25">
      <c r="A975" s="77" t="s">
        <v>3</v>
      </c>
      <c r="B975" s="77">
        <v>28.3660611</v>
      </c>
      <c r="C975" s="77">
        <v>0</v>
      </c>
      <c r="D975" s="77">
        <v>28.3660611</v>
      </c>
      <c r="E975" s="77">
        <v>0</v>
      </c>
      <c r="F975" s="77">
        <v>0</v>
      </c>
      <c r="G975" s="77">
        <v>0</v>
      </c>
      <c r="H975" s="77">
        <v>0</v>
      </c>
      <c r="I975" s="77">
        <v>0</v>
      </c>
      <c r="J975" s="77">
        <v>0</v>
      </c>
      <c r="K975" s="77">
        <v>28.3660611</v>
      </c>
      <c r="L975" s="77">
        <v>0</v>
      </c>
      <c r="M975" s="77">
        <v>0</v>
      </c>
      <c r="N975" s="77">
        <v>0</v>
      </c>
      <c r="O975" s="77">
        <v>0</v>
      </c>
      <c r="P975" s="77">
        <v>0</v>
      </c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7"/>
      <c r="AD975" s="77"/>
      <c r="AE975" s="77"/>
      <c r="AF975" s="77"/>
      <c r="AG975" s="77"/>
    </row>
    <row r="976" spans="1:33" x14ac:dyDescent="0.25">
      <c r="A976" s="77" t="s">
        <v>4</v>
      </c>
      <c r="B976" s="77">
        <v>34.3055333</v>
      </c>
      <c r="C976" s="77">
        <v>0</v>
      </c>
      <c r="D976" s="77">
        <v>34.3055333</v>
      </c>
      <c r="E976" s="77">
        <v>17.139503600000001</v>
      </c>
      <c r="F976" s="77">
        <v>2.46728623</v>
      </c>
      <c r="G976" s="77">
        <v>13.919040499999999</v>
      </c>
      <c r="H976" s="77">
        <v>0.77970301399999997</v>
      </c>
      <c r="I976" s="77">
        <v>0</v>
      </c>
      <c r="J976" s="77">
        <v>0</v>
      </c>
      <c r="K976" s="77">
        <v>0</v>
      </c>
      <c r="L976" s="77">
        <v>0</v>
      </c>
      <c r="M976" s="77">
        <v>0</v>
      </c>
      <c r="N976" s="77">
        <v>0</v>
      </c>
      <c r="O976" s="77">
        <v>0</v>
      </c>
      <c r="P976" s="77">
        <v>0</v>
      </c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7"/>
      <c r="AD976" s="77"/>
      <c r="AE976" s="77"/>
      <c r="AF976" s="77"/>
      <c r="AG976" s="77"/>
    </row>
    <row r="977" spans="1:33" x14ac:dyDescent="0.25">
      <c r="A977" s="77" t="s">
        <v>5</v>
      </c>
      <c r="B977" s="77">
        <v>28.3660611</v>
      </c>
      <c r="C977" s="77">
        <v>28.3660611</v>
      </c>
      <c r="D977" s="77">
        <v>-7.1054273600000004E-15</v>
      </c>
      <c r="E977" s="77">
        <v>16.026877200000001</v>
      </c>
      <c r="F977" s="77">
        <v>2.5489965300000001</v>
      </c>
      <c r="G977" s="77">
        <v>9.61068575</v>
      </c>
      <c r="H977" s="77">
        <v>0.17950163299999999</v>
      </c>
      <c r="I977" s="77">
        <v>0</v>
      </c>
      <c r="J977" s="77">
        <v>0</v>
      </c>
      <c r="K977" s="77">
        <v>0</v>
      </c>
      <c r="L977" s="77">
        <v>0</v>
      </c>
      <c r="M977" s="77">
        <v>0</v>
      </c>
      <c r="N977" s="77">
        <v>0</v>
      </c>
      <c r="O977" s="77">
        <v>0</v>
      </c>
      <c r="P977" s="77">
        <v>0</v>
      </c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7"/>
      <c r="AD977" s="77"/>
      <c r="AE977" s="77"/>
      <c r="AF977" s="77"/>
      <c r="AG977" s="77"/>
    </row>
    <row r="978" spans="1:33" x14ac:dyDescent="0.25">
      <c r="A978" s="77" t="s">
        <v>6</v>
      </c>
      <c r="B978" s="77">
        <v>0</v>
      </c>
      <c r="C978" s="77">
        <v>0</v>
      </c>
      <c r="D978" s="77">
        <v>0</v>
      </c>
      <c r="E978" s="77">
        <v>0</v>
      </c>
      <c r="F978" s="77">
        <v>0</v>
      </c>
      <c r="G978" s="77">
        <v>0</v>
      </c>
      <c r="H978" s="77">
        <v>0</v>
      </c>
      <c r="I978" s="77">
        <v>0</v>
      </c>
      <c r="J978" s="77">
        <v>0</v>
      </c>
      <c r="K978" s="77">
        <v>0</v>
      </c>
      <c r="L978" s="77">
        <v>0</v>
      </c>
      <c r="M978" s="77">
        <v>0</v>
      </c>
      <c r="N978" s="77">
        <v>0</v>
      </c>
      <c r="O978" s="77">
        <v>0</v>
      </c>
      <c r="P978" s="77">
        <v>0</v>
      </c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7"/>
      <c r="AD978" s="77"/>
      <c r="AE978" s="77"/>
      <c r="AF978" s="77"/>
      <c r="AG978" s="77"/>
    </row>
    <row r="979" spans="1:33" x14ac:dyDescent="0.25">
      <c r="A979" s="77" t="s">
        <v>7</v>
      </c>
      <c r="B979" s="77">
        <v>0</v>
      </c>
      <c r="C979" s="77">
        <v>0</v>
      </c>
      <c r="D979" s="77">
        <v>0</v>
      </c>
      <c r="E979" s="77">
        <v>0</v>
      </c>
      <c r="F979" s="77">
        <v>0</v>
      </c>
      <c r="G979" s="77">
        <v>0</v>
      </c>
      <c r="H979" s="77">
        <v>0</v>
      </c>
      <c r="I979" s="77">
        <v>0</v>
      </c>
      <c r="J979" s="77">
        <v>0</v>
      </c>
      <c r="K979" s="77">
        <v>0</v>
      </c>
      <c r="L979" s="77">
        <v>0</v>
      </c>
      <c r="M979" s="77">
        <v>0</v>
      </c>
      <c r="N979" s="77">
        <v>0</v>
      </c>
      <c r="O979" s="77">
        <v>0</v>
      </c>
      <c r="P979" s="77">
        <v>0</v>
      </c>
      <c r="R979" s="77"/>
      <c r="S979" s="77"/>
      <c r="T979" s="77"/>
      <c r="U979" s="105"/>
      <c r="V979" s="77"/>
      <c r="W979" s="77"/>
      <c r="X979" s="77"/>
      <c r="Y979" s="77"/>
      <c r="Z979" s="77"/>
      <c r="AA979" s="77"/>
      <c r="AB979" s="77"/>
      <c r="AC979" s="77"/>
      <c r="AD979" s="77"/>
      <c r="AE979" s="77"/>
      <c r="AF979" s="77"/>
      <c r="AG979" s="77"/>
    </row>
    <row r="980" spans="1:33" x14ac:dyDescent="0.25">
      <c r="A980" s="77" t="s">
        <v>8</v>
      </c>
      <c r="B980" s="77">
        <v>0</v>
      </c>
      <c r="C980" s="77">
        <v>0</v>
      </c>
      <c r="D980" s="77">
        <v>0</v>
      </c>
      <c r="E980" s="77">
        <v>0</v>
      </c>
      <c r="F980" s="77">
        <v>0</v>
      </c>
      <c r="G980" s="77">
        <v>0</v>
      </c>
      <c r="H980" s="77">
        <v>0</v>
      </c>
      <c r="I980" s="77">
        <v>0</v>
      </c>
      <c r="J980" s="77">
        <v>0</v>
      </c>
      <c r="K980" s="77">
        <v>0</v>
      </c>
      <c r="L980" s="77">
        <v>0</v>
      </c>
      <c r="M980" s="77">
        <v>0</v>
      </c>
      <c r="N980" s="77">
        <v>0</v>
      </c>
      <c r="O980" s="77">
        <v>0</v>
      </c>
      <c r="P980" s="77">
        <v>0</v>
      </c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7"/>
      <c r="AD980" s="77"/>
      <c r="AE980" s="77"/>
      <c r="AF980" s="77"/>
      <c r="AG980" s="77"/>
    </row>
    <row r="981" spans="1:33" x14ac:dyDescent="0.25">
      <c r="A981" s="77" t="s">
        <v>9</v>
      </c>
      <c r="B981" s="77">
        <v>0</v>
      </c>
      <c r="C981" s="77">
        <v>0</v>
      </c>
      <c r="D981" s="77">
        <v>0</v>
      </c>
      <c r="E981" s="77">
        <v>0</v>
      </c>
      <c r="F981" s="77">
        <v>0</v>
      </c>
      <c r="G981" s="77">
        <v>0</v>
      </c>
      <c r="H981" s="77">
        <v>0</v>
      </c>
      <c r="I981" s="77">
        <v>0</v>
      </c>
      <c r="J981" s="77">
        <v>0</v>
      </c>
      <c r="K981" s="77">
        <v>0</v>
      </c>
      <c r="L981" s="77">
        <v>0</v>
      </c>
      <c r="M981" s="77">
        <v>0</v>
      </c>
      <c r="N981" s="77">
        <v>0</v>
      </c>
      <c r="O981" s="77">
        <v>0</v>
      </c>
      <c r="P981" s="77">
        <v>0</v>
      </c>
      <c r="R981" s="77"/>
      <c r="S981" s="77"/>
      <c r="T981" s="77"/>
      <c r="U981" s="105"/>
      <c r="V981" s="77"/>
      <c r="W981" s="77"/>
      <c r="X981" s="77"/>
      <c r="Y981" s="77"/>
      <c r="Z981" s="77"/>
      <c r="AA981" s="77"/>
      <c r="AB981" s="77"/>
      <c r="AC981" s="77"/>
      <c r="AD981" s="77"/>
      <c r="AE981" s="77"/>
      <c r="AF981" s="77"/>
      <c r="AG981" s="77"/>
    </row>
    <row r="982" spans="1:33" x14ac:dyDescent="0.25">
      <c r="A982" s="77" t="s">
        <v>10</v>
      </c>
      <c r="B982" s="77">
        <v>0</v>
      </c>
      <c r="C982" s="77">
        <v>0</v>
      </c>
      <c r="D982" s="77">
        <v>0</v>
      </c>
      <c r="E982" s="77">
        <v>0</v>
      </c>
      <c r="F982" s="77">
        <v>0</v>
      </c>
      <c r="G982" s="77">
        <v>0</v>
      </c>
      <c r="H982" s="77">
        <v>0</v>
      </c>
      <c r="I982" s="77">
        <v>0</v>
      </c>
      <c r="J982" s="77">
        <v>0</v>
      </c>
      <c r="K982" s="77">
        <v>0</v>
      </c>
      <c r="L982" s="77">
        <v>0</v>
      </c>
      <c r="M982" s="77">
        <v>0</v>
      </c>
      <c r="N982" s="77">
        <v>0</v>
      </c>
      <c r="O982" s="77">
        <v>0</v>
      </c>
      <c r="P982" s="77">
        <v>0</v>
      </c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7"/>
      <c r="AD982" s="77"/>
      <c r="AE982" s="77"/>
      <c r="AF982" s="77"/>
      <c r="AG982" s="77"/>
    </row>
    <row r="983" spans="1:33" x14ac:dyDescent="0.25">
      <c r="A983" s="77" t="s">
        <v>11</v>
      </c>
      <c r="B983" s="77">
        <v>0</v>
      </c>
      <c r="C983" s="77">
        <v>0</v>
      </c>
      <c r="D983" s="77">
        <v>0</v>
      </c>
      <c r="E983" s="77">
        <v>0</v>
      </c>
      <c r="F983" s="77">
        <v>0</v>
      </c>
      <c r="G983" s="77">
        <v>0</v>
      </c>
      <c r="H983" s="77">
        <v>0</v>
      </c>
      <c r="I983" s="77">
        <v>0</v>
      </c>
      <c r="J983" s="77">
        <v>0</v>
      </c>
      <c r="K983" s="77">
        <v>0</v>
      </c>
      <c r="L983" s="77">
        <v>0</v>
      </c>
      <c r="M983" s="77">
        <v>0</v>
      </c>
      <c r="N983" s="77">
        <v>0</v>
      </c>
      <c r="O983" s="77">
        <v>0</v>
      </c>
      <c r="P983" s="77">
        <v>0</v>
      </c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7"/>
      <c r="AD983" s="77"/>
      <c r="AE983" s="77"/>
      <c r="AF983" s="77"/>
      <c r="AG983" s="77"/>
    </row>
    <row r="984" spans="1:33" x14ac:dyDescent="0.25">
      <c r="A984" s="77" t="s">
        <v>12</v>
      </c>
      <c r="B984" s="77">
        <v>0</v>
      </c>
      <c r="C984" s="77">
        <v>0</v>
      </c>
      <c r="D984" s="77">
        <v>0</v>
      </c>
      <c r="E984" s="77">
        <v>0</v>
      </c>
      <c r="F984" s="77">
        <v>0</v>
      </c>
      <c r="G984" s="77">
        <v>0</v>
      </c>
      <c r="H984" s="77">
        <v>0</v>
      </c>
      <c r="I984" s="77">
        <v>0</v>
      </c>
      <c r="J984" s="77">
        <v>0</v>
      </c>
      <c r="K984" s="77">
        <v>0</v>
      </c>
      <c r="L984" s="77">
        <v>0</v>
      </c>
      <c r="M984" s="77">
        <v>0</v>
      </c>
      <c r="N984" s="77">
        <v>0</v>
      </c>
      <c r="O984" s="77">
        <v>0</v>
      </c>
      <c r="P984" s="77">
        <v>0</v>
      </c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7"/>
      <c r="AD984" s="77"/>
      <c r="AE984" s="77"/>
      <c r="AF984" s="77"/>
      <c r="AG984" s="77"/>
    </row>
    <row r="985" spans="1:33" x14ac:dyDescent="0.25">
      <c r="A985" s="77" t="s">
        <v>13</v>
      </c>
      <c r="B985" s="77">
        <v>0</v>
      </c>
      <c r="C985" s="77">
        <v>0</v>
      </c>
      <c r="D985" s="77">
        <v>0</v>
      </c>
      <c r="E985" s="77">
        <v>0</v>
      </c>
      <c r="F985" s="77">
        <v>0</v>
      </c>
      <c r="G985" s="77">
        <v>0</v>
      </c>
      <c r="H985" s="77">
        <v>0</v>
      </c>
      <c r="I985" s="77">
        <v>0</v>
      </c>
      <c r="J985" s="77">
        <v>0</v>
      </c>
      <c r="K985" s="77">
        <v>0</v>
      </c>
      <c r="L985" s="77">
        <v>0</v>
      </c>
      <c r="M985" s="77">
        <v>0</v>
      </c>
      <c r="N985" s="77">
        <v>0</v>
      </c>
      <c r="O985" s="77">
        <v>0</v>
      </c>
      <c r="P985" s="77">
        <v>0</v>
      </c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7"/>
      <c r="AD985" s="77"/>
      <c r="AE985" s="77"/>
      <c r="AF985" s="77"/>
      <c r="AG985" s="77"/>
    </row>
    <row r="986" spans="1:33" x14ac:dyDescent="0.25">
      <c r="A986" s="77" t="s">
        <v>14</v>
      </c>
      <c r="B986" s="77">
        <v>0</v>
      </c>
      <c r="C986" s="77">
        <v>0</v>
      </c>
      <c r="D986" s="77">
        <v>0</v>
      </c>
      <c r="E986" s="77">
        <v>0</v>
      </c>
      <c r="F986" s="77">
        <v>0</v>
      </c>
      <c r="G986" s="77">
        <v>0</v>
      </c>
      <c r="H986" s="77">
        <v>0</v>
      </c>
      <c r="I986" s="77">
        <v>0</v>
      </c>
      <c r="J986" s="77">
        <v>0</v>
      </c>
      <c r="K986" s="77">
        <v>0</v>
      </c>
      <c r="L986" s="77">
        <v>0</v>
      </c>
      <c r="M986" s="77">
        <v>0</v>
      </c>
      <c r="N986" s="77">
        <v>0</v>
      </c>
      <c r="O986" s="77">
        <v>0</v>
      </c>
      <c r="P986" s="77">
        <v>0</v>
      </c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7"/>
      <c r="AD986" s="77"/>
      <c r="AE986" s="77"/>
      <c r="AF986" s="77"/>
      <c r="AG986" s="77"/>
    </row>
    <row r="987" spans="1:33" x14ac:dyDescent="0.25">
      <c r="A987" s="77" t="s">
        <v>465</v>
      </c>
      <c r="B987" s="77"/>
      <c r="C987" s="77"/>
      <c r="D987" s="77"/>
      <c r="E987" s="77"/>
      <c r="F987" s="77"/>
      <c r="G987" s="77"/>
      <c r="H987" s="77"/>
      <c r="I987" s="77"/>
      <c r="J987" s="77"/>
      <c r="K987" s="77"/>
      <c r="L987" s="77"/>
      <c r="M987" s="77"/>
      <c r="N987" s="77"/>
      <c r="O987" s="77"/>
      <c r="P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7"/>
      <c r="AD987" s="77"/>
      <c r="AE987" s="77"/>
      <c r="AF987" s="77"/>
      <c r="AG987" s="77"/>
    </row>
    <row r="988" spans="1:33" x14ac:dyDescent="0.25">
      <c r="A988" s="77" t="s">
        <v>360</v>
      </c>
      <c r="B988" s="77" t="s">
        <v>366</v>
      </c>
      <c r="C988" s="77" t="s">
        <v>367</v>
      </c>
      <c r="D988" s="77" t="s">
        <v>368</v>
      </c>
      <c r="E988" s="77" t="s">
        <v>21</v>
      </c>
      <c r="F988" s="77" t="s">
        <v>22</v>
      </c>
      <c r="G988" s="77" t="s">
        <v>23</v>
      </c>
      <c r="H988" s="77" t="s">
        <v>361</v>
      </c>
      <c r="I988" s="77" t="s">
        <v>25</v>
      </c>
      <c r="J988" s="77" t="s">
        <v>362</v>
      </c>
      <c r="K988" s="77" t="s">
        <v>5</v>
      </c>
      <c r="L988" s="77" t="s">
        <v>6</v>
      </c>
      <c r="M988" s="77" t="s">
        <v>7</v>
      </c>
      <c r="N988" s="77" t="s">
        <v>8</v>
      </c>
      <c r="O988" s="77" t="s">
        <v>9</v>
      </c>
      <c r="P988" s="77" t="s">
        <v>363</v>
      </c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7"/>
      <c r="AD988" s="77"/>
      <c r="AE988" s="77"/>
      <c r="AF988" s="77"/>
      <c r="AG988" s="77"/>
    </row>
    <row r="989" spans="1:33" x14ac:dyDescent="0.25">
      <c r="A989" s="77" t="s">
        <v>364</v>
      </c>
      <c r="B989" s="77" t="s">
        <v>369</v>
      </c>
      <c r="C989" s="77" t="s">
        <v>369</v>
      </c>
      <c r="D989" s="77" t="s">
        <v>369</v>
      </c>
      <c r="E989" s="77" t="s">
        <v>369</v>
      </c>
      <c r="F989" s="77" t="s">
        <v>369</v>
      </c>
      <c r="G989" s="77" t="s">
        <v>369</v>
      </c>
      <c r="H989" s="77" t="s">
        <v>369</v>
      </c>
      <c r="I989" s="77" t="s">
        <v>369</v>
      </c>
      <c r="J989" s="77" t="s">
        <v>369</v>
      </c>
      <c r="K989" s="77" t="s">
        <v>369</v>
      </c>
      <c r="L989" s="77" t="s">
        <v>369</v>
      </c>
      <c r="M989" s="77" t="s">
        <v>369</v>
      </c>
      <c r="N989" s="77" t="s">
        <v>369</v>
      </c>
      <c r="O989" s="77" t="s">
        <v>369</v>
      </c>
      <c r="P989" s="77" t="s">
        <v>369</v>
      </c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7"/>
      <c r="AD989" s="77"/>
      <c r="AE989" s="77"/>
      <c r="AF989" s="77"/>
      <c r="AG989" s="77"/>
    </row>
    <row r="990" spans="1:33" x14ac:dyDescent="0.25">
      <c r="A990" s="77" t="s">
        <v>1</v>
      </c>
      <c r="B990" s="77">
        <v>78.527410399999994</v>
      </c>
      <c r="C990" s="77">
        <v>0</v>
      </c>
      <c r="D990" s="77">
        <v>78.527410399999994</v>
      </c>
      <c r="E990" s="77">
        <v>49.995046799999997</v>
      </c>
      <c r="F990" s="77">
        <v>0</v>
      </c>
      <c r="G990" s="77">
        <v>28.532363499999999</v>
      </c>
      <c r="H990" s="77">
        <v>0</v>
      </c>
      <c r="I990" s="77">
        <v>0</v>
      </c>
      <c r="J990" s="77">
        <v>0</v>
      </c>
      <c r="K990" s="77">
        <v>0</v>
      </c>
      <c r="L990" s="77">
        <v>0</v>
      </c>
      <c r="M990" s="77">
        <v>0</v>
      </c>
      <c r="N990" s="77">
        <v>0</v>
      </c>
      <c r="O990" s="77">
        <v>0</v>
      </c>
      <c r="P990" s="77">
        <v>0</v>
      </c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7"/>
      <c r="AD990" s="77"/>
      <c r="AE990" s="77"/>
      <c r="AF990" s="77"/>
      <c r="AG990" s="77"/>
    </row>
    <row r="991" spans="1:33" x14ac:dyDescent="0.25">
      <c r="A991" s="77" t="s">
        <v>2</v>
      </c>
      <c r="B991" s="77">
        <v>73.528510699999998</v>
      </c>
      <c r="C991" s="77">
        <v>0</v>
      </c>
      <c r="D991" s="77">
        <v>73.528510699999998</v>
      </c>
      <c r="E991" s="77">
        <v>49.125908299999999</v>
      </c>
      <c r="F991" s="77">
        <v>1.8802097099999999</v>
      </c>
      <c r="G991" s="77">
        <v>8.9909434000000008</v>
      </c>
      <c r="H991" s="77">
        <v>0.188637004</v>
      </c>
      <c r="I991" s="77">
        <v>0</v>
      </c>
      <c r="J991" s="77">
        <v>0</v>
      </c>
      <c r="K991" s="77">
        <v>13.3428123</v>
      </c>
      <c r="L991" s="77">
        <v>0</v>
      </c>
      <c r="M991" s="77">
        <v>0</v>
      </c>
      <c r="N991" s="77">
        <v>0</v>
      </c>
      <c r="O991" s="77">
        <v>0</v>
      </c>
      <c r="P991" s="77">
        <v>0</v>
      </c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7"/>
      <c r="AD991" s="77"/>
      <c r="AE991" s="77"/>
      <c r="AF991" s="77"/>
      <c r="AG991" s="77"/>
    </row>
    <row r="992" spans="1:33" x14ac:dyDescent="0.25">
      <c r="A992" s="77" t="s">
        <v>3</v>
      </c>
      <c r="B992" s="77">
        <v>40.021436700000002</v>
      </c>
      <c r="C992" s="77">
        <v>0</v>
      </c>
      <c r="D992" s="77">
        <v>40.021436700000002</v>
      </c>
      <c r="E992" s="77">
        <v>0</v>
      </c>
      <c r="F992" s="77">
        <v>0</v>
      </c>
      <c r="G992" s="77">
        <v>0</v>
      </c>
      <c r="H992" s="77">
        <v>0</v>
      </c>
      <c r="I992" s="77">
        <v>0</v>
      </c>
      <c r="J992" s="77">
        <v>0</v>
      </c>
      <c r="K992" s="77">
        <v>5.0463966400000002</v>
      </c>
      <c r="L992" s="77">
        <v>0</v>
      </c>
      <c r="M992" s="77">
        <v>0</v>
      </c>
      <c r="N992" s="77">
        <v>0</v>
      </c>
      <c r="O992" s="77">
        <v>0</v>
      </c>
      <c r="P992" s="77">
        <v>34.975040100000001</v>
      </c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7"/>
      <c r="AD992" s="77"/>
      <c r="AE992" s="77"/>
      <c r="AF992" s="77"/>
      <c r="AG992" s="77"/>
    </row>
    <row r="993" spans="1:33" x14ac:dyDescent="0.25">
      <c r="A993" s="77" t="s">
        <v>4</v>
      </c>
      <c r="B993" s="77">
        <v>148.263837</v>
      </c>
      <c r="C993" s="77">
        <v>0</v>
      </c>
      <c r="D993" s="77">
        <v>148.263837</v>
      </c>
      <c r="E993" s="77">
        <v>79.447850900000006</v>
      </c>
      <c r="F993" s="77">
        <v>12.694914600000001</v>
      </c>
      <c r="G993" s="77">
        <v>59.5509992</v>
      </c>
      <c r="H993" s="77">
        <v>2.9939273800000001</v>
      </c>
      <c r="I993" s="77">
        <v>0</v>
      </c>
      <c r="J993" s="77">
        <v>0</v>
      </c>
      <c r="K993" s="77">
        <v>0</v>
      </c>
      <c r="L993" s="77">
        <v>0</v>
      </c>
      <c r="M993" s="77">
        <v>0</v>
      </c>
      <c r="N993" s="77">
        <v>0</v>
      </c>
      <c r="O993" s="77">
        <v>0</v>
      </c>
      <c r="P993" s="77">
        <v>-6.42385495</v>
      </c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7"/>
      <c r="AD993" s="77"/>
      <c r="AE993" s="77"/>
      <c r="AF993" s="77"/>
      <c r="AG993" s="77"/>
    </row>
    <row r="994" spans="1:33" x14ac:dyDescent="0.25">
      <c r="A994" s="77" t="s">
        <v>5</v>
      </c>
      <c r="B994" s="77">
        <v>54.133049</v>
      </c>
      <c r="C994" s="77">
        <v>57.732199199999997</v>
      </c>
      <c r="D994" s="77">
        <v>-3.5991502299999998</v>
      </c>
      <c r="E994" s="77">
        <v>28.095619299999999</v>
      </c>
      <c r="F994" s="77">
        <v>4.8354163799999998</v>
      </c>
      <c r="G994" s="77">
        <v>20.801765799999998</v>
      </c>
      <c r="H994" s="77">
        <v>0.40024743600000001</v>
      </c>
      <c r="I994" s="77">
        <v>0</v>
      </c>
      <c r="J994" s="77">
        <v>0</v>
      </c>
      <c r="K994" s="77">
        <v>0</v>
      </c>
      <c r="L994" s="77">
        <v>0</v>
      </c>
      <c r="M994" s="77">
        <v>0</v>
      </c>
      <c r="N994" s="77">
        <v>0</v>
      </c>
      <c r="O994" s="77">
        <v>0</v>
      </c>
      <c r="P994" s="77">
        <v>0</v>
      </c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7"/>
      <c r="AD994" s="77"/>
      <c r="AE994" s="77"/>
      <c r="AF994" s="77"/>
      <c r="AG994" s="77"/>
    </row>
    <row r="995" spans="1:33" x14ac:dyDescent="0.25">
      <c r="A995" s="77" t="s">
        <v>6</v>
      </c>
      <c r="B995" s="77">
        <v>0</v>
      </c>
      <c r="C995" s="77">
        <v>0</v>
      </c>
      <c r="D995" s="77">
        <v>0</v>
      </c>
      <c r="E995" s="77">
        <v>0</v>
      </c>
      <c r="F995" s="77">
        <v>0</v>
      </c>
      <c r="G995" s="77">
        <v>0</v>
      </c>
      <c r="H995" s="77">
        <v>0</v>
      </c>
      <c r="I995" s="77">
        <v>0</v>
      </c>
      <c r="J995" s="77">
        <v>0</v>
      </c>
      <c r="K995" s="77">
        <v>0</v>
      </c>
      <c r="L995" s="77">
        <v>0</v>
      </c>
      <c r="M995" s="77">
        <v>0</v>
      </c>
      <c r="N995" s="77">
        <v>0</v>
      </c>
      <c r="O995" s="77">
        <v>0</v>
      </c>
      <c r="P995" s="77">
        <v>0</v>
      </c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7"/>
      <c r="AD995" s="77"/>
      <c r="AE995" s="77"/>
      <c r="AF995" s="77"/>
      <c r="AG995" s="77"/>
    </row>
    <row r="996" spans="1:33" x14ac:dyDescent="0.25">
      <c r="A996" s="77" t="s">
        <v>7</v>
      </c>
      <c r="B996" s="77">
        <v>0</v>
      </c>
      <c r="C996" s="77">
        <v>0</v>
      </c>
      <c r="D996" s="77">
        <v>0</v>
      </c>
      <c r="E996" s="77">
        <v>0</v>
      </c>
      <c r="F996" s="77">
        <v>0</v>
      </c>
      <c r="G996" s="77">
        <v>0</v>
      </c>
      <c r="H996" s="77">
        <v>0</v>
      </c>
      <c r="I996" s="77">
        <v>0</v>
      </c>
      <c r="J996" s="77">
        <v>0</v>
      </c>
      <c r="K996" s="77">
        <v>0</v>
      </c>
      <c r="L996" s="77">
        <v>0</v>
      </c>
      <c r="M996" s="77">
        <v>0</v>
      </c>
      <c r="N996" s="77">
        <v>0</v>
      </c>
      <c r="O996" s="77">
        <v>0</v>
      </c>
      <c r="P996" s="77">
        <v>0</v>
      </c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7"/>
      <c r="AD996" s="77"/>
      <c r="AE996" s="77"/>
      <c r="AF996" s="77"/>
      <c r="AG996" s="77"/>
    </row>
    <row r="997" spans="1:33" x14ac:dyDescent="0.25">
      <c r="A997" s="77" t="s">
        <v>8</v>
      </c>
      <c r="B997" s="77">
        <v>0</v>
      </c>
      <c r="C997" s="77">
        <v>0</v>
      </c>
      <c r="D997" s="77">
        <v>0</v>
      </c>
      <c r="E997" s="77">
        <v>0</v>
      </c>
      <c r="F997" s="77">
        <v>0</v>
      </c>
      <c r="G997" s="77">
        <v>0</v>
      </c>
      <c r="H997" s="77">
        <v>0</v>
      </c>
      <c r="I997" s="77">
        <v>0</v>
      </c>
      <c r="J997" s="77">
        <v>0</v>
      </c>
      <c r="K997" s="77">
        <v>0</v>
      </c>
      <c r="L997" s="77">
        <v>0</v>
      </c>
      <c r="M997" s="77">
        <v>0</v>
      </c>
      <c r="N997" s="77">
        <v>0</v>
      </c>
      <c r="O997" s="77">
        <v>0</v>
      </c>
      <c r="P997" s="77">
        <v>0</v>
      </c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7"/>
      <c r="AD997" s="77"/>
      <c r="AE997" s="77"/>
      <c r="AF997" s="77"/>
      <c r="AG997" s="77"/>
    </row>
    <row r="998" spans="1:33" x14ac:dyDescent="0.25">
      <c r="A998" s="77" t="s">
        <v>9</v>
      </c>
      <c r="B998" s="77">
        <v>0</v>
      </c>
      <c r="C998" s="77">
        <v>0</v>
      </c>
      <c r="D998" s="77">
        <v>0</v>
      </c>
      <c r="E998" s="77">
        <v>0</v>
      </c>
      <c r="F998" s="77">
        <v>0</v>
      </c>
      <c r="G998" s="77">
        <v>0</v>
      </c>
      <c r="H998" s="77">
        <v>0</v>
      </c>
      <c r="I998" s="77">
        <v>0</v>
      </c>
      <c r="J998" s="77">
        <v>0</v>
      </c>
      <c r="K998" s="77">
        <v>0</v>
      </c>
      <c r="L998" s="77">
        <v>0</v>
      </c>
      <c r="M998" s="77">
        <v>0</v>
      </c>
      <c r="N998" s="77">
        <v>0</v>
      </c>
      <c r="O998" s="77">
        <v>0</v>
      </c>
      <c r="P998" s="77">
        <v>0</v>
      </c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7"/>
      <c r="AD998" s="77"/>
      <c r="AE998" s="77"/>
      <c r="AF998" s="77"/>
      <c r="AG998" s="77"/>
    </row>
    <row r="999" spans="1:33" x14ac:dyDescent="0.25">
      <c r="A999" s="77" t="s">
        <v>10</v>
      </c>
      <c r="B999" s="77">
        <v>57.0128615</v>
      </c>
      <c r="C999" s="77">
        <v>0</v>
      </c>
      <c r="D999" s="77">
        <v>57.0128615</v>
      </c>
      <c r="E999" s="77">
        <v>27.310044099999999</v>
      </c>
      <c r="F999" s="77">
        <v>1.045245</v>
      </c>
      <c r="G999" s="77">
        <v>4.9982395999999998</v>
      </c>
      <c r="H999" s="77">
        <v>0.10486696500000001</v>
      </c>
      <c r="I999" s="77">
        <v>0</v>
      </c>
      <c r="J999" s="77">
        <v>0</v>
      </c>
      <c r="K999" s="77">
        <v>23.554465799999999</v>
      </c>
      <c r="L999" s="77">
        <v>0</v>
      </c>
      <c r="M999" s="77">
        <v>0</v>
      </c>
      <c r="N999" s="77">
        <v>0</v>
      </c>
      <c r="O999" s="77">
        <v>0</v>
      </c>
      <c r="P999" s="77">
        <v>0</v>
      </c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7"/>
      <c r="AD999" s="77"/>
      <c r="AE999" s="77"/>
      <c r="AF999" s="77"/>
      <c r="AG999" s="77"/>
    </row>
    <row r="1000" spans="1:33" x14ac:dyDescent="0.25">
      <c r="A1000" s="77" t="s">
        <v>11</v>
      </c>
      <c r="B1000" s="77">
        <v>4.7646573999999999</v>
      </c>
      <c r="C1000" s="77">
        <v>0</v>
      </c>
      <c r="D1000" s="77">
        <v>4.7646573999999999</v>
      </c>
      <c r="E1000" s="77">
        <v>2.3804866100000002</v>
      </c>
      <c r="F1000" s="77">
        <v>0.342678643</v>
      </c>
      <c r="G1000" s="77">
        <v>1.93320007</v>
      </c>
      <c r="H1000" s="77">
        <v>0.108292085</v>
      </c>
      <c r="I1000" s="77">
        <v>0</v>
      </c>
      <c r="J1000" s="77">
        <v>0</v>
      </c>
      <c r="K1000" s="77">
        <v>0</v>
      </c>
      <c r="L1000" s="77">
        <v>0</v>
      </c>
      <c r="M1000" s="77">
        <v>0</v>
      </c>
      <c r="N1000" s="77">
        <v>0</v>
      </c>
      <c r="O1000" s="77">
        <v>0</v>
      </c>
      <c r="P1000" s="77">
        <v>0</v>
      </c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7"/>
      <c r="AD1000" s="77"/>
      <c r="AE1000" s="77"/>
      <c r="AF1000" s="77"/>
      <c r="AG1000" s="77"/>
    </row>
    <row r="1001" spans="1:33" x14ac:dyDescent="0.25">
      <c r="A1001" s="77" t="s">
        <v>12</v>
      </c>
      <c r="B1001" s="77">
        <v>57.046275899999998</v>
      </c>
      <c r="C1001" s="77">
        <v>28.551185100000001</v>
      </c>
      <c r="D1001" s="77">
        <v>28.4950908</v>
      </c>
      <c r="E1001" s="77">
        <v>43.8009536</v>
      </c>
      <c r="F1001" s="77">
        <v>0.84269375999999996</v>
      </c>
      <c r="G1001" s="77">
        <v>8.0879036699999993</v>
      </c>
      <c r="H1001" s="77">
        <v>0.25990100500000002</v>
      </c>
      <c r="I1001" s="77">
        <v>0</v>
      </c>
      <c r="J1001" s="77">
        <v>0</v>
      </c>
      <c r="K1001" s="77">
        <v>4.0548239600000002</v>
      </c>
      <c r="L1001" s="77">
        <v>0</v>
      </c>
      <c r="M1001" s="77">
        <v>0</v>
      </c>
      <c r="N1001" s="77">
        <v>0</v>
      </c>
      <c r="O1001" s="77">
        <v>0</v>
      </c>
      <c r="P1001" s="77">
        <v>0</v>
      </c>
      <c r="R1001" s="77"/>
      <c r="S1001" s="77"/>
      <c r="T1001" s="77"/>
      <c r="U1001" s="77"/>
      <c r="V1001" s="77"/>
      <c r="W1001" s="77"/>
      <c r="X1001" s="77"/>
      <c r="Y1001" s="77"/>
      <c r="Z1001" s="77"/>
      <c r="AA1001" s="77"/>
      <c r="AB1001" s="77"/>
      <c r="AC1001" s="77"/>
      <c r="AD1001" s="77"/>
      <c r="AE1001" s="77"/>
      <c r="AF1001" s="77"/>
      <c r="AG1001" s="77"/>
    </row>
    <row r="1002" spans="1:33" x14ac:dyDescent="0.25">
      <c r="A1002" s="77" t="s">
        <v>13</v>
      </c>
      <c r="B1002" s="77">
        <v>71.361456099999998</v>
      </c>
      <c r="C1002" s="77">
        <v>0</v>
      </c>
      <c r="D1002" s="77">
        <v>71.361456099999998</v>
      </c>
      <c r="E1002" s="77">
        <v>55.083112499999999</v>
      </c>
      <c r="F1002" s="77">
        <v>4.5446431900000004</v>
      </c>
      <c r="G1002" s="77">
        <v>0</v>
      </c>
      <c r="H1002" s="77">
        <v>0</v>
      </c>
      <c r="I1002" s="77">
        <v>0</v>
      </c>
      <c r="J1002" s="77">
        <v>0</v>
      </c>
      <c r="K1002" s="77">
        <v>11.7337004</v>
      </c>
      <c r="L1002" s="77">
        <v>0</v>
      </c>
      <c r="M1002" s="77">
        <v>0</v>
      </c>
      <c r="N1002" s="77">
        <v>0</v>
      </c>
      <c r="O1002" s="77">
        <v>0</v>
      </c>
      <c r="P1002" s="77">
        <v>0</v>
      </c>
      <c r="R1002" s="77"/>
      <c r="S1002" s="77"/>
      <c r="T1002" s="77"/>
      <c r="U1002" s="77"/>
      <c r="V1002" s="77"/>
      <c r="W1002" s="77"/>
      <c r="X1002" s="77"/>
      <c r="Y1002" s="77"/>
      <c r="Z1002" s="77"/>
      <c r="AA1002" s="77"/>
      <c r="AB1002" s="77"/>
      <c r="AC1002" s="77"/>
      <c r="AD1002" s="77"/>
      <c r="AE1002" s="77"/>
      <c r="AF1002" s="77"/>
      <c r="AG1002" s="77"/>
    </row>
    <row r="1003" spans="1:33" x14ac:dyDescent="0.25">
      <c r="A1003" s="77" t="s">
        <v>14</v>
      </c>
      <c r="B1003" s="77">
        <v>35.647873199999999</v>
      </c>
      <c r="C1003" s="77">
        <v>0</v>
      </c>
      <c r="D1003" s="77">
        <v>35.647873199999999</v>
      </c>
      <c r="E1003" s="77">
        <v>17.169750799999999</v>
      </c>
      <c r="F1003" s="77">
        <v>0.39915248199999998</v>
      </c>
      <c r="G1003" s="77">
        <v>17.9814425</v>
      </c>
      <c r="H1003" s="77">
        <v>9.7527336800000003E-2</v>
      </c>
      <c r="I1003" s="105">
        <v>0</v>
      </c>
      <c r="J1003" s="77">
        <v>0</v>
      </c>
      <c r="K1003" s="77">
        <v>0</v>
      </c>
      <c r="L1003" s="77">
        <v>0</v>
      </c>
      <c r="M1003" s="77">
        <v>0</v>
      </c>
      <c r="N1003" s="77">
        <v>0</v>
      </c>
      <c r="O1003" s="77">
        <v>0</v>
      </c>
      <c r="P1003" s="77">
        <v>0</v>
      </c>
      <c r="R1003" s="77"/>
      <c r="S1003" s="77"/>
      <c r="T1003" s="77"/>
      <c r="U1003" s="77"/>
      <c r="V1003" s="77"/>
      <c r="W1003" s="77"/>
      <c r="X1003" s="77"/>
      <c r="Y1003" s="77"/>
      <c r="Z1003" s="105"/>
      <c r="AA1003" s="77"/>
      <c r="AB1003" s="77"/>
      <c r="AC1003" s="77"/>
      <c r="AD1003" s="77"/>
      <c r="AE1003" s="77"/>
      <c r="AF1003" s="77"/>
      <c r="AG1003" s="77"/>
    </row>
    <row r="1004" spans="1:33" x14ac:dyDescent="0.25">
      <c r="A1004" s="77" t="s">
        <v>466</v>
      </c>
      <c r="B1004" s="77"/>
      <c r="C1004" s="77"/>
      <c r="D1004" s="77"/>
      <c r="E1004" s="77"/>
      <c r="F1004" s="77"/>
      <c r="G1004" s="77"/>
      <c r="H1004" s="77"/>
      <c r="I1004" s="77"/>
      <c r="J1004" s="77"/>
      <c r="K1004" s="77"/>
      <c r="L1004" s="77"/>
      <c r="M1004" s="77"/>
      <c r="N1004" s="77"/>
      <c r="O1004" s="77"/>
      <c r="P1004" s="77"/>
      <c r="R1004" s="77"/>
      <c r="S1004" s="77"/>
      <c r="T1004" s="77"/>
      <c r="U1004" s="77"/>
      <c r="V1004" s="77"/>
      <c r="W1004" s="77"/>
      <c r="X1004" s="77"/>
      <c r="Y1004" s="77"/>
      <c r="Z1004" s="77"/>
      <c r="AA1004" s="77"/>
      <c r="AB1004" s="77"/>
      <c r="AC1004" s="77"/>
      <c r="AD1004" s="77"/>
      <c r="AE1004" s="77"/>
      <c r="AF1004" s="77"/>
      <c r="AG1004" s="77"/>
    </row>
    <row r="1005" spans="1:33" x14ac:dyDescent="0.25">
      <c r="A1005" s="77" t="s">
        <v>360</v>
      </c>
      <c r="B1005" s="77" t="s">
        <v>18</v>
      </c>
      <c r="C1005" s="77" t="s">
        <v>19</v>
      </c>
      <c r="D1005" s="77" t="s">
        <v>20</v>
      </c>
      <c r="E1005" s="77" t="s">
        <v>21</v>
      </c>
      <c r="F1005" s="77" t="s">
        <v>22</v>
      </c>
      <c r="G1005" s="77" t="s">
        <v>23</v>
      </c>
      <c r="H1005" s="77" t="s">
        <v>361</v>
      </c>
      <c r="I1005" s="77" t="s">
        <v>25</v>
      </c>
      <c r="J1005" s="77" t="s">
        <v>362</v>
      </c>
      <c r="K1005" s="77" t="s">
        <v>5</v>
      </c>
      <c r="L1005" s="77" t="s">
        <v>6</v>
      </c>
      <c r="M1005" s="77" t="s">
        <v>7</v>
      </c>
      <c r="N1005" s="77" t="s">
        <v>8</v>
      </c>
      <c r="O1005" s="77" t="s">
        <v>9</v>
      </c>
      <c r="P1005" s="77" t="s">
        <v>363</v>
      </c>
      <c r="R1005" s="77"/>
      <c r="S1005" s="77"/>
      <c r="T1005" s="77"/>
      <c r="U1005" s="77"/>
      <c r="V1005" s="77"/>
      <c r="W1005" s="77"/>
      <c r="X1005" s="77"/>
      <c r="Y1005" s="77"/>
      <c r="Z1005" s="77"/>
      <c r="AA1005" s="77"/>
      <c r="AB1005" s="77"/>
      <c r="AC1005" s="77"/>
      <c r="AD1005" s="77"/>
      <c r="AE1005" s="77"/>
      <c r="AF1005" s="77"/>
      <c r="AG1005" s="77"/>
    </row>
    <row r="1006" spans="1:33" x14ac:dyDescent="0.25">
      <c r="A1006" s="77" t="s">
        <v>364</v>
      </c>
      <c r="B1006" s="77" t="s">
        <v>370</v>
      </c>
      <c r="C1006" s="77" t="s">
        <v>370</v>
      </c>
      <c r="D1006" s="77" t="s">
        <v>370</v>
      </c>
      <c r="E1006" s="77" t="s">
        <v>370</v>
      </c>
      <c r="F1006" s="77" t="s">
        <v>370</v>
      </c>
      <c r="G1006" s="77" t="s">
        <v>370</v>
      </c>
      <c r="H1006" s="77" t="s">
        <v>370</v>
      </c>
      <c r="I1006" s="77" t="s">
        <v>370</v>
      </c>
      <c r="J1006" s="77" t="s">
        <v>370</v>
      </c>
      <c r="K1006" s="77" t="s">
        <v>370</v>
      </c>
      <c r="L1006" s="77" t="s">
        <v>370</v>
      </c>
      <c r="M1006" s="77" t="s">
        <v>370</v>
      </c>
      <c r="N1006" s="77" t="s">
        <v>370</v>
      </c>
      <c r="O1006" s="77" t="s">
        <v>370</v>
      </c>
      <c r="P1006" s="77" t="s">
        <v>370</v>
      </c>
      <c r="R1006" s="77"/>
      <c r="S1006" s="77"/>
      <c r="T1006" s="77"/>
      <c r="U1006" s="77"/>
      <c r="V1006" s="77"/>
      <c r="W1006" s="77"/>
      <c r="X1006" s="77"/>
      <c r="Y1006" s="77"/>
      <c r="Z1006" s="77"/>
      <c r="AA1006" s="77"/>
      <c r="AB1006" s="77"/>
      <c r="AC1006" s="77"/>
      <c r="AD1006" s="77"/>
      <c r="AE1006" s="77"/>
      <c r="AF1006" s="77"/>
      <c r="AG1006" s="77"/>
    </row>
    <row r="1007" spans="1:33" x14ac:dyDescent="0.25">
      <c r="A1007" s="77" t="s">
        <v>1</v>
      </c>
      <c r="B1007" s="77">
        <v>0</v>
      </c>
      <c r="C1007" s="77">
        <v>0</v>
      </c>
      <c r="D1007" s="77">
        <v>0</v>
      </c>
      <c r="E1007" s="77">
        <v>0</v>
      </c>
      <c r="F1007" s="77">
        <v>0</v>
      </c>
      <c r="G1007" s="77">
        <v>0</v>
      </c>
      <c r="H1007" s="77">
        <v>0</v>
      </c>
      <c r="I1007" s="77">
        <v>0</v>
      </c>
      <c r="J1007" s="77">
        <v>0</v>
      </c>
      <c r="K1007" s="77">
        <v>0</v>
      </c>
      <c r="L1007" s="77">
        <v>0</v>
      </c>
      <c r="M1007" s="77">
        <v>0</v>
      </c>
      <c r="N1007" s="77">
        <v>0</v>
      </c>
      <c r="O1007" s="77">
        <v>0</v>
      </c>
      <c r="P1007" s="77">
        <v>0</v>
      </c>
      <c r="R1007" s="77"/>
      <c r="S1007" s="77"/>
      <c r="T1007" s="77"/>
      <c r="U1007" s="77"/>
      <c r="V1007" s="77"/>
      <c r="W1007" s="77"/>
      <c r="X1007" s="77"/>
      <c r="Y1007" s="77"/>
      <c r="Z1007" s="77"/>
      <c r="AA1007" s="77"/>
      <c r="AB1007" s="77"/>
      <c r="AC1007" s="77"/>
      <c r="AD1007" s="77"/>
      <c r="AE1007" s="77"/>
      <c r="AF1007" s="77"/>
      <c r="AG1007" s="77"/>
    </row>
    <row r="1008" spans="1:33" x14ac:dyDescent="0.25">
      <c r="A1008" s="77" t="s">
        <v>2</v>
      </c>
      <c r="B1008" s="77">
        <v>2.0735378199999999</v>
      </c>
      <c r="C1008" s="77">
        <v>0</v>
      </c>
      <c r="D1008" s="77">
        <v>2.0735378199999999</v>
      </c>
      <c r="E1008" s="77">
        <v>0</v>
      </c>
      <c r="F1008" s="77">
        <v>0</v>
      </c>
      <c r="G1008" s="77">
        <v>0</v>
      </c>
      <c r="H1008" s="77">
        <v>0</v>
      </c>
      <c r="I1008" s="77">
        <v>0</v>
      </c>
      <c r="J1008" s="77">
        <v>0</v>
      </c>
      <c r="K1008" s="77">
        <v>2.0735378199999999</v>
      </c>
      <c r="L1008" s="77">
        <v>0</v>
      </c>
      <c r="M1008" s="77">
        <v>0</v>
      </c>
      <c r="N1008" s="77">
        <v>0</v>
      </c>
      <c r="O1008" s="77">
        <v>0</v>
      </c>
      <c r="P1008" s="77">
        <v>0</v>
      </c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7"/>
      <c r="AD1008" s="77"/>
      <c r="AE1008" s="77"/>
      <c r="AF1008" s="77"/>
      <c r="AG1008" s="77"/>
    </row>
    <row r="1009" spans="1:33" x14ac:dyDescent="0.25">
      <c r="A1009" s="77" t="s">
        <v>3</v>
      </c>
      <c r="B1009" s="77">
        <v>0.56041562599999994</v>
      </c>
      <c r="C1009" s="77">
        <v>0</v>
      </c>
      <c r="D1009" s="77">
        <v>0.56041562599999994</v>
      </c>
      <c r="E1009" s="77">
        <v>0</v>
      </c>
      <c r="F1009" s="77">
        <v>0</v>
      </c>
      <c r="G1009" s="77">
        <v>0</v>
      </c>
      <c r="H1009" s="77">
        <v>0</v>
      </c>
      <c r="I1009" s="77">
        <v>0</v>
      </c>
      <c r="J1009" s="77">
        <v>0</v>
      </c>
      <c r="K1009" s="77">
        <v>0.56041562599999994</v>
      </c>
      <c r="L1009" s="77">
        <v>0</v>
      </c>
      <c r="M1009" s="77">
        <v>0</v>
      </c>
      <c r="N1009" s="77">
        <v>0</v>
      </c>
      <c r="O1009" s="77">
        <v>0</v>
      </c>
      <c r="P1009" s="77">
        <v>0</v>
      </c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7"/>
      <c r="AD1009" s="77"/>
      <c r="AE1009" s="77"/>
      <c r="AF1009" s="77"/>
      <c r="AG1009" s="77"/>
    </row>
    <row r="1010" spans="1:33" x14ac:dyDescent="0.25">
      <c r="A1010" s="77" t="s">
        <v>4</v>
      </c>
      <c r="B1010" s="77">
        <v>3.43055333</v>
      </c>
      <c r="C1010" s="77">
        <v>0</v>
      </c>
      <c r="D1010" s="77">
        <v>3.43055333</v>
      </c>
      <c r="E1010" s="77">
        <v>1.7139503599999999</v>
      </c>
      <c r="F1010" s="77">
        <v>0.24672862300000001</v>
      </c>
      <c r="G1010" s="77">
        <v>1.3919040499999999</v>
      </c>
      <c r="H1010" s="77">
        <v>7.7970301399999997E-2</v>
      </c>
      <c r="I1010" s="77">
        <v>0</v>
      </c>
      <c r="J1010" s="77">
        <v>0</v>
      </c>
      <c r="K1010" s="77">
        <v>0</v>
      </c>
      <c r="L1010" s="77">
        <v>0</v>
      </c>
      <c r="M1010" s="77">
        <v>0</v>
      </c>
      <c r="N1010" s="77">
        <v>0</v>
      </c>
      <c r="O1010" s="77">
        <v>0</v>
      </c>
      <c r="P1010" s="77">
        <v>0</v>
      </c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7"/>
      <c r="AD1010" s="77"/>
      <c r="AE1010" s="77"/>
      <c r="AF1010" s="77"/>
      <c r="AG1010" s="77"/>
    </row>
    <row r="1011" spans="1:33" x14ac:dyDescent="0.25">
      <c r="A1011" s="77" t="s">
        <v>5</v>
      </c>
      <c r="B1011" s="77">
        <v>2.0735378199999999</v>
      </c>
      <c r="C1011" s="77">
        <v>2.63395344</v>
      </c>
      <c r="D1011" s="77">
        <v>-0.56041562599999994</v>
      </c>
      <c r="E1011" s="77">
        <v>1.17155272</v>
      </c>
      <c r="F1011" s="77">
        <v>0.186329737</v>
      </c>
      <c r="G1011" s="77">
        <v>0.702533929</v>
      </c>
      <c r="H1011" s="77">
        <v>1.3121434899999999E-2</v>
      </c>
      <c r="I1011" s="77">
        <v>0</v>
      </c>
      <c r="J1011" s="77">
        <v>0</v>
      </c>
      <c r="K1011" s="77">
        <v>0</v>
      </c>
      <c r="L1011" s="77">
        <v>0</v>
      </c>
      <c r="M1011" s="77">
        <v>0</v>
      </c>
      <c r="N1011" s="77">
        <v>0</v>
      </c>
      <c r="O1011" s="77">
        <v>0</v>
      </c>
      <c r="P1011" s="77">
        <v>0</v>
      </c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7"/>
      <c r="AD1011" s="77"/>
      <c r="AE1011" s="77"/>
      <c r="AF1011" s="77"/>
      <c r="AG1011" s="77"/>
    </row>
    <row r="1012" spans="1:33" x14ac:dyDescent="0.25">
      <c r="A1012" s="77" t="s">
        <v>6</v>
      </c>
      <c r="B1012" s="77">
        <v>0</v>
      </c>
      <c r="C1012" s="77">
        <v>0</v>
      </c>
      <c r="D1012" s="77">
        <v>0</v>
      </c>
      <c r="E1012" s="77">
        <v>0</v>
      </c>
      <c r="F1012" s="77">
        <v>0</v>
      </c>
      <c r="G1012" s="77">
        <v>0</v>
      </c>
      <c r="H1012" s="77">
        <v>0</v>
      </c>
      <c r="I1012" s="77">
        <v>0</v>
      </c>
      <c r="J1012" s="77">
        <v>0</v>
      </c>
      <c r="K1012" s="77">
        <v>0</v>
      </c>
      <c r="L1012" s="77">
        <v>0</v>
      </c>
      <c r="M1012" s="77">
        <v>0</v>
      </c>
      <c r="N1012" s="77">
        <v>0</v>
      </c>
      <c r="O1012" s="77">
        <v>0</v>
      </c>
      <c r="P1012" s="77">
        <v>0</v>
      </c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7"/>
      <c r="AD1012" s="77"/>
      <c r="AE1012" s="77"/>
      <c r="AF1012" s="77"/>
      <c r="AG1012" s="77"/>
    </row>
    <row r="1013" spans="1:33" x14ac:dyDescent="0.25">
      <c r="A1013" s="77" t="s">
        <v>7</v>
      </c>
      <c r="B1013" s="77">
        <v>0</v>
      </c>
      <c r="C1013" s="77">
        <v>0</v>
      </c>
      <c r="D1013" s="77">
        <v>0</v>
      </c>
      <c r="E1013" s="77">
        <v>0</v>
      </c>
      <c r="F1013" s="77">
        <v>0</v>
      </c>
      <c r="G1013" s="77">
        <v>0</v>
      </c>
      <c r="H1013" s="77">
        <v>0</v>
      </c>
      <c r="I1013" s="77">
        <v>0</v>
      </c>
      <c r="J1013" s="77">
        <v>0</v>
      </c>
      <c r="K1013" s="77">
        <v>0</v>
      </c>
      <c r="L1013" s="77">
        <v>0</v>
      </c>
      <c r="M1013" s="77">
        <v>0</v>
      </c>
      <c r="N1013" s="77">
        <v>0</v>
      </c>
      <c r="O1013" s="77">
        <v>0</v>
      </c>
      <c r="P1013" s="77">
        <v>0</v>
      </c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7"/>
      <c r="AD1013" s="77"/>
      <c r="AE1013" s="77"/>
      <c r="AF1013" s="77"/>
      <c r="AG1013" s="77"/>
    </row>
    <row r="1014" spans="1:33" x14ac:dyDescent="0.25">
      <c r="A1014" s="77" t="s">
        <v>8</v>
      </c>
      <c r="B1014" s="77">
        <v>0</v>
      </c>
      <c r="C1014" s="77">
        <v>0</v>
      </c>
      <c r="D1014" s="77">
        <v>0</v>
      </c>
      <c r="E1014" s="77">
        <v>0</v>
      </c>
      <c r="F1014" s="77">
        <v>0</v>
      </c>
      <c r="G1014" s="77">
        <v>0</v>
      </c>
      <c r="H1014" s="77">
        <v>0</v>
      </c>
      <c r="I1014" s="77">
        <v>0</v>
      </c>
      <c r="J1014" s="77">
        <v>0</v>
      </c>
      <c r="K1014" s="77">
        <v>0</v>
      </c>
      <c r="L1014" s="77">
        <v>0</v>
      </c>
      <c r="M1014" s="77">
        <v>0</v>
      </c>
      <c r="N1014" s="77">
        <v>0</v>
      </c>
      <c r="O1014" s="77">
        <v>0</v>
      </c>
      <c r="P1014" s="77">
        <v>0</v>
      </c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7"/>
      <c r="AD1014" s="77"/>
      <c r="AE1014" s="77"/>
      <c r="AF1014" s="77"/>
      <c r="AG1014" s="77"/>
    </row>
    <row r="1015" spans="1:33" x14ac:dyDescent="0.25">
      <c r="A1015" s="77" t="s">
        <v>9</v>
      </c>
      <c r="B1015" s="77">
        <v>0</v>
      </c>
      <c r="C1015" s="77">
        <v>0</v>
      </c>
      <c r="D1015" s="77">
        <v>0</v>
      </c>
      <c r="E1015" s="77">
        <v>0</v>
      </c>
      <c r="F1015" s="77">
        <v>0</v>
      </c>
      <c r="G1015" s="77">
        <v>0</v>
      </c>
      <c r="H1015" s="77">
        <v>0</v>
      </c>
      <c r="I1015" s="77">
        <v>0</v>
      </c>
      <c r="J1015" s="77">
        <v>0</v>
      </c>
      <c r="K1015" s="77">
        <v>0</v>
      </c>
      <c r="L1015" s="77">
        <v>0</v>
      </c>
      <c r="M1015" s="77">
        <v>0</v>
      </c>
      <c r="N1015" s="77">
        <v>0</v>
      </c>
      <c r="O1015" s="77">
        <v>0</v>
      </c>
      <c r="P1015" s="77">
        <v>0</v>
      </c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7"/>
      <c r="AD1015" s="77"/>
      <c r="AE1015" s="77"/>
      <c r="AF1015" s="77"/>
      <c r="AG1015" s="77"/>
    </row>
    <row r="1016" spans="1:33" x14ac:dyDescent="0.25">
      <c r="A1016" s="77" t="s">
        <v>10</v>
      </c>
      <c r="B1016" s="77">
        <v>0</v>
      </c>
      <c r="C1016" s="77">
        <v>0</v>
      </c>
      <c r="D1016" s="77">
        <v>0</v>
      </c>
      <c r="E1016" s="77">
        <v>0</v>
      </c>
      <c r="F1016" s="77">
        <v>0</v>
      </c>
      <c r="G1016" s="77">
        <v>0</v>
      </c>
      <c r="H1016" s="77">
        <v>0</v>
      </c>
      <c r="I1016" s="77">
        <v>0</v>
      </c>
      <c r="J1016" s="77">
        <v>0</v>
      </c>
      <c r="K1016" s="77">
        <v>0</v>
      </c>
      <c r="L1016" s="77">
        <v>0</v>
      </c>
      <c r="M1016" s="77">
        <v>0</v>
      </c>
      <c r="N1016" s="77">
        <v>0</v>
      </c>
      <c r="O1016" s="77">
        <v>0</v>
      </c>
      <c r="P1016" s="77">
        <v>0</v>
      </c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7"/>
      <c r="AD1016" s="77"/>
      <c r="AE1016" s="77"/>
      <c r="AF1016" s="77"/>
      <c r="AG1016" s="77"/>
    </row>
    <row r="1017" spans="1:33" x14ac:dyDescent="0.25">
      <c r="A1017" s="77" t="s">
        <v>11</v>
      </c>
      <c r="B1017" s="77">
        <v>0</v>
      </c>
      <c r="C1017" s="77">
        <v>0</v>
      </c>
      <c r="D1017" s="77">
        <v>0</v>
      </c>
      <c r="E1017" s="77">
        <v>0</v>
      </c>
      <c r="F1017" s="77">
        <v>0</v>
      </c>
      <c r="G1017" s="77">
        <v>0</v>
      </c>
      <c r="H1017" s="77">
        <v>0</v>
      </c>
      <c r="I1017" s="77">
        <v>0</v>
      </c>
      <c r="J1017" s="77">
        <v>0</v>
      </c>
      <c r="K1017" s="77">
        <v>0</v>
      </c>
      <c r="L1017" s="77">
        <v>0</v>
      </c>
      <c r="M1017" s="77">
        <v>0</v>
      </c>
      <c r="N1017" s="77">
        <v>0</v>
      </c>
      <c r="O1017" s="77">
        <v>0</v>
      </c>
      <c r="P1017" s="77">
        <v>0</v>
      </c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7"/>
      <c r="AD1017" s="77"/>
      <c r="AE1017" s="77"/>
      <c r="AF1017" s="77"/>
      <c r="AG1017" s="77"/>
    </row>
    <row r="1018" spans="1:33" x14ac:dyDescent="0.25">
      <c r="A1018" s="77" t="s">
        <v>12</v>
      </c>
      <c r="B1018" s="77">
        <v>0</v>
      </c>
      <c r="C1018" s="77">
        <v>0</v>
      </c>
      <c r="D1018" s="77">
        <v>0</v>
      </c>
      <c r="E1018" s="77">
        <v>0</v>
      </c>
      <c r="F1018" s="77">
        <v>0</v>
      </c>
      <c r="G1018" s="77">
        <v>0</v>
      </c>
      <c r="H1018" s="77">
        <v>0</v>
      </c>
      <c r="I1018" s="77">
        <v>0</v>
      </c>
      <c r="J1018" s="77">
        <v>0</v>
      </c>
      <c r="K1018" s="77">
        <v>0</v>
      </c>
      <c r="L1018" s="77">
        <v>0</v>
      </c>
      <c r="M1018" s="77">
        <v>0</v>
      </c>
      <c r="N1018" s="77">
        <v>0</v>
      </c>
      <c r="O1018" s="77">
        <v>0</v>
      </c>
      <c r="P1018" s="77">
        <v>0</v>
      </c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7"/>
      <c r="AD1018" s="77"/>
      <c r="AE1018" s="77"/>
      <c r="AF1018" s="77"/>
      <c r="AG1018" s="77"/>
    </row>
    <row r="1019" spans="1:33" x14ac:dyDescent="0.25">
      <c r="A1019" s="77" t="s">
        <v>13</v>
      </c>
      <c r="B1019" s="77">
        <v>0</v>
      </c>
      <c r="C1019" s="77">
        <v>0</v>
      </c>
      <c r="D1019" s="77">
        <v>0</v>
      </c>
      <c r="E1019" s="77">
        <v>0</v>
      </c>
      <c r="F1019" s="77">
        <v>0</v>
      </c>
      <c r="G1019" s="77">
        <v>0</v>
      </c>
      <c r="H1019" s="77">
        <v>0</v>
      </c>
      <c r="I1019" s="77">
        <v>0</v>
      </c>
      <c r="J1019" s="77">
        <v>0</v>
      </c>
      <c r="K1019" s="77">
        <v>0</v>
      </c>
      <c r="L1019" s="77">
        <v>0</v>
      </c>
      <c r="M1019" s="77">
        <v>0</v>
      </c>
      <c r="N1019" s="77">
        <v>0</v>
      </c>
      <c r="O1019" s="77">
        <v>0</v>
      </c>
      <c r="P1019" s="77">
        <v>0</v>
      </c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7"/>
      <c r="AD1019" s="77"/>
      <c r="AE1019" s="77"/>
      <c r="AF1019" s="77"/>
      <c r="AG1019" s="77"/>
    </row>
    <row r="1020" spans="1:33" x14ac:dyDescent="0.25">
      <c r="A1020" s="77" t="s">
        <v>14</v>
      </c>
      <c r="B1020" s="77">
        <v>0</v>
      </c>
      <c r="C1020" s="77">
        <v>0</v>
      </c>
      <c r="D1020" s="77">
        <v>0</v>
      </c>
      <c r="E1020" s="77">
        <v>0</v>
      </c>
      <c r="F1020" s="77">
        <v>0</v>
      </c>
      <c r="G1020" s="77">
        <v>0</v>
      </c>
      <c r="H1020" s="77">
        <v>0</v>
      </c>
      <c r="I1020" s="77">
        <v>0</v>
      </c>
      <c r="J1020" s="77">
        <v>0</v>
      </c>
      <c r="K1020" s="77">
        <v>0</v>
      </c>
      <c r="L1020" s="77">
        <v>0</v>
      </c>
      <c r="M1020" s="77">
        <v>0</v>
      </c>
      <c r="N1020" s="77">
        <v>0</v>
      </c>
      <c r="O1020" s="77">
        <v>0</v>
      </c>
      <c r="P1020" s="77">
        <v>0</v>
      </c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7"/>
      <c r="AD1020" s="77"/>
      <c r="AE1020" s="77"/>
      <c r="AF1020" s="77"/>
      <c r="AG1020" s="77"/>
    </row>
    <row r="1021" spans="1:33" s="108" customFormat="1" ht="21" x14ac:dyDescent="0.35">
      <c r="A1021" s="106" t="s">
        <v>467</v>
      </c>
      <c r="B1021" s="106"/>
      <c r="C1021" s="106"/>
      <c r="D1021" s="106"/>
      <c r="E1021" s="106"/>
      <c r="F1021" s="106"/>
      <c r="G1021" s="106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7" t="s">
        <v>151</v>
      </c>
      <c r="R1021" s="106"/>
      <c r="S1021" s="106"/>
      <c r="T1021" s="106"/>
      <c r="U1021" s="106"/>
      <c r="V1021" s="106"/>
      <c r="W1021" s="106"/>
      <c r="X1021" s="106"/>
      <c r="Y1021" s="106"/>
      <c r="Z1021" s="106"/>
      <c r="AA1021" s="106"/>
      <c r="AB1021" s="106"/>
      <c r="AC1021" s="106"/>
      <c r="AD1021" s="106"/>
      <c r="AE1021" s="106"/>
      <c r="AF1021" s="106"/>
      <c r="AG1021" s="106"/>
    </row>
    <row r="1022" spans="1:33" x14ac:dyDescent="0.25">
      <c r="A1022" s="77" t="s">
        <v>360</v>
      </c>
      <c r="B1022" s="77" t="s">
        <v>18</v>
      </c>
      <c r="C1022" s="77" t="s">
        <v>19</v>
      </c>
      <c r="D1022" s="77" t="s">
        <v>20</v>
      </c>
      <c r="E1022" s="77" t="s">
        <v>21</v>
      </c>
      <c r="F1022" s="77" t="s">
        <v>22</v>
      </c>
      <c r="G1022" s="77" t="s">
        <v>23</v>
      </c>
      <c r="H1022" s="77" t="s">
        <v>361</v>
      </c>
      <c r="I1022" s="77" t="s">
        <v>25</v>
      </c>
      <c r="J1022" s="77" t="s">
        <v>362</v>
      </c>
      <c r="K1022" s="77" t="s">
        <v>5</v>
      </c>
      <c r="L1022" s="77" t="s">
        <v>6</v>
      </c>
      <c r="M1022" s="77" t="s">
        <v>7</v>
      </c>
      <c r="N1022" s="77" t="s">
        <v>8</v>
      </c>
      <c r="O1022" s="77" t="s">
        <v>9</v>
      </c>
      <c r="P1022" s="77" t="s">
        <v>363</v>
      </c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7"/>
      <c r="AD1022" s="77"/>
      <c r="AE1022" s="77"/>
      <c r="AF1022" s="77"/>
      <c r="AG1022" s="77"/>
    </row>
    <row r="1023" spans="1:33" x14ac:dyDescent="0.25">
      <c r="A1023" s="77" t="s">
        <v>364</v>
      </c>
      <c r="B1023" s="77" t="s">
        <v>365</v>
      </c>
      <c r="C1023" s="77" t="s">
        <v>365</v>
      </c>
      <c r="D1023" s="77" t="s">
        <v>365</v>
      </c>
      <c r="E1023" s="77" t="s">
        <v>365</v>
      </c>
      <c r="F1023" s="77" t="s">
        <v>365</v>
      </c>
      <c r="G1023" s="77" t="s">
        <v>365</v>
      </c>
      <c r="H1023" s="77" t="s">
        <v>365</v>
      </c>
      <c r="I1023" s="77" t="s">
        <v>365</v>
      </c>
      <c r="J1023" s="77" t="s">
        <v>365</v>
      </c>
      <c r="K1023" s="77" t="s">
        <v>365</v>
      </c>
      <c r="L1023" s="77" t="s">
        <v>365</v>
      </c>
      <c r="M1023" s="77" t="s">
        <v>365</v>
      </c>
      <c r="N1023" s="77" t="s">
        <v>365</v>
      </c>
      <c r="O1023" s="77" t="s">
        <v>365</v>
      </c>
      <c r="P1023" s="77" t="s">
        <v>365</v>
      </c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7"/>
      <c r="AD1023" s="77"/>
      <c r="AE1023" s="77"/>
      <c r="AF1023" s="77"/>
      <c r="AG1023" s="77"/>
    </row>
    <row r="1024" spans="1:33" x14ac:dyDescent="0.25">
      <c r="A1024" s="77" t="s">
        <v>1</v>
      </c>
      <c r="B1024" s="77">
        <v>0</v>
      </c>
      <c r="C1024" s="77">
        <v>0</v>
      </c>
      <c r="D1024" s="77">
        <v>0</v>
      </c>
      <c r="E1024" s="77">
        <v>0</v>
      </c>
      <c r="F1024" s="77">
        <v>0</v>
      </c>
      <c r="G1024" s="77">
        <v>0</v>
      </c>
      <c r="H1024" s="77">
        <v>0</v>
      </c>
      <c r="I1024" s="77">
        <v>0</v>
      </c>
      <c r="J1024" s="77">
        <v>0</v>
      </c>
      <c r="K1024" s="77">
        <v>0</v>
      </c>
      <c r="L1024" s="77">
        <v>0</v>
      </c>
      <c r="M1024" s="77">
        <v>0</v>
      </c>
      <c r="N1024" s="77">
        <v>0</v>
      </c>
      <c r="O1024" s="77">
        <v>0</v>
      </c>
      <c r="P1024" s="77">
        <v>0</v>
      </c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7"/>
      <c r="AD1024" s="77"/>
      <c r="AE1024" s="77"/>
      <c r="AF1024" s="77"/>
      <c r="AG1024" s="77"/>
    </row>
    <row r="1025" spans="1:33" x14ac:dyDescent="0.25">
      <c r="A1025" s="77" t="s">
        <v>2</v>
      </c>
      <c r="B1025" s="77">
        <v>0</v>
      </c>
      <c r="C1025" s="77">
        <v>0</v>
      </c>
      <c r="D1025" s="77">
        <v>0</v>
      </c>
      <c r="E1025" s="77">
        <v>0</v>
      </c>
      <c r="F1025" s="77">
        <v>0</v>
      </c>
      <c r="G1025" s="77">
        <v>0</v>
      </c>
      <c r="H1025" s="77">
        <v>0</v>
      </c>
      <c r="I1025" s="77">
        <v>0</v>
      </c>
      <c r="J1025" s="77">
        <v>0</v>
      </c>
      <c r="K1025" s="77">
        <v>0</v>
      </c>
      <c r="L1025" s="77">
        <v>0</v>
      </c>
      <c r="M1025" s="77">
        <v>0</v>
      </c>
      <c r="N1025" s="77">
        <v>0</v>
      </c>
      <c r="O1025" s="77">
        <v>0</v>
      </c>
      <c r="P1025" s="77">
        <v>0</v>
      </c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7"/>
      <c r="AD1025" s="77"/>
      <c r="AE1025" s="77"/>
      <c r="AF1025" s="77"/>
      <c r="AG1025" s="77"/>
    </row>
    <row r="1026" spans="1:33" x14ac:dyDescent="0.25">
      <c r="A1026" s="77" t="s">
        <v>3</v>
      </c>
      <c r="B1026" s="77">
        <v>267.44645600000001</v>
      </c>
      <c r="C1026" s="77">
        <v>0</v>
      </c>
      <c r="D1026" s="77">
        <v>267.44645600000001</v>
      </c>
      <c r="E1026" s="77">
        <v>177.84015099999999</v>
      </c>
      <c r="F1026" s="77">
        <v>0</v>
      </c>
      <c r="G1026" s="77">
        <v>60.848016800000003</v>
      </c>
      <c r="H1026" s="77">
        <v>0</v>
      </c>
      <c r="I1026" s="77">
        <v>0</v>
      </c>
      <c r="J1026" s="77">
        <v>0</v>
      </c>
      <c r="K1026" s="77">
        <v>28.758288</v>
      </c>
      <c r="L1026" s="77">
        <v>0</v>
      </c>
      <c r="M1026" s="77">
        <v>0</v>
      </c>
      <c r="N1026" s="77">
        <v>0</v>
      </c>
      <c r="O1026" s="77">
        <v>0</v>
      </c>
      <c r="P1026" s="77">
        <v>0</v>
      </c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7"/>
      <c r="AD1026" s="77"/>
      <c r="AE1026" s="77"/>
      <c r="AF1026" s="77"/>
      <c r="AG1026" s="77"/>
    </row>
    <row r="1027" spans="1:33" x14ac:dyDescent="0.25">
      <c r="A1027" s="77" t="s">
        <v>4</v>
      </c>
      <c r="B1027" s="77">
        <v>351.92242800000002</v>
      </c>
      <c r="C1027" s="77">
        <v>0</v>
      </c>
      <c r="D1027" s="77">
        <v>351.92242800000002</v>
      </c>
      <c r="E1027" s="77">
        <v>182.13744600000001</v>
      </c>
      <c r="F1027" s="77">
        <v>0</v>
      </c>
      <c r="G1027" s="77">
        <v>169.78498200000001</v>
      </c>
      <c r="H1027" s="77">
        <v>0</v>
      </c>
      <c r="I1027" s="77">
        <v>0</v>
      </c>
      <c r="J1027" s="77">
        <v>0</v>
      </c>
      <c r="K1027" s="77">
        <v>0</v>
      </c>
      <c r="L1027" s="77">
        <v>0</v>
      </c>
      <c r="M1027" s="77">
        <v>0</v>
      </c>
      <c r="N1027" s="77">
        <v>0</v>
      </c>
      <c r="O1027" s="77">
        <v>0</v>
      </c>
      <c r="P1027" s="77">
        <v>0</v>
      </c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7"/>
      <c r="AD1027" s="77"/>
      <c r="AE1027" s="77"/>
      <c r="AF1027" s="77"/>
      <c r="AG1027" s="77"/>
    </row>
    <row r="1028" spans="1:33" x14ac:dyDescent="0.25">
      <c r="A1028" s="77" t="s">
        <v>5</v>
      </c>
      <c r="B1028" s="77">
        <v>28.758288</v>
      </c>
      <c r="C1028" s="77">
        <v>28.758288</v>
      </c>
      <c r="D1028" s="77">
        <v>0</v>
      </c>
      <c r="E1028" s="77">
        <v>17.755256500000002</v>
      </c>
      <c r="F1028" s="77">
        <v>0</v>
      </c>
      <c r="G1028" s="77">
        <v>11.0030316</v>
      </c>
      <c r="H1028" s="77">
        <v>0</v>
      </c>
      <c r="I1028" s="77">
        <v>0</v>
      </c>
      <c r="J1028" s="77">
        <v>0</v>
      </c>
      <c r="K1028" s="77">
        <v>0</v>
      </c>
      <c r="L1028" s="77">
        <v>0</v>
      </c>
      <c r="M1028" s="77">
        <v>0</v>
      </c>
      <c r="N1028" s="77">
        <v>0</v>
      </c>
      <c r="O1028" s="77">
        <v>0</v>
      </c>
      <c r="P1028" s="77">
        <v>0</v>
      </c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7"/>
      <c r="AD1028" s="77"/>
      <c r="AE1028" s="77"/>
      <c r="AF1028" s="77"/>
      <c r="AG1028" s="77"/>
    </row>
    <row r="1029" spans="1:33" x14ac:dyDescent="0.25">
      <c r="A1029" s="77" t="s">
        <v>6</v>
      </c>
      <c r="B1029" s="77">
        <v>0</v>
      </c>
      <c r="C1029" s="77">
        <v>0</v>
      </c>
      <c r="D1029" s="77">
        <v>0</v>
      </c>
      <c r="E1029" s="77">
        <v>0</v>
      </c>
      <c r="F1029" s="77">
        <v>0</v>
      </c>
      <c r="G1029" s="77">
        <v>0</v>
      </c>
      <c r="H1029" s="77">
        <v>0</v>
      </c>
      <c r="I1029" s="77">
        <v>0</v>
      </c>
      <c r="J1029" s="77">
        <v>0</v>
      </c>
      <c r="K1029" s="77">
        <v>0</v>
      </c>
      <c r="L1029" s="77">
        <v>0</v>
      </c>
      <c r="M1029" s="77">
        <v>0</v>
      </c>
      <c r="N1029" s="77">
        <v>0</v>
      </c>
      <c r="O1029" s="77">
        <v>0</v>
      </c>
      <c r="P1029" s="77">
        <v>0</v>
      </c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7"/>
      <c r="AD1029" s="77"/>
      <c r="AE1029" s="77"/>
      <c r="AF1029" s="77"/>
      <c r="AG1029" s="77"/>
    </row>
    <row r="1030" spans="1:33" x14ac:dyDescent="0.25">
      <c r="A1030" s="77" t="s">
        <v>7</v>
      </c>
      <c r="B1030" s="77">
        <v>0</v>
      </c>
      <c r="C1030" s="77">
        <v>0</v>
      </c>
      <c r="D1030" s="77">
        <v>0</v>
      </c>
      <c r="E1030" s="77">
        <v>0</v>
      </c>
      <c r="F1030" s="77">
        <v>0</v>
      </c>
      <c r="G1030" s="77">
        <v>0</v>
      </c>
      <c r="H1030" s="77">
        <v>0</v>
      </c>
      <c r="I1030" s="77">
        <v>0</v>
      </c>
      <c r="J1030" s="77">
        <v>0</v>
      </c>
      <c r="K1030" s="77">
        <v>0</v>
      </c>
      <c r="L1030" s="77">
        <v>0</v>
      </c>
      <c r="M1030" s="77">
        <v>0</v>
      </c>
      <c r="N1030" s="77">
        <v>0</v>
      </c>
      <c r="O1030" s="77">
        <v>0</v>
      </c>
      <c r="P1030" s="77">
        <v>0</v>
      </c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7"/>
      <c r="AD1030" s="77"/>
      <c r="AE1030" s="77"/>
      <c r="AF1030" s="77"/>
      <c r="AG1030" s="77"/>
    </row>
    <row r="1031" spans="1:33" x14ac:dyDescent="0.25">
      <c r="A1031" s="77" t="s">
        <v>8</v>
      </c>
      <c r="B1031" s="77">
        <v>0</v>
      </c>
      <c r="C1031" s="77">
        <v>0</v>
      </c>
      <c r="D1031" s="77">
        <v>0</v>
      </c>
      <c r="E1031" s="77">
        <v>0</v>
      </c>
      <c r="F1031" s="77">
        <v>0</v>
      </c>
      <c r="G1031" s="77">
        <v>0</v>
      </c>
      <c r="H1031" s="77">
        <v>0</v>
      </c>
      <c r="I1031" s="77">
        <v>0</v>
      </c>
      <c r="J1031" s="77">
        <v>0</v>
      </c>
      <c r="K1031" s="77">
        <v>0</v>
      </c>
      <c r="L1031" s="77">
        <v>0</v>
      </c>
      <c r="M1031" s="77">
        <v>0</v>
      </c>
      <c r="N1031" s="77">
        <v>0</v>
      </c>
      <c r="O1031" s="77">
        <v>0</v>
      </c>
      <c r="P1031" s="77">
        <v>0</v>
      </c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7"/>
      <c r="AD1031" s="77"/>
      <c r="AE1031" s="77"/>
      <c r="AF1031" s="77"/>
      <c r="AG1031" s="77"/>
    </row>
    <row r="1032" spans="1:33" x14ac:dyDescent="0.25">
      <c r="A1032" s="77" t="s">
        <v>9</v>
      </c>
      <c r="B1032" s="77">
        <v>0</v>
      </c>
      <c r="C1032" s="77">
        <v>0</v>
      </c>
      <c r="D1032" s="77">
        <v>0</v>
      </c>
      <c r="E1032" s="77">
        <v>0</v>
      </c>
      <c r="F1032" s="77">
        <v>0</v>
      </c>
      <c r="G1032" s="77">
        <v>0</v>
      </c>
      <c r="H1032" s="77">
        <v>0</v>
      </c>
      <c r="I1032" s="77">
        <v>0</v>
      </c>
      <c r="J1032" s="77">
        <v>0</v>
      </c>
      <c r="K1032" s="77">
        <v>0</v>
      </c>
      <c r="L1032" s="77">
        <v>0</v>
      </c>
      <c r="M1032" s="77">
        <v>0</v>
      </c>
      <c r="N1032" s="77">
        <v>0</v>
      </c>
      <c r="O1032" s="77">
        <v>0</v>
      </c>
      <c r="P1032" s="77">
        <v>0</v>
      </c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7"/>
      <c r="AD1032" s="77"/>
      <c r="AE1032" s="77"/>
      <c r="AF1032" s="77"/>
      <c r="AG1032" s="77"/>
    </row>
    <row r="1033" spans="1:33" x14ac:dyDescent="0.25">
      <c r="A1033" s="77" t="s">
        <v>10</v>
      </c>
      <c r="B1033" s="77">
        <v>0</v>
      </c>
      <c r="C1033" s="77">
        <v>0</v>
      </c>
      <c r="D1033" s="77">
        <v>0</v>
      </c>
      <c r="E1033" s="77">
        <v>0</v>
      </c>
      <c r="F1033" s="77">
        <v>0</v>
      </c>
      <c r="G1033" s="77">
        <v>0</v>
      </c>
      <c r="H1033" s="77">
        <v>0</v>
      </c>
      <c r="I1033" s="77">
        <v>0</v>
      </c>
      <c r="J1033" s="77">
        <v>0</v>
      </c>
      <c r="K1033" s="77">
        <v>0</v>
      </c>
      <c r="L1033" s="77">
        <v>0</v>
      </c>
      <c r="M1033" s="77">
        <v>0</v>
      </c>
      <c r="N1033" s="77">
        <v>0</v>
      </c>
      <c r="O1033" s="77">
        <v>0</v>
      </c>
      <c r="P1033" s="77">
        <v>0</v>
      </c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7"/>
      <c r="AD1033" s="77"/>
      <c r="AE1033" s="77"/>
      <c r="AF1033" s="77"/>
      <c r="AG1033" s="77"/>
    </row>
    <row r="1034" spans="1:33" x14ac:dyDescent="0.25">
      <c r="A1034" s="77" t="s">
        <v>11</v>
      </c>
      <c r="B1034" s="77">
        <v>0</v>
      </c>
      <c r="C1034" s="77">
        <v>0</v>
      </c>
      <c r="D1034" s="77">
        <v>0</v>
      </c>
      <c r="E1034" s="77">
        <v>0</v>
      </c>
      <c r="F1034" s="77">
        <v>0</v>
      </c>
      <c r="G1034" s="77">
        <v>0</v>
      </c>
      <c r="H1034" s="77">
        <v>0</v>
      </c>
      <c r="I1034" s="77">
        <v>0</v>
      </c>
      <c r="J1034" s="77">
        <v>0</v>
      </c>
      <c r="K1034" s="77">
        <v>0</v>
      </c>
      <c r="L1034" s="77">
        <v>0</v>
      </c>
      <c r="M1034" s="77">
        <v>0</v>
      </c>
      <c r="N1034" s="77">
        <v>0</v>
      </c>
      <c r="O1034" s="77">
        <v>0</v>
      </c>
      <c r="P1034" s="77">
        <v>0</v>
      </c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7"/>
      <c r="AD1034" s="77"/>
      <c r="AE1034" s="77"/>
      <c r="AF1034" s="77"/>
      <c r="AG1034" s="77"/>
    </row>
    <row r="1035" spans="1:33" x14ac:dyDescent="0.25">
      <c r="A1035" s="77" t="s">
        <v>12</v>
      </c>
      <c r="B1035" s="77">
        <v>0</v>
      </c>
      <c r="C1035" s="77">
        <v>0</v>
      </c>
      <c r="D1035" s="77">
        <v>0</v>
      </c>
      <c r="E1035" s="77">
        <v>0</v>
      </c>
      <c r="F1035" s="77">
        <v>0</v>
      </c>
      <c r="G1035" s="77">
        <v>0</v>
      </c>
      <c r="H1035" s="77">
        <v>0</v>
      </c>
      <c r="I1035" s="77">
        <v>0</v>
      </c>
      <c r="J1035" s="77">
        <v>0</v>
      </c>
      <c r="K1035" s="77">
        <v>0</v>
      </c>
      <c r="L1035" s="77">
        <v>0</v>
      </c>
      <c r="M1035" s="77">
        <v>0</v>
      </c>
      <c r="N1035" s="77">
        <v>0</v>
      </c>
      <c r="O1035" s="77">
        <v>0</v>
      </c>
      <c r="P1035" s="77">
        <v>0</v>
      </c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7"/>
      <c r="AD1035" s="77"/>
      <c r="AE1035" s="77"/>
      <c r="AF1035" s="77"/>
      <c r="AG1035" s="77"/>
    </row>
    <row r="1036" spans="1:33" x14ac:dyDescent="0.25">
      <c r="A1036" s="77" t="s">
        <v>13</v>
      </c>
      <c r="B1036" s="77">
        <v>0</v>
      </c>
      <c r="C1036" s="77">
        <v>0</v>
      </c>
      <c r="D1036" s="77">
        <v>0</v>
      </c>
      <c r="E1036" s="77">
        <v>0</v>
      </c>
      <c r="F1036" s="77">
        <v>0</v>
      </c>
      <c r="G1036" s="77">
        <v>0</v>
      </c>
      <c r="H1036" s="77">
        <v>0</v>
      </c>
      <c r="I1036" s="77">
        <v>0</v>
      </c>
      <c r="J1036" s="77">
        <v>0</v>
      </c>
      <c r="K1036" s="77">
        <v>0</v>
      </c>
      <c r="L1036" s="77">
        <v>0</v>
      </c>
      <c r="M1036" s="77">
        <v>0</v>
      </c>
      <c r="N1036" s="77">
        <v>0</v>
      </c>
      <c r="O1036" s="77">
        <v>0</v>
      </c>
      <c r="P1036" s="77">
        <v>0</v>
      </c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7"/>
      <c r="AD1036" s="77"/>
      <c r="AE1036" s="77"/>
      <c r="AF1036" s="77"/>
      <c r="AG1036" s="77"/>
    </row>
    <row r="1037" spans="1:33" x14ac:dyDescent="0.25">
      <c r="A1037" s="77" t="s">
        <v>14</v>
      </c>
      <c r="B1037" s="77">
        <v>0</v>
      </c>
      <c r="C1037" s="77">
        <v>0</v>
      </c>
      <c r="D1037" s="77">
        <v>0</v>
      </c>
      <c r="E1037" s="77">
        <v>0</v>
      </c>
      <c r="F1037" s="77">
        <v>0</v>
      </c>
      <c r="G1037" s="77">
        <v>0</v>
      </c>
      <c r="H1037" s="77">
        <v>0</v>
      </c>
      <c r="I1037" s="77">
        <v>0</v>
      </c>
      <c r="J1037" s="77">
        <v>0</v>
      </c>
      <c r="K1037" s="77">
        <v>0</v>
      </c>
      <c r="L1037" s="77">
        <v>0</v>
      </c>
      <c r="M1037" s="77">
        <v>0</v>
      </c>
      <c r="N1037" s="77">
        <v>0</v>
      </c>
      <c r="O1037" s="77">
        <v>0</v>
      </c>
      <c r="P1037" s="77">
        <v>0</v>
      </c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7"/>
      <c r="AD1037" s="77"/>
      <c r="AE1037" s="77"/>
      <c r="AF1037" s="77"/>
      <c r="AG1037" s="77"/>
    </row>
    <row r="1038" spans="1:33" x14ac:dyDescent="0.25">
      <c r="A1038" s="77" t="s">
        <v>468</v>
      </c>
      <c r="B1038" s="77"/>
      <c r="C1038" s="77"/>
      <c r="D1038" s="77"/>
      <c r="E1038" s="77"/>
      <c r="F1038" s="77"/>
      <c r="G1038" s="77"/>
      <c r="H1038" s="77"/>
      <c r="I1038" s="77"/>
      <c r="J1038" s="77"/>
      <c r="K1038" s="77"/>
      <c r="L1038" s="77"/>
      <c r="M1038" s="77"/>
      <c r="N1038" s="77"/>
      <c r="O1038" s="77"/>
      <c r="P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7"/>
      <c r="AD1038" s="77"/>
      <c r="AE1038" s="77"/>
      <c r="AF1038" s="77"/>
      <c r="AG1038" s="77"/>
    </row>
    <row r="1039" spans="1:33" x14ac:dyDescent="0.25">
      <c r="A1039" s="77" t="s">
        <v>360</v>
      </c>
      <c r="B1039" s="77" t="s">
        <v>366</v>
      </c>
      <c r="C1039" s="77" t="s">
        <v>367</v>
      </c>
      <c r="D1039" s="77" t="s">
        <v>368</v>
      </c>
      <c r="E1039" s="77" t="s">
        <v>21</v>
      </c>
      <c r="F1039" s="77" t="s">
        <v>22</v>
      </c>
      <c r="G1039" s="77" t="s">
        <v>23</v>
      </c>
      <c r="H1039" s="77" t="s">
        <v>361</v>
      </c>
      <c r="I1039" s="77" t="s">
        <v>25</v>
      </c>
      <c r="J1039" s="77" t="s">
        <v>362</v>
      </c>
      <c r="K1039" s="77" t="s">
        <v>5</v>
      </c>
      <c r="L1039" s="77" t="s">
        <v>6</v>
      </c>
      <c r="M1039" s="77" t="s">
        <v>7</v>
      </c>
      <c r="N1039" s="77" t="s">
        <v>8</v>
      </c>
      <c r="O1039" s="77" t="s">
        <v>9</v>
      </c>
      <c r="P1039" s="77" t="s">
        <v>363</v>
      </c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7"/>
      <c r="AD1039" s="77"/>
      <c r="AE1039" s="77"/>
      <c r="AF1039" s="77"/>
      <c r="AG1039" s="77"/>
    </row>
    <row r="1040" spans="1:33" x14ac:dyDescent="0.25">
      <c r="A1040" s="77" t="s">
        <v>364</v>
      </c>
      <c r="B1040" s="77" t="s">
        <v>369</v>
      </c>
      <c r="C1040" s="77" t="s">
        <v>369</v>
      </c>
      <c r="D1040" s="77" t="s">
        <v>369</v>
      </c>
      <c r="E1040" s="77" t="s">
        <v>369</v>
      </c>
      <c r="F1040" s="77" t="s">
        <v>369</v>
      </c>
      <c r="G1040" s="77" t="s">
        <v>369</v>
      </c>
      <c r="H1040" s="77" t="s">
        <v>369</v>
      </c>
      <c r="I1040" s="77" t="s">
        <v>369</v>
      </c>
      <c r="J1040" s="77" t="s">
        <v>369</v>
      </c>
      <c r="K1040" s="77" t="s">
        <v>369</v>
      </c>
      <c r="L1040" s="77" t="s">
        <v>369</v>
      </c>
      <c r="M1040" s="77" t="s">
        <v>369</v>
      </c>
      <c r="N1040" s="77" t="s">
        <v>369</v>
      </c>
      <c r="O1040" s="77" t="s">
        <v>369</v>
      </c>
      <c r="P1040" s="77" t="s">
        <v>369</v>
      </c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7"/>
      <c r="AD1040" s="77"/>
      <c r="AE1040" s="77"/>
      <c r="AF1040" s="77"/>
      <c r="AG1040" s="77"/>
    </row>
    <row r="1041" spans="1:33" x14ac:dyDescent="0.25">
      <c r="A1041" s="77" t="s">
        <v>1</v>
      </c>
      <c r="B1041" s="77">
        <v>0</v>
      </c>
      <c r="C1041" s="77">
        <v>0</v>
      </c>
      <c r="D1041" s="77">
        <v>0</v>
      </c>
      <c r="E1041" s="77">
        <v>0</v>
      </c>
      <c r="F1041" s="77">
        <v>0</v>
      </c>
      <c r="G1041" s="77">
        <v>0</v>
      </c>
      <c r="H1041" s="77">
        <v>0</v>
      </c>
      <c r="I1041" s="77">
        <v>0</v>
      </c>
      <c r="J1041" s="77">
        <v>0</v>
      </c>
      <c r="K1041" s="77">
        <v>0</v>
      </c>
      <c r="L1041" s="77">
        <v>0</v>
      </c>
      <c r="M1041" s="77">
        <v>0</v>
      </c>
      <c r="N1041" s="77">
        <v>0</v>
      </c>
      <c r="O1041" s="77">
        <v>0</v>
      </c>
      <c r="P1041" s="77">
        <v>0</v>
      </c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7"/>
      <c r="AD1041" s="77"/>
      <c r="AE1041" s="77"/>
      <c r="AF1041" s="77"/>
      <c r="AG1041" s="77"/>
    </row>
    <row r="1042" spans="1:33" x14ac:dyDescent="0.25">
      <c r="A1042" s="77" t="s">
        <v>2</v>
      </c>
      <c r="B1042" s="77">
        <v>13.3593265</v>
      </c>
      <c r="C1042" s="77">
        <v>0</v>
      </c>
      <c r="D1042" s="77">
        <v>13.3593265</v>
      </c>
      <c r="E1042" s="77">
        <v>0</v>
      </c>
      <c r="F1042" s="77">
        <v>0</v>
      </c>
      <c r="G1042" s="77">
        <v>0</v>
      </c>
      <c r="H1042" s="77">
        <v>0</v>
      </c>
      <c r="I1042" s="77">
        <v>0</v>
      </c>
      <c r="J1042" s="77">
        <v>0</v>
      </c>
      <c r="K1042" s="77">
        <v>13.3593265</v>
      </c>
      <c r="L1042" s="77">
        <v>0</v>
      </c>
      <c r="M1042" s="77">
        <v>0</v>
      </c>
      <c r="N1042" s="77">
        <v>0</v>
      </c>
      <c r="O1042" s="77">
        <v>0</v>
      </c>
      <c r="P1042" s="77">
        <v>0</v>
      </c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7"/>
      <c r="AD1042" s="77"/>
      <c r="AE1042" s="77"/>
      <c r="AF1042" s="77"/>
      <c r="AG1042" s="77"/>
    </row>
    <row r="1043" spans="1:33" x14ac:dyDescent="0.25">
      <c r="A1043" s="77" t="s">
        <v>3</v>
      </c>
      <c r="B1043" s="77">
        <v>87.018183100000002</v>
      </c>
      <c r="C1043" s="77">
        <v>0</v>
      </c>
      <c r="D1043" s="77">
        <v>87.018183100000002</v>
      </c>
      <c r="E1043" s="77">
        <v>59.656589599999997</v>
      </c>
      <c r="F1043" s="77">
        <v>0</v>
      </c>
      <c r="G1043" s="77">
        <v>20.611833000000001</v>
      </c>
      <c r="H1043" s="77">
        <v>0</v>
      </c>
      <c r="I1043" s="77">
        <v>0</v>
      </c>
      <c r="J1043" s="77">
        <v>0</v>
      </c>
      <c r="K1043" s="77">
        <v>6.74976048</v>
      </c>
      <c r="L1043" s="77">
        <v>0</v>
      </c>
      <c r="M1043" s="77">
        <v>0</v>
      </c>
      <c r="N1043" s="77">
        <v>0</v>
      </c>
      <c r="O1043" s="77">
        <v>0</v>
      </c>
      <c r="P1043" s="105">
        <v>8.2945916800000002E-15</v>
      </c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7"/>
      <c r="AD1043" s="77"/>
      <c r="AE1043" s="77"/>
      <c r="AF1043" s="77"/>
      <c r="AG1043" s="105"/>
    </row>
    <row r="1044" spans="1:33" x14ac:dyDescent="0.25">
      <c r="A1044" s="77" t="s">
        <v>4</v>
      </c>
      <c r="B1044" s="77">
        <v>96.063698299999999</v>
      </c>
      <c r="C1044" s="77">
        <v>0</v>
      </c>
      <c r="D1044" s="77">
        <v>96.063698299999999</v>
      </c>
      <c r="E1044" s="77">
        <v>54.747542500000002</v>
      </c>
      <c r="F1044" s="77">
        <v>0</v>
      </c>
      <c r="G1044" s="77">
        <v>41.316155799999997</v>
      </c>
      <c r="H1044" s="77">
        <v>0</v>
      </c>
      <c r="I1044" s="77">
        <v>0</v>
      </c>
      <c r="J1044" s="77">
        <v>0</v>
      </c>
      <c r="K1044" s="77">
        <v>0</v>
      </c>
      <c r="L1044" s="77">
        <v>0</v>
      </c>
      <c r="M1044" s="77">
        <v>0</v>
      </c>
      <c r="N1044" s="77">
        <v>0</v>
      </c>
      <c r="O1044" s="77">
        <v>0</v>
      </c>
      <c r="P1044" s="105">
        <v>-1.90241735E-13</v>
      </c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7"/>
      <c r="AD1044" s="77"/>
      <c r="AE1044" s="77"/>
      <c r="AF1044" s="77"/>
      <c r="AG1044" s="105"/>
    </row>
    <row r="1045" spans="1:33" x14ac:dyDescent="0.25">
      <c r="A1045" s="77" t="s">
        <v>5</v>
      </c>
      <c r="B1045" s="77">
        <v>60.398002099999999</v>
      </c>
      <c r="C1045" s="77">
        <v>62.260054599999997</v>
      </c>
      <c r="D1045" s="77">
        <v>-1.86205252</v>
      </c>
      <c r="E1045" s="77">
        <v>35.618138299999998</v>
      </c>
      <c r="F1045" s="77">
        <v>0</v>
      </c>
      <c r="G1045" s="77">
        <v>24.779863800000001</v>
      </c>
      <c r="H1045" s="77">
        <v>0</v>
      </c>
      <c r="I1045" s="77">
        <v>0</v>
      </c>
      <c r="J1045" s="77">
        <v>0</v>
      </c>
      <c r="K1045" s="77">
        <v>0</v>
      </c>
      <c r="L1045" s="77">
        <v>0</v>
      </c>
      <c r="M1045" s="77">
        <v>0</v>
      </c>
      <c r="N1045" s="77">
        <v>0</v>
      </c>
      <c r="O1045" s="77">
        <v>0</v>
      </c>
      <c r="P1045" s="77">
        <v>0</v>
      </c>
      <c r="R1045" s="77"/>
      <c r="S1045" s="77"/>
      <c r="T1045" s="77"/>
      <c r="U1045" s="77"/>
      <c r="V1045" s="77"/>
      <c r="W1045" s="77"/>
      <c r="X1045" s="77"/>
      <c r="Y1045" s="77"/>
      <c r="Z1045" s="77"/>
      <c r="AA1045" s="77"/>
      <c r="AB1045" s="77"/>
      <c r="AC1045" s="77"/>
      <c r="AD1045" s="77"/>
      <c r="AE1045" s="77"/>
      <c r="AF1045" s="77"/>
      <c r="AG1045" s="77"/>
    </row>
    <row r="1046" spans="1:33" x14ac:dyDescent="0.25">
      <c r="A1046" s="77" t="s">
        <v>6</v>
      </c>
      <c r="B1046" s="77">
        <v>0</v>
      </c>
      <c r="C1046" s="77">
        <v>0</v>
      </c>
      <c r="D1046" s="77">
        <v>0</v>
      </c>
      <c r="E1046" s="77">
        <v>0</v>
      </c>
      <c r="F1046" s="77">
        <v>0</v>
      </c>
      <c r="G1046" s="77">
        <v>0</v>
      </c>
      <c r="H1046" s="77">
        <v>0</v>
      </c>
      <c r="I1046" s="77">
        <v>0</v>
      </c>
      <c r="J1046" s="77">
        <v>0</v>
      </c>
      <c r="K1046" s="77">
        <v>0</v>
      </c>
      <c r="L1046" s="77">
        <v>0</v>
      </c>
      <c r="M1046" s="77">
        <v>0</v>
      </c>
      <c r="N1046" s="77">
        <v>0</v>
      </c>
      <c r="O1046" s="77">
        <v>0</v>
      </c>
      <c r="P1046" s="77">
        <v>0</v>
      </c>
      <c r="R1046" s="77"/>
      <c r="S1046" s="77"/>
      <c r="T1046" s="77"/>
      <c r="U1046" s="77"/>
      <c r="V1046" s="77"/>
      <c r="W1046" s="77"/>
      <c r="X1046" s="77"/>
      <c r="Y1046" s="77"/>
      <c r="Z1046" s="77"/>
      <c r="AA1046" s="77"/>
      <c r="AB1046" s="77"/>
      <c r="AC1046" s="77"/>
      <c r="AD1046" s="77"/>
      <c r="AE1046" s="77"/>
      <c r="AF1046" s="77"/>
      <c r="AG1046" s="77"/>
    </row>
    <row r="1047" spans="1:33" x14ac:dyDescent="0.25">
      <c r="A1047" s="77" t="s">
        <v>7</v>
      </c>
      <c r="B1047" s="77">
        <v>0</v>
      </c>
      <c r="C1047" s="77">
        <v>0</v>
      </c>
      <c r="D1047" s="77">
        <v>0</v>
      </c>
      <c r="E1047" s="77">
        <v>0</v>
      </c>
      <c r="F1047" s="77">
        <v>0</v>
      </c>
      <c r="G1047" s="77">
        <v>0</v>
      </c>
      <c r="H1047" s="77">
        <v>0</v>
      </c>
      <c r="I1047" s="77">
        <v>0</v>
      </c>
      <c r="J1047" s="77">
        <v>0</v>
      </c>
      <c r="K1047" s="77">
        <v>0</v>
      </c>
      <c r="L1047" s="77">
        <v>0</v>
      </c>
      <c r="M1047" s="77">
        <v>0</v>
      </c>
      <c r="N1047" s="77">
        <v>0</v>
      </c>
      <c r="O1047" s="77">
        <v>0</v>
      </c>
      <c r="P1047" s="77">
        <v>0</v>
      </c>
      <c r="R1047" s="77"/>
      <c r="S1047" s="77"/>
      <c r="T1047" s="77"/>
      <c r="U1047" s="77"/>
      <c r="V1047" s="77"/>
      <c r="W1047" s="77"/>
      <c r="X1047" s="77"/>
      <c r="Y1047" s="77"/>
      <c r="Z1047" s="77"/>
      <c r="AA1047" s="77"/>
      <c r="AB1047" s="77"/>
      <c r="AC1047" s="77"/>
      <c r="AD1047" s="77"/>
      <c r="AE1047" s="77"/>
      <c r="AF1047" s="77"/>
      <c r="AG1047" s="77"/>
    </row>
    <row r="1048" spans="1:33" x14ac:dyDescent="0.25">
      <c r="A1048" s="77" t="s">
        <v>8</v>
      </c>
      <c r="B1048" s="77">
        <v>0</v>
      </c>
      <c r="C1048" s="77">
        <v>0</v>
      </c>
      <c r="D1048" s="77">
        <v>0</v>
      </c>
      <c r="E1048" s="77">
        <v>0</v>
      </c>
      <c r="F1048" s="77">
        <v>0</v>
      </c>
      <c r="G1048" s="77">
        <v>0</v>
      </c>
      <c r="H1048" s="77">
        <v>0</v>
      </c>
      <c r="I1048" s="77">
        <v>0</v>
      </c>
      <c r="J1048" s="77">
        <v>0</v>
      </c>
      <c r="K1048" s="77">
        <v>0</v>
      </c>
      <c r="L1048" s="77">
        <v>0</v>
      </c>
      <c r="M1048" s="77">
        <v>0</v>
      </c>
      <c r="N1048" s="77">
        <v>0</v>
      </c>
      <c r="O1048" s="77">
        <v>0</v>
      </c>
      <c r="P1048" s="77">
        <v>0</v>
      </c>
      <c r="R1048" s="77"/>
      <c r="S1048" s="77"/>
      <c r="T1048" s="77"/>
      <c r="U1048" s="77"/>
      <c r="V1048" s="77"/>
      <c r="W1048" s="77"/>
      <c r="X1048" s="77"/>
      <c r="Y1048" s="77"/>
      <c r="Z1048" s="77"/>
      <c r="AA1048" s="77"/>
      <c r="AB1048" s="77"/>
      <c r="AC1048" s="77"/>
      <c r="AD1048" s="77"/>
      <c r="AE1048" s="77"/>
      <c r="AF1048" s="77"/>
      <c r="AG1048" s="77"/>
    </row>
    <row r="1049" spans="1:33" x14ac:dyDescent="0.25">
      <c r="A1049" s="77" t="s">
        <v>9</v>
      </c>
      <c r="B1049" s="77">
        <v>0</v>
      </c>
      <c r="C1049" s="77">
        <v>0</v>
      </c>
      <c r="D1049" s="77">
        <v>0</v>
      </c>
      <c r="E1049" s="77">
        <v>0</v>
      </c>
      <c r="F1049" s="77">
        <v>0</v>
      </c>
      <c r="G1049" s="77">
        <v>0</v>
      </c>
      <c r="H1049" s="77">
        <v>0</v>
      </c>
      <c r="I1049" s="77">
        <v>0</v>
      </c>
      <c r="J1049" s="77">
        <v>0</v>
      </c>
      <c r="K1049" s="77">
        <v>0</v>
      </c>
      <c r="L1049" s="77">
        <v>0</v>
      </c>
      <c r="M1049" s="77">
        <v>0</v>
      </c>
      <c r="N1049" s="77">
        <v>0</v>
      </c>
      <c r="O1049" s="77">
        <v>0</v>
      </c>
      <c r="P1049" s="77">
        <v>0</v>
      </c>
      <c r="R1049" s="77"/>
      <c r="S1049" s="77"/>
      <c r="T1049" s="77"/>
      <c r="U1049" s="77"/>
      <c r="V1049" s="77"/>
      <c r="W1049" s="77"/>
      <c r="X1049" s="77"/>
      <c r="Y1049" s="77"/>
      <c r="Z1049" s="77"/>
      <c r="AA1049" s="77"/>
      <c r="AB1049" s="77"/>
      <c r="AC1049" s="77"/>
      <c r="AD1049" s="77"/>
      <c r="AE1049" s="77"/>
      <c r="AF1049" s="77"/>
      <c r="AG1049" s="77"/>
    </row>
    <row r="1050" spans="1:33" x14ac:dyDescent="0.25">
      <c r="A1050" s="77" t="s">
        <v>10</v>
      </c>
      <c r="B1050" s="77">
        <v>27.476899100000001</v>
      </c>
      <c r="C1050" s="77">
        <v>0</v>
      </c>
      <c r="D1050" s="77">
        <v>27.476899100000001</v>
      </c>
      <c r="E1050" s="77">
        <v>0</v>
      </c>
      <c r="F1050" s="77">
        <v>0</v>
      </c>
      <c r="G1050" s="77">
        <v>0</v>
      </c>
      <c r="H1050" s="77">
        <v>0</v>
      </c>
      <c r="I1050" s="77">
        <v>0</v>
      </c>
      <c r="J1050" s="77">
        <v>0</v>
      </c>
      <c r="K1050" s="77">
        <v>27.476899100000001</v>
      </c>
      <c r="L1050" s="77">
        <v>0</v>
      </c>
      <c r="M1050" s="77">
        <v>0</v>
      </c>
      <c r="N1050" s="77">
        <v>0</v>
      </c>
      <c r="O1050" s="77">
        <v>0</v>
      </c>
      <c r="P1050" s="77">
        <v>0</v>
      </c>
      <c r="R1050" s="77"/>
      <c r="S1050" s="77"/>
      <c r="T1050" s="77"/>
      <c r="U1050" s="77"/>
      <c r="V1050" s="77"/>
      <c r="W1050" s="77"/>
      <c r="X1050" s="77"/>
      <c r="Y1050" s="77"/>
      <c r="Z1050" s="77"/>
      <c r="AA1050" s="77"/>
      <c r="AB1050" s="77"/>
      <c r="AC1050" s="77"/>
      <c r="AD1050" s="77"/>
      <c r="AE1050" s="77"/>
      <c r="AF1050" s="77"/>
      <c r="AG1050" s="77"/>
    </row>
    <row r="1051" spans="1:33" x14ac:dyDescent="0.25">
      <c r="A1051" s="77" t="s">
        <v>11</v>
      </c>
      <c r="B1051" s="77">
        <v>1.55031907</v>
      </c>
      <c r="C1051" s="77">
        <v>0</v>
      </c>
      <c r="D1051" s="77">
        <v>1.55031907</v>
      </c>
      <c r="E1051" s="77">
        <v>0.80236760600000001</v>
      </c>
      <c r="F1051" s="77">
        <v>0</v>
      </c>
      <c r="G1051" s="77">
        <v>0.74795146099999998</v>
      </c>
      <c r="H1051" s="77">
        <v>0</v>
      </c>
      <c r="I1051" s="77">
        <v>0</v>
      </c>
      <c r="J1051" s="77">
        <v>0</v>
      </c>
      <c r="K1051" s="77">
        <v>0</v>
      </c>
      <c r="L1051" s="77">
        <v>0</v>
      </c>
      <c r="M1051" s="77">
        <v>0</v>
      </c>
      <c r="N1051" s="77">
        <v>0</v>
      </c>
      <c r="O1051" s="77">
        <v>0</v>
      </c>
      <c r="P1051" s="77">
        <v>0</v>
      </c>
      <c r="R1051" s="77"/>
      <c r="S1051" s="77"/>
      <c r="T1051" s="77"/>
      <c r="U1051" s="77"/>
      <c r="V1051" s="77"/>
      <c r="W1051" s="77"/>
      <c r="X1051" s="77"/>
      <c r="Y1051" s="77"/>
      <c r="Z1051" s="77"/>
      <c r="AA1051" s="77"/>
      <c r="AB1051" s="77"/>
      <c r="AC1051" s="77"/>
      <c r="AD1051" s="77"/>
      <c r="AE1051" s="77"/>
      <c r="AF1051" s="77"/>
      <c r="AG1051" s="77"/>
    </row>
    <row r="1052" spans="1:33" x14ac:dyDescent="0.25">
      <c r="A1052" s="77" t="s">
        <v>12</v>
      </c>
      <c r="B1052" s="77">
        <v>77.380985600000002</v>
      </c>
      <c r="C1052" s="105">
        <v>-1.8194714400000001E-13</v>
      </c>
      <c r="D1052" s="77">
        <v>77.380985600000002</v>
      </c>
      <c r="E1052" s="77">
        <v>62.626249000000001</v>
      </c>
      <c r="F1052" s="77">
        <v>0</v>
      </c>
      <c r="G1052" s="77">
        <v>12.2235765</v>
      </c>
      <c r="H1052" s="77">
        <v>0</v>
      </c>
      <c r="I1052" s="77">
        <v>0</v>
      </c>
      <c r="J1052" s="77">
        <v>0</v>
      </c>
      <c r="K1052" s="77">
        <v>2.5311601800000001</v>
      </c>
      <c r="L1052" s="77">
        <v>0</v>
      </c>
      <c r="M1052" s="77">
        <v>0</v>
      </c>
      <c r="N1052" s="77">
        <v>0</v>
      </c>
      <c r="O1052" s="77">
        <v>0</v>
      </c>
      <c r="P1052" s="77">
        <v>0</v>
      </c>
      <c r="R1052" s="77"/>
      <c r="S1052" s="77"/>
      <c r="T1052" s="105"/>
      <c r="U1052" s="77"/>
      <c r="V1052" s="77"/>
      <c r="W1052" s="77"/>
      <c r="X1052" s="77"/>
      <c r="Y1052" s="77"/>
      <c r="Z1052" s="77"/>
      <c r="AA1052" s="77"/>
      <c r="AB1052" s="77"/>
      <c r="AC1052" s="77"/>
      <c r="AD1052" s="77"/>
      <c r="AE1052" s="77"/>
      <c r="AF1052" s="77"/>
      <c r="AG1052" s="77"/>
    </row>
    <row r="1053" spans="1:33" x14ac:dyDescent="0.25">
      <c r="A1053" s="77" t="s">
        <v>13</v>
      </c>
      <c r="B1053" s="77">
        <v>52.698576899999999</v>
      </c>
      <c r="C1053" s="77">
        <v>0</v>
      </c>
      <c r="D1053" s="77">
        <v>52.698576899999999</v>
      </c>
      <c r="E1053" s="77">
        <v>40.555668500000003</v>
      </c>
      <c r="F1053" s="77">
        <v>0</v>
      </c>
      <c r="G1053" s="77">
        <v>0</v>
      </c>
      <c r="H1053" s="77">
        <v>0</v>
      </c>
      <c r="I1053" s="77">
        <v>0</v>
      </c>
      <c r="J1053" s="77">
        <v>0</v>
      </c>
      <c r="K1053" s="77">
        <v>12.1429083</v>
      </c>
      <c r="L1053" s="77">
        <v>0</v>
      </c>
      <c r="M1053" s="77">
        <v>0</v>
      </c>
      <c r="N1053" s="77">
        <v>0</v>
      </c>
      <c r="O1053" s="77">
        <v>0</v>
      </c>
      <c r="P1053" s="77">
        <v>0</v>
      </c>
      <c r="R1053" s="77"/>
      <c r="S1053" s="77"/>
      <c r="T1053" s="77"/>
      <c r="U1053" s="77"/>
      <c r="V1053" s="77"/>
      <c r="W1053" s="77"/>
      <c r="X1053" s="77"/>
      <c r="Y1053" s="77"/>
      <c r="Z1053" s="77"/>
      <c r="AA1053" s="77"/>
      <c r="AB1053" s="77"/>
      <c r="AC1053" s="77"/>
      <c r="AD1053" s="77"/>
      <c r="AE1053" s="77"/>
      <c r="AF1053" s="77"/>
      <c r="AG1053" s="77"/>
    </row>
    <row r="1054" spans="1:33" x14ac:dyDescent="0.25">
      <c r="A1054" s="77" t="s">
        <v>14</v>
      </c>
      <c r="B1054" s="77">
        <v>-1.11013651E-13</v>
      </c>
      <c r="C1054" s="77">
        <v>0</v>
      </c>
      <c r="D1054" s="77">
        <v>-1.11013651E-13</v>
      </c>
      <c r="E1054" s="77">
        <v>-8.8661909099999998E-14</v>
      </c>
      <c r="F1054" s="77">
        <v>0</v>
      </c>
      <c r="G1054" s="77">
        <v>-2.2351741799999999E-14</v>
      </c>
      <c r="H1054" s="77">
        <v>0</v>
      </c>
      <c r="I1054" s="105">
        <v>0</v>
      </c>
      <c r="J1054" s="77">
        <v>0</v>
      </c>
      <c r="K1054" s="77">
        <v>0</v>
      </c>
      <c r="L1054" s="77">
        <v>0</v>
      </c>
      <c r="M1054" s="77">
        <v>0</v>
      </c>
      <c r="N1054" s="77">
        <v>0</v>
      </c>
      <c r="O1054" s="77">
        <v>0</v>
      </c>
      <c r="P1054" s="77">
        <v>0</v>
      </c>
      <c r="R1054" s="77"/>
      <c r="S1054" s="105"/>
      <c r="T1054" s="77"/>
      <c r="U1054" s="105"/>
      <c r="V1054" s="105"/>
      <c r="W1054" s="77"/>
      <c r="X1054" s="105"/>
      <c r="Y1054" s="77"/>
      <c r="Z1054" s="105"/>
      <c r="AA1054" s="77"/>
      <c r="AB1054" s="77"/>
      <c r="AC1054" s="77"/>
      <c r="AD1054" s="77"/>
      <c r="AE1054" s="77"/>
      <c r="AF1054" s="77"/>
      <c r="AG1054" s="77"/>
    </row>
    <row r="1055" spans="1:33" x14ac:dyDescent="0.25">
      <c r="A1055" s="77" t="s">
        <v>469</v>
      </c>
      <c r="B1055" s="77"/>
      <c r="C1055" s="77"/>
      <c r="D1055" s="77"/>
      <c r="E1055" s="77"/>
      <c r="F1055" s="77"/>
      <c r="G1055" s="77"/>
      <c r="H1055" s="77"/>
      <c r="I1055" s="77"/>
      <c r="J1055" s="77"/>
      <c r="K1055" s="77"/>
      <c r="L1055" s="77"/>
      <c r="M1055" s="77"/>
      <c r="N1055" s="77"/>
      <c r="O1055" s="77"/>
      <c r="P1055" s="77"/>
      <c r="R1055" s="77"/>
      <c r="S1055" s="77"/>
      <c r="T1055" s="77"/>
      <c r="U1055" s="77"/>
      <c r="V1055" s="77"/>
      <c r="W1055" s="77"/>
      <c r="X1055" s="77"/>
      <c r="Y1055" s="77"/>
      <c r="Z1055" s="77"/>
      <c r="AA1055" s="77"/>
      <c r="AB1055" s="77"/>
      <c r="AC1055" s="77"/>
      <c r="AD1055" s="77"/>
      <c r="AE1055" s="77"/>
      <c r="AF1055" s="77"/>
      <c r="AG1055" s="77"/>
    </row>
    <row r="1056" spans="1:33" x14ac:dyDescent="0.25">
      <c r="A1056" s="77" t="s">
        <v>360</v>
      </c>
      <c r="B1056" s="77" t="s">
        <v>18</v>
      </c>
      <c r="C1056" s="77" t="s">
        <v>19</v>
      </c>
      <c r="D1056" s="77" t="s">
        <v>20</v>
      </c>
      <c r="E1056" s="77" t="s">
        <v>21</v>
      </c>
      <c r="F1056" s="77" t="s">
        <v>22</v>
      </c>
      <c r="G1056" s="77" t="s">
        <v>23</v>
      </c>
      <c r="H1056" s="77" t="s">
        <v>361</v>
      </c>
      <c r="I1056" s="77" t="s">
        <v>25</v>
      </c>
      <c r="J1056" s="77" t="s">
        <v>362</v>
      </c>
      <c r="K1056" s="77" t="s">
        <v>5</v>
      </c>
      <c r="L1056" s="77" t="s">
        <v>6</v>
      </c>
      <c r="M1056" s="77" t="s">
        <v>7</v>
      </c>
      <c r="N1056" s="77" t="s">
        <v>8</v>
      </c>
      <c r="O1056" s="77" t="s">
        <v>9</v>
      </c>
      <c r="P1056" s="77" t="s">
        <v>363</v>
      </c>
      <c r="R1056" s="77"/>
      <c r="S1056" s="77"/>
      <c r="T1056" s="77"/>
      <c r="U1056" s="77"/>
      <c r="V1056" s="77"/>
      <c r="W1056" s="77"/>
      <c r="X1056" s="77"/>
      <c r="Y1056" s="77"/>
      <c r="Z1056" s="77"/>
      <c r="AA1056" s="77"/>
      <c r="AB1056" s="77"/>
      <c r="AC1056" s="77"/>
      <c r="AD1056" s="77"/>
      <c r="AE1056" s="77"/>
      <c r="AF1056" s="77"/>
      <c r="AG1056" s="77"/>
    </row>
    <row r="1057" spans="1:33" x14ac:dyDescent="0.25">
      <c r="A1057" s="77" t="s">
        <v>364</v>
      </c>
      <c r="B1057" s="77" t="s">
        <v>370</v>
      </c>
      <c r="C1057" s="77" t="s">
        <v>370</v>
      </c>
      <c r="D1057" s="77" t="s">
        <v>370</v>
      </c>
      <c r="E1057" s="77" t="s">
        <v>370</v>
      </c>
      <c r="F1057" s="77" t="s">
        <v>370</v>
      </c>
      <c r="G1057" s="77" t="s">
        <v>370</v>
      </c>
      <c r="H1057" s="77" t="s">
        <v>370</v>
      </c>
      <c r="I1057" s="77" t="s">
        <v>370</v>
      </c>
      <c r="J1057" s="77" t="s">
        <v>370</v>
      </c>
      <c r="K1057" s="77" t="s">
        <v>370</v>
      </c>
      <c r="L1057" s="77" t="s">
        <v>370</v>
      </c>
      <c r="M1057" s="77" t="s">
        <v>370</v>
      </c>
      <c r="N1057" s="77" t="s">
        <v>370</v>
      </c>
      <c r="O1057" s="77" t="s">
        <v>370</v>
      </c>
      <c r="P1057" s="77" t="s">
        <v>370</v>
      </c>
      <c r="R1057" s="77"/>
      <c r="S1057" s="77"/>
      <c r="T1057" s="77"/>
      <c r="U1057" s="77"/>
      <c r="V1057" s="77"/>
      <c r="W1057" s="77"/>
      <c r="X1057" s="77"/>
      <c r="Y1057" s="77"/>
      <c r="Z1057" s="77"/>
      <c r="AA1057" s="77"/>
      <c r="AB1057" s="77"/>
      <c r="AC1057" s="77"/>
      <c r="AD1057" s="77"/>
      <c r="AE1057" s="77"/>
      <c r="AF1057" s="77"/>
      <c r="AG1057" s="77"/>
    </row>
    <row r="1058" spans="1:33" x14ac:dyDescent="0.25">
      <c r="A1058" s="77" t="s">
        <v>1</v>
      </c>
      <c r="B1058" s="77">
        <v>0</v>
      </c>
      <c r="C1058" s="77">
        <v>0</v>
      </c>
      <c r="D1058" s="77">
        <v>0</v>
      </c>
      <c r="E1058" s="77">
        <v>0</v>
      </c>
      <c r="F1058" s="77">
        <v>0</v>
      </c>
      <c r="G1058" s="77">
        <v>0</v>
      </c>
      <c r="H1058" s="77">
        <v>0</v>
      </c>
      <c r="I1058" s="77">
        <v>0</v>
      </c>
      <c r="J1058" s="77">
        <v>0</v>
      </c>
      <c r="K1058" s="77">
        <v>0</v>
      </c>
      <c r="L1058" s="77">
        <v>0</v>
      </c>
      <c r="M1058" s="77">
        <v>0</v>
      </c>
      <c r="N1058" s="77">
        <v>0</v>
      </c>
      <c r="O1058" s="77">
        <v>0</v>
      </c>
      <c r="P1058" s="77">
        <v>0</v>
      </c>
      <c r="R1058" s="77"/>
      <c r="S1058" s="77"/>
      <c r="T1058" s="77"/>
      <c r="U1058" s="77"/>
      <c r="V1058" s="77"/>
      <c r="W1058" s="77"/>
      <c r="X1058" s="77"/>
      <c r="Y1058" s="77"/>
      <c r="Z1058" s="77"/>
      <c r="AA1058" s="77"/>
      <c r="AB1058" s="77"/>
      <c r="AC1058" s="77"/>
      <c r="AD1058" s="77"/>
      <c r="AE1058" s="77"/>
      <c r="AF1058" s="77"/>
      <c r="AG1058" s="77"/>
    </row>
    <row r="1059" spans="1:33" x14ac:dyDescent="0.25">
      <c r="A1059" s="77" t="s">
        <v>2</v>
      </c>
      <c r="B1059" s="77">
        <v>2.1022093100000001</v>
      </c>
      <c r="C1059" s="77">
        <v>0</v>
      </c>
      <c r="D1059" s="77">
        <v>2.1022093100000001</v>
      </c>
      <c r="E1059" s="77">
        <v>0</v>
      </c>
      <c r="F1059" s="77">
        <v>0</v>
      </c>
      <c r="G1059" s="77">
        <v>0</v>
      </c>
      <c r="H1059" s="77">
        <v>0</v>
      </c>
      <c r="I1059" s="77">
        <v>0</v>
      </c>
      <c r="J1059" s="77">
        <v>0</v>
      </c>
      <c r="K1059" s="77">
        <v>2.1022093100000001</v>
      </c>
      <c r="L1059" s="77">
        <v>0</v>
      </c>
      <c r="M1059" s="77">
        <v>0</v>
      </c>
      <c r="N1059" s="77">
        <v>0</v>
      </c>
      <c r="O1059" s="77">
        <v>0</v>
      </c>
      <c r="P1059" s="77">
        <v>0</v>
      </c>
      <c r="R1059" s="77"/>
      <c r="S1059" s="77"/>
      <c r="T1059" s="77"/>
      <c r="U1059" s="77"/>
      <c r="V1059" s="77"/>
      <c r="W1059" s="77"/>
      <c r="X1059" s="77"/>
      <c r="Y1059" s="77"/>
      <c r="Z1059" s="77"/>
      <c r="AA1059" s="77"/>
      <c r="AB1059" s="77"/>
      <c r="AC1059" s="77"/>
      <c r="AD1059" s="77"/>
      <c r="AE1059" s="77"/>
      <c r="AF1059" s="77"/>
      <c r="AG1059" s="77"/>
    </row>
    <row r="1060" spans="1:33" x14ac:dyDescent="0.25">
      <c r="A1060" s="77" t="s">
        <v>3</v>
      </c>
      <c r="B1060" s="77">
        <v>5.2838204400000004</v>
      </c>
      <c r="C1060" s="77">
        <v>0</v>
      </c>
      <c r="D1060" s="77">
        <v>5.2838204400000004</v>
      </c>
      <c r="E1060" s="77">
        <v>3.5135086100000001</v>
      </c>
      <c r="F1060" s="77">
        <v>0</v>
      </c>
      <c r="G1060" s="77">
        <v>1.2021471500000001</v>
      </c>
      <c r="H1060" s="77">
        <v>0</v>
      </c>
      <c r="I1060" s="77">
        <v>0</v>
      </c>
      <c r="J1060" s="77">
        <v>0</v>
      </c>
      <c r="K1060" s="77">
        <v>0.56816467900000001</v>
      </c>
      <c r="L1060" s="77">
        <v>0</v>
      </c>
      <c r="M1060" s="77">
        <v>0</v>
      </c>
      <c r="N1060" s="77">
        <v>0</v>
      </c>
      <c r="O1060" s="77">
        <v>0</v>
      </c>
      <c r="P1060" s="77">
        <v>0</v>
      </c>
      <c r="R1060" s="77"/>
      <c r="S1060" s="77"/>
      <c r="T1060" s="77"/>
      <c r="U1060" s="77"/>
      <c r="V1060" s="77"/>
      <c r="W1060" s="77"/>
      <c r="X1060" s="77"/>
      <c r="Y1060" s="77"/>
      <c r="Z1060" s="77"/>
      <c r="AA1060" s="77"/>
      <c r="AB1060" s="77"/>
      <c r="AC1060" s="77"/>
      <c r="AD1060" s="77"/>
      <c r="AE1060" s="77"/>
      <c r="AF1060" s="77"/>
      <c r="AG1060" s="77"/>
    </row>
    <row r="1061" spans="1:33" x14ac:dyDescent="0.25">
      <c r="A1061" s="77" t="s">
        <v>4</v>
      </c>
      <c r="B1061" s="77">
        <v>2.7905743200000002</v>
      </c>
      <c r="C1061" s="77">
        <v>0</v>
      </c>
      <c r="D1061" s="77">
        <v>2.7905743200000002</v>
      </c>
      <c r="E1061" s="77">
        <v>1.44426169</v>
      </c>
      <c r="F1061" s="77">
        <v>0</v>
      </c>
      <c r="G1061" s="77">
        <v>1.3463126299999999</v>
      </c>
      <c r="H1061" s="77">
        <v>0</v>
      </c>
      <c r="I1061" s="77">
        <v>0</v>
      </c>
      <c r="J1061" s="77">
        <v>0</v>
      </c>
      <c r="K1061" s="77">
        <v>0</v>
      </c>
      <c r="L1061" s="77">
        <v>0</v>
      </c>
      <c r="M1061" s="77">
        <v>0</v>
      </c>
      <c r="N1061" s="77">
        <v>0</v>
      </c>
      <c r="O1061" s="77">
        <v>0</v>
      </c>
      <c r="P1061" s="77">
        <v>0</v>
      </c>
      <c r="R1061" s="77"/>
      <c r="S1061" s="77"/>
      <c r="T1061" s="77"/>
      <c r="U1061" s="77"/>
      <c r="V1061" s="77"/>
      <c r="W1061" s="77"/>
      <c r="X1061" s="77"/>
      <c r="Y1061" s="77"/>
      <c r="Z1061" s="77"/>
      <c r="AA1061" s="77"/>
      <c r="AB1061" s="77"/>
      <c r="AC1061" s="77"/>
      <c r="AD1061" s="77"/>
      <c r="AE1061" s="77"/>
      <c r="AF1061" s="77"/>
      <c r="AG1061" s="77"/>
    </row>
    <row r="1062" spans="1:33" x14ac:dyDescent="0.25">
      <c r="A1062" s="77" t="s">
        <v>5</v>
      </c>
      <c r="B1062" s="77">
        <v>2.1022093100000001</v>
      </c>
      <c r="C1062" s="77">
        <v>2.6703739899999999</v>
      </c>
      <c r="D1062" s="77">
        <v>-0.56816467900000001</v>
      </c>
      <c r="E1062" s="77">
        <v>1.29789595</v>
      </c>
      <c r="F1062" s="77">
        <v>0</v>
      </c>
      <c r="G1062" s="77">
        <v>0.80431336499999995</v>
      </c>
      <c r="H1062" s="77">
        <v>0</v>
      </c>
      <c r="I1062" s="77">
        <v>0</v>
      </c>
      <c r="J1062" s="77">
        <v>0</v>
      </c>
      <c r="K1062" s="77">
        <v>0</v>
      </c>
      <c r="L1062" s="77">
        <v>0</v>
      </c>
      <c r="M1062" s="77">
        <v>0</v>
      </c>
      <c r="N1062" s="77">
        <v>0</v>
      </c>
      <c r="O1062" s="77">
        <v>0</v>
      </c>
      <c r="P1062" s="77">
        <v>0</v>
      </c>
      <c r="R1062" s="77"/>
      <c r="S1062" s="77"/>
      <c r="T1062" s="77"/>
      <c r="U1062" s="77"/>
      <c r="V1062" s="77"/>
      <c r="W1062" s="77"/>
      <c r="X1062" s="77"/>
      <c r="Y1062" s="77"/>
      <c r="Z1062" s="77"/>
      <c r="AA1062" s="77"/>
      <c r="AB1062" s="77"/>
      <c r="AC1062" s="77"/>
      <c r="AD1062" s="77"/>
      <c r="AE1062" s="77"/>
      <c r="AF1062" s="77"/>
      <c r="AG1062" s="77"/>
    </row>
    <row r="1063" spans="1:33" x14ac:dyDescent="0.25">
      <c r="A1063" s="77" t="s">
        <v>6</v>
      </c>
      <c r="B1063" s="77">
        <v>0</v>
      </c>
      <c r="C1063" s="77">
        <v>0</v>
      </c>
      <c r="D1063" s="77">
        <v>0</v>
      </c>
      <c r="E1063" s="77">
        <v>0</v>
      </c>
      <c r="F1063" s="77">
        <v>0</v>
      </c>
      <c r="G1063" s="77">
        <v>0</v>
      </c>
      <c r="H1063" s="77">
        <v>0</v>
      </c>
      <c r="I1063" s="77">
        <v>0</v>
      </c>
      <c r="J1063" s="77">
        <v>0</v>
      </c>
      <c r="K1063" s="77">
        <v>0</v>
      </c>
      <c r="L1063" s="77">
        <v>0</v>
      </c>
      <c r="M1063" s="77">
        <v>0</v>
      </c>
      <c r="N1063" s="77">
        <v>0</v>
      </c>
      <c r="O1063" s="77">
        <v>0</v>
      </c>
      <c r="P1063" s="77">
        <v>0</v>
      </c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7"/>
      <c r="AD1063" s="77"/>
      <c r="AE1063" s="77"/>
      <c r="AF1063" s="77"/>
      <c r="AG1063" s="77"/>
    </row>
    <row r="1064" spans="1:33" x14ac:dyDescent="0.25">
      <c r="A1064" s="77" t="s">
        <v>7</v>
      </c>
      <c r="B1064" s="77">
        <v>0</v>
      </c>
      <c r="C1064" s="77">
        <v>0</v>
      </c>
      <c r="D1064" s="77">
        <v>0</v>
      </c>
      <c r="E1064" s="77">
        <v>0</v>
      </c>
      <c r="F1064" s="77">
        <v>0</v>
      </c>
      <c r="G1064" s="77">
        <v>0</v>
      </c>
      <c r="H1064" s="77">
        <v>0</v>
      </c>
      <c r="I1064" s="77">
        <v>0</v>
      </c>
      <c r="J1064" s="77">
        <v>0</v>
      </c>
      <c r="K1064" s="77">
        <v>0</v>
      </c>
      <c r="L1064" s="77">
        <v>0</v>
      </c>
      <c r="M1064" s="77">
        <v>0</v>
      </c>
      <c r="N1064" s="77">
        <v>0</v>
      </c>
      <c r="O1064" s="77">
        <v>0</v>
      </c>
      <c r="P1064" s="77">
        <v>0</v>
      </c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7"/>
      <c r="AD1064" s="77"/>
      <c r="AE1064" s="77"/>
      <c r="AF1064" s="77"/>
      <c r="AG1064" s="77"/>
    </row>
    <row r="1065" spans="1:33" x14ac:dyDescent="0.25">
      <c r="A1065" s="77" t="s">
        <v>8</v>
      </c>
      <c r="B1065" s="77">
        <v>0</v>
      </c>
      <c r="C1065" s="77">
        <v>0</v>
      </c>
      <c r="D1065" s="77">
        <v>0</v>
      </c>
      <c r="E1065" s="77">
        <v>0</v>
      </c>
      <c r="F1065" s="77">
        <v>0</v>
      </c>
      <c r="G1065" s="77">
        <v>0</v>
      </c>
      <c r="H1065" s="77">
        <v>0</v>
      </c>
      <c r="I1065" s="77">
        <v>0</v>
      </c>
      <c r="J1065" s="77">
        <v>0</v>
      </c>
      <c r="K1065" s="77">
        <v>0</v>
      </c>
      <c r="L1065" s="77">
        <v>0</v>
      </c>
      <c r="M1065" s="77">
        <v>0</v>
      </c>
      <c r="N1065" s="77">
        <v>0</v>
      </c>
      <c r="O1065" s="77">
        <v>0</v>
      </c>
      <c r="P1065" s="77">
        <v>0</v>
      </c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7"/>
      <c r="AD1065" s="77"/>
      <c r="AE1065" s="77"/>
      <c r="AF1065" s="77"/>
      <c r="AG1065" s="77"/>
    </row>
    <row r="1066" spans="1:33" x14ac:dyDescent="0.25">
      <c r="A1066" s="77" t="s">
        <v>9</v>
      </c>
      <c r="B1066" s="77">
        <v>0</v>
      </c>
      <c r="C1066" s="77">
        <v>0</v>
      </c>
      <c r="D1066" s="77">
        <v>0</v>
      </c>
      <c r="E1066" s="77">
        <v>0</v>
      </c>
      <c r="F1066" s="77">
        <v>0</v>
      </c>
      <c r="G1066" s="77">
        <v>0</v>
      </c>
      <c r="H1066" s="77">
        <v>0</v>
      </c>
      <c r="I1066" s="77">
        <v>0</v>
      </c>
      <c r="J1066" s="77">
        <v>0</v>
      </c>
      <c r="K1066" s="77">
        <v>0</v>
      </c>
      <c r="L1066" s="77">
        <v>0</v>
      </c>
      <c r="M1066" s="77">
        <v>0</v>
      </c>
      <c r="N1066" s="77">
        <v>0</v>
      </c>
      <c r="O1066" s="77">
        <v>0</v>
      </c>
      <c r="P1066" s="77">
        <v>0</v>
      </c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7"/>
      <c r="AD1066" s="77"/>
      <c r="AE1066" s="77"/>
      <c r="AF1066" s="77"/>
      <c r="AG1066" s="77"/>
    </row>
    <row r="1067" spans="1:33" x14ac:dyDescent="0.25">
      <c r="A1067" s="77" t="s">
        <v>10</v>
      </c>
      <c r="B1067" s="77">
        <v>0</v>
      </c>
      <c r="C1067" s="77">
        <v>0</v>
      </c>
      <c r="D1067" s="77">
        <v>0</v>
      </c>
      <c r="E1067" s="77">
        <v>0</v>
      </c>
      <c r="F1067" s="77">
        <v>0</v>
      </c>
      <c r="G1067" s="77">
        <v>0</v>
      </c>
      <c r="H1067" s="77">
        <v>0</v>
      </c>
      <c r="I1067" s="77">
        <v>0</v>
      </c>
      <c r="J1067" s="77">
        <v>0</v>
      </c>
      <c r="K1067" s="77">
        <v>0</v>
      </c>
      <c r="L1067" s="77">
        <v>0</v>
      </c>
      <c r="M1067" s="77">
        <v>0</v>
      </c>
      <c r="N1067" s="77">
        <v>0</v>
      </c>
      <c r="O1067" s="77">
        <v>0</v>
      </c>
      <c r="P1067" s="77">
        <v>0</v>
      </c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7"/>
      <c r="AD1067" s="77"/>
      <c r="AE1067" s="77"/>
      <c r="AF1067" s="77"/>
      <c r="AG1067" s="77"/>
    </row>
    <row r="1068" spans="1:33" x14ac:dyDescent="0.25">
      <c r="A1068" s="77" t="s">
        <v>11</v>
      </c>
      <c r="B1068" s="77">
        <v>0</v>
      </c>
      <c r="C1068" s="77">
        <v>0</v>
      </c>
      <c r="D1068" s="77">
        <v>0</v>
      </c>
      <c r="E1068" s="77">
        <v>0</v>
      </c>
      <c r="F1068" s="77">
        <v>0</v>
      </c>
      <c r="G1068" s="77">
        <v>0</v>
      </c>
      <c r="H1068" s="77">
        <v>0</v>
      </c>
      <c r="I1068" s="77">
        <v>0</v>
      </c>
      <c r="J1068" s="77">
        <v>0</v>
      </c>
      <c r="K1068" s="77">
        <v>0</v>
      </c>
      <c r="L1068" s="77">
        <v>0</v>
      </c>
      <c r="M1068" s="77">
        <v>0</v>
      </c>
      <c r="N1068" s="77">
        <v>0</v>
      </c>
      <c r="O1068" s="77">
        <v>0</v>
      </c>
      <c r="P1068" s="77">
        <v>0</v>
      </c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7"/>
      <c r="AD1068" s="77"/>
      <c r="AE1068" s="77"/>
      <c r="AF1068" s="77"/>
      <c r="AG1068" s="77"/>
    </row>
    <row r="1069" spans="1:33" x14ac:dyDescent="0.25">
      <c r="A1069" s="77" t="s">
        <v>12</v>
      </c>
      <c r="B1069" s="77">
        <v>0</v>
      </c>
      <c r="C1069" s="77">
        <v>0</v>
      </c>
      <c r="D1069" s="77">
        <v>0</v>
      </c>
      <c r="E1069" s="77">
        <v>0</v>
      </c>
      <c r="F1069" s="77">
        <v>0</v>
      </c>
      <c r="G1069" s="77">
        <v>0</v>
      </c>
      <c r="H1069" s="77">
        <v>0</v>
      </c>
      <c r="I1069" s="77">
        <v>0</v>
      </c>
      <c r="J1069" s="77">
        <v>0</v>
      </c>
      <c r="K1069" s="77">
        <v>0</v>
      </c>
      <c r="L1069" s="77">
        <v>0</v>
      </c>
      <c r="M1069" s="77">
        <v>0</v>
      </c>
      <c r="N1069" s="77">
        <v>0</v>
      </c>
      <c r="O1069" s="77">
        <v>0</v>
      </c>
      <c r="P1069" s="77">
        <v>0</v>
      </c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7"/>
      <c r="AD1069" s="77"/>
      <c r="AE1069" s="77"/>
      <c r="AF1069" s="77"/>
      <c r="AG1069" s="77"/>
    </row>
    <row r="1070" spans="1:33" x14ac:dyDescent="0.25">
      <c r="A1070" s="77" t="s">
        <v>13</v>
      </c>
      <c r="B1070" s="77">
        <v>0</v>
      </c>
      <c r="C1070" s="77">
        <v>0</v>
      </c>
      <c r="D1070" s="77">
        <v>0</v>
      </c>
      <c r="E1070" s="77">
        <v>0</v>
      </c>
      <c r="F1070" s="77">
        <v>0</v>
      </c>
      <c r="G1070" s="77">
        <v>0</v>
      </c>
      <c r="H1070" s="77">
        <v>0</v>
      </c>
      <c r="I1070" s="77">
        <v>0</v>
      </c>
      <c r="J1070" s="77">
        <v>0</v>
      </c>
      <c r="K1070" s="77">
        <v>0</v>
      </c>
      <c r="L1070" s="77">
        <v>0</v>
      </c>
      <c r="M1070" s="77">
        <v>0</v>
      </c>
      <c r="N1070" s="77">
        <v>0</v>
      </c>
      <c r="O1070" s="77">
        <v>0</v>
      </c>
      <c r="P1070" s="77">
        <v>0</v>
      </c>
      <c r="R1070" s="77"/>
      <c r="S1070" s="77"/>
      <c r="T1070" s="77"/>
      <c r="U1070" s="77"/>
      <c r="V1070" s="77"/>
      <c r="W1070" s="77"/>
      <c r="X1070" s="77"/>
      <c r="Y1070" s="77"/>
      <c r="Z1070" s="77"/>
      <c r="AA1070" s="77"/>
      <c r="AB1070" s="77"/>
      <c r="AC1070" s="77"/>
      <c r="AD1070" s="77"/>
      <c r="AE1070" s="77"/>
      <c r="AF1070" s="77"/>
      <c r="AG1070" s="77"/>
    </row>
    <row r="1071" spans="1:33" x14ac:dyDescent="0.25">
      <c r="A1071" s="77" t="s">
        <v>14</v>
      </c>
      <c r="B1071" s="77">
        <v>0</v>
      </c>
      <c r="C1071" s="77">
        <v>0</v>
      </c>
      <c r="D1071" s="77">
        <v>0</v>
      </c>
      <c r="E1071" s="77">
        <v>0</v>
      </c>
      <c r="F1071" s="77">
        <v>0</v>
      </c>
      <c r="G1071" s="77">
        <v>0</v>
      </c>
      <c r="H1071" s="77">
        <v>0</v>
      </c>
      <c r="I1071" s="77">
        <v>0</v>
      </c>
      <c r="J1071" s="77">
        <v>0</v>
      </c>
      <c r="K1071" s="77">
        <v>0</v>
      </c>
      <c r="L1071" s="77">
        <v>0</v>
      </c>
      <c r="M1071" s="77">
        <v>0</v>
      </c>
      <c r="N1071" s="77">
        <v>0</v>
      </c>
      <c r="O1071" s="77">
        <v>0</v>
      </c>
      <c r="P1071" s="77">
        <v>0</v>
      </c>
      <c r="R1071" s="77"/>
      <c r="S1071" s="77"/>
      <c r="T1071" s="77"/>
      <c r="U1071" s="77"/>
      <c r="V1071" s="77"/>
      <c r="W1071" s="77"/>
      <c r="X1071" s="77"/>
      <c r="Y1071" s="77"/>
      <c r="Z1071" s="77"/>
      <c r="AA1071" s="77"/>
      <c r="AB1071" s="77"/>
      <c r="AC1071" s="77"/>
      <c r="AD1071" s="77"/>
      <c r="AE1071" s="77"/>
      <c r="AF1071" s="77"/>
      <c r="AG1071" s="77"/>
    </row>
    <row r="1072" spans="1:33" x14ac:dyDescent="0.25">
      <c r="A1072" s="77" t="s">
        <v>470</v>
      </c>
      <c r="B1072" s="77"/>
      <c r="C1072" s="77"/>
      <c r="D1072" s="77"/>
      <c r="E1072" s="77"/>
      <c r="F1072" s="77"/>
      <c r="G1072" s="77"/>
      <c r="H1072" s="77"/>
      <c r="I1072" s="77"/>
      <c r="J1072" s="77"/>
      <c r="K1072" s="77"/>
      <c r="L1072" s="77"/>
      <c r="M1072" s="77"/>
      <c r="N1072" s="77"/>
      <c r="O1072" s="77"/>
      <c r="P1072" s="77"/>
      <c r="R1072" s="77"/>
      <c r="S1072" s="77"/>
      <c r="T1072" s="77"/>
      <c r="U1072" s="77"/>
      <c r="V1072" s="77"/>
      <c r="W1072" s="77"/>
      <c r="X1072" s="77"/>
      <c r="Y1072" s="77"/>
      <c r="Z1072" s="77"/>
      <c r="AA1072" s="77"/>
      <c r="AB1072" s="77"/>
      <c r="AC1072" s="77"/>
      <c r="AD1072" s="77"/>
      <c r="AE1072" s="77"/>
      <c r="AF1072" s="77"/>
      <c r="AG1072" s="77"/>
    </row>
    <row r="1073" spans="1:33" x14ac:dyDescent="0.25">
      <c r="A1073" s="77" t="s">
        <v>360</v>
      </c>
      <c r="B1073" s="77" t="s">
        <v>18</v>
      </c>
      <c r="C1073" s="77" t="s">
        <v>19</v>
      </c>
      <c r="D1073" s="77" t="s">
        <v>20</v>
      </c>
      <c r="E1073" s="77" t="s">
        <v>21</v>
      </c>
      <c r="F1073" s="77" t="s">
        <v>22</v>
      </c>
      <c r="G1073" s="77" t="s">
        <v>23</v>
      </c>
      <c r="H1073" s="77" t="s">
        <v>361</v>
      </c>
      <c r="I1073" s="77" t="s">
        <v>25</v>
      </c>
      <c r="J1073" s="77" t="s">
        <v>362</v>
      </c>
      <c r="K1073" s="77" t="s">
        <v>5</v>
      </c>
      <c r="L1073" s="77" t="s">
        <v>6</v>
      </c>
      <c r="M1073" s="77" t="s">
        <v>7</v>
      </c>
      <c r="N1073" s="77" t="s">
        <v>8</v>
      </c>
      <c r="O1073" s="77" t="s">
        <v>9</v>
      </c>
      <c r="P1073" s="77" t="s">
        <v>363</v>
      </c>
      <c r="R1073" s="77"/>
      <c r="S1073" s="77"/>
      <c r="T1073" s="77"/>
      <c r="U1073" s="77"/>
      <c r="V1073" s="77"/>
      <c r="W1073" s="77"/>
      <c r="X1073" s="77"/>
      <c r="Y1073" s="77"/>
      <c r="Z1073" s="77"/>
      <c r="AA1073" s="77"/>
      <c r="AB1073" s="77"/>
      <c r="AC1073" s="77"/>
      <c r="AD1073" s="77"/>
      <c r="AE1073" s="77"/>
      <c r="AF1073" s="77"/>
      <c r="AG1073" s="77"/>
    </row>
    <row r="1074" spans="1:33" x14ac:dyDescent="0.25">
      <c r="A1074" s="77" t="s">
        <v>364</v>
      </c>
      <c r="B1074" s="77" t="s">
        <v>365</v>
      </c>
      <c r="C1074" s="77" t="s">
        <v>365</v>
      </c>
      <c r="D1074" s="77" t="s">
        <v>365</v>
      </c>
      <c r="E1074" s="77" t="s">
        <v>365</v>
      </c>
      <c r="F1074" s="77" t="s">
        <v>365</v>
      </c>
      <c r="G1074" s="77" t="s">
        <v>365</v>
      </c>
      <c r="H1074" s="77" t="s">
        <v>365</v>
      </c>
      <c r="I1074" s="77" t="s">
        <v>365</v>
      </c>
      <c r="J1074" s="77" t="s">
        <v>365</v>
      </c>
      <c r="K1074" s="77" t="s">
        <v>365</v>
      </c>
      <c r="L1074" s="77" t="s">
        <v>365</v>
      </c>
      <c r="M1074" s="77" t="s">
        <v>365</v>
      </c>
      <c r="N1074" s="77" t="s">
        <v>365</v>
      </c>
      <c r="O1074" s="77" t="s">
        <v>365</v>
      </c>
      <c r="P1074" s="77" t="s">
        <v>365</v>
      </c>
      <c r="R1074" s="77"/>
      <c r="S1074" s="77"/>
      <c r="T1074" s="77"/>
      <c r="U1074" s="77"/>
      <c r="V1074" s="77"/>
      <c r="W1074" s="77"/>
      <c r="X1074" s="77"/>
      <c r="Y1074" s="77"/>
      <c r="Z1074" s="77"/>
      <c r="AA1074" s="77"/>
      <c r="AB1074" s="77"/>
      <c r="AC1074" s="77"/>
      <c r="AD1074" s="77"/>
      <c r="AE1074" s="77"/>
      <c r="AF1074" s="77"/>
      <c r="AG1074" s="77"/>
    </row>
    <row r="1075" spans="1:33" x14ac:dyDescent="0.25">
      <c r="A1075" s="77" t="s">
        <v>1</v>
      </c>
      <c r="B1075" s="77">
        <v>0</v>
      </c>
      <c r="C1075" s="77">
        <v>0</v>
      </c>
      <c r="D1075" s="77">
        <v>0</v>
      </c>
      <c r="E1075" s="77">
        <v>0</v>
      </c>
      <c r="F1075" s="77">
        <v>0</v>
      </c>
      <c r="G1075" s="77">
        <v>0</v>
      </c>
      <c r="H1075" s="77">
        <v>0</v>
      </c>
      <c r="I1075" s="77">
        <v>0</v>
      </c>
      <c r="J1075" s="77">
        <v>0</v>
      </c>
      <c r="K1075" s="77">
        <v>0</v>
      </c>
      <c r="L1075" s="77">
        <v>0</v>
      </c>
      <c r="M1075" s="77">
        <v>0</v>
      </c>
      <c r="N1075" s="77">
        <v>0</v>
      </c>
      <c r="O1075" s="77">
        <v>0</v>
      </c>
      <c r="P1075" s="77">
        <v>0</v>
      </c>
      <c r="R1075" s="77"/>
      <c r="S1075" s="77"/>
      <c r="T1075" s="77"/>
      <c r="U1075" s="77"/>
      <c r="V1075" s="77"/>
      <c r="W1075" s="77"/>
      <c r="X1075" s="77"/>
      <c r="Y1075" s="77"/>
      <c r="Z1075" s="77"/>
      <c r="AA1075" s="77"/>
      <c r="AB1075" s="77"/>
      <c r="AC1075" s="77"/>
      <c r="AD1075" s="77"/>
      <c r="AE1075" s="77"/>
      <c r="AF1075" s="77"/>
      <c r="AG1075" s="77"/>
    </row>
    <row r="1076" spans="1:33" x14ac:dyDescent="0.25">
      <c r="A1076" s="77" t="s">
        <v>2</v>
      </c>
      <c r="B1076" s="77">
        <v>26.204538199999998</v>
      </c>
      <c r="C1076" s="77">
        <v>0</v>
      </c>
      <c r="D1076" s="77">
        <v>26.204538199999998</v>
      </c>
      <c r="E1076" s="77">
        <v>0</v>
      </c>
      <c r="F1076" s="77">
        <v>0</v>
      </c>
      <c r="G1076" s="77">
        <v>0</v>
      </c>
      <c r="H1076" s="77">
        <v>0</v>
      </c>
      <c r="I1076" s="77">
        <v>0</v>
      </c>
      <c r="J1076" s="77">
        <v>0</v>
      </c>
      <c r="K1076" s="77">
        <v>26.204538199999998</v>
      </c>
      <c r="L1076" s="77">
        <v>0</v>
      </c>
      <c r="M1076" s="77">
        <v>0</v>
      </c>
      <c r="N1076" s="77">
        <v>0</v>
      </c>
      <c r="O1076" s="77">
        <v>0</v>
      </c>
      <c r="P1076" s="77">
        <v>0</v>
      </c>
      <c r="R1076" s="77"/>
      <c r="S1076" s="77"/>
      <c r="T1076" s="77"/>
      <c r="U1076" s="77"/>
      <c r="V1076" s="77"/>
      <c r="W1076" s="77"/>
      <c r="X1076" s="77"/>
      <c r="Y1076" s="77"/>
      <c r="Z1076" s="77"/>
      <c r="AA1076" s="77"/>
      <c r="AB1076" s="77"/>
      <c r="AC1076" s="77"/>
      <c r="AD1076" s="77"/>
      <c r="AE1076" s="77"/>
      <c r="AF1076" s="77"/>
      <c r="AG1076" s="77"/>
    </row>
    <row r="1077" spans="1:33" x14ac:dyDescent="0.25">
      <c r="A1077" s="77" t="s">
        <v>3</v>
      </c>
      <c r="B1077" s="77">
        <v>66.677550299999993</v>
      </c>
      <c r="C1077" s="77">
        <v>0</v>
      </c>
      <c r="D1077" s="77">
        <v>66.677550299999993</v>
      </c>
      <c r="E1077" s="77">
        <v>0.57677907100000003</v>
      </c>
      <c r="F1077" s="77">
        <v>1.27924923E-2</v>
      </c>
      <c r="G1077" s="77">
        <v>6.2843732900000004E-2</v>
      </c>
      <c r="H1077" s="77">
        <v>0</v>
      </c>
      <c r="I1077" s="77">
        <v>0</v>
      </c>
      <c r="J1077" s="77">
        <v>0</v>
      </c>
      <c r="K1077" s="77">
        <v>45.1274005</v>
      </c>
      <c r="L1077" s="77">
        <v>20.8977346</v>
      </c>
      <c r="M1077" s="77">
        <v>0</v>
      </c>
      <c r="N1077" s="77">
        <v>0</v>
      </c>
      <c r="O1077" s="77">
        <v>0</v>
      </c>
      <c r="P1077" s="77">
        <v>0</v>
      </c>
      <c r="R1077" s="77"/>
      <c r="S1077" s="77"/>
      <c r="T1077" s="77"/>
      <c r="U1077" s="77"/>
      <c r="V1077" s="77"/>
      <c r="W1077" s="77"/>
      <c r="X1077" s="77"/>
      <c r="Y1077" s="77"/>
      <c r="Z1077" s="77"/>
      <c r="AA1077" s="77"/>
      <c r="AB1077" s="77"/>
      <c r="AC1077" s="77"/>
      <c r="AD1077" s="77"/>
      <c r="AE1077" s="77"/>
      <c r="AF1077" s="77"/>
      <c r="AG1077" s="77"/>
    </row>
    <row r="1078" spans="1:33" x14ac:dyDescent="0.25">
      <c r="A1078" s="77" t="s">
        <v>4</v>
      </c>
      <c r="B1078" s="77">
        <v>175.33383900000001</v>
      </c>
      <c r="C1078" s="77">
        <v>0</v>
      </c>
      <c r="D1078" s="77">
        <v>175.33383900000001</v>
      </c>
      <c r="E1078" s="77">
        <v>81.918568800000003</v>
      </c>
      <c r="F1078" s="77">
        <v>12.2382241</v>
      </c>
      <c r="G1078" s="77">
        <v>76.847504400000005</v>
      </c>
      <c r="H1078" s="77">
        <v>4.2856148100000002</v>
      </c>
      <c r="I1078" s="77">
        <v>0</v>
      </c>
      <c r="J1078" s="77">
        <v>0</v>
      </c>
      <c r="K1078" s="77">
        <v>0</v>
      </c>
      <c r="L1078" s="77">
        <v>0</v>
      </c>
      <c r="M1078" s="77">
        <v>4.3927330399999999E-2</v>
      </c>
      <c r="N1078" s="77">
        <v>0</v>
      </c>
      <c r="O1078" s="77">
        <v>0</v>
      </c>
      <c r="P1078" s="77">
        <v>0</v>
      </c>
      <c r="R1078" s="77"/>
      <c r="S1078" s="77"/>
      <c r="T1078" s="77"/>
      <c r="U1078" s="77"/>
      <c r="V1078" s="77"/>
      <c r="W1078" s="77"/>
      <c r="X1078" s="77"/>
      <c r="Y1078" s="77"/>
      <c r="Z1078" s="77"/>
      <c r="AA1078" s="77"/>
      <c r="AB1078" s="77"/>
      <c r="AC1078" s="77"/>
      <c r="AD1078" s="77"/>
      <c r="AE1078" s="77"/>
      <c r="AF1078" s="77"/>
      <c r="AG1078" s="77"/>
    </row>
    <row r="1079" spans="1:33" x14ac:dyDescent="0.25">
      <c r="A1079" s="77" t="s">
        <v>5</v>
      </c>
      <c r="B1079" s="77">
        <v>71.331938699999995</v>
      </c>
      <c r="C1079" s="77">
        <v>71.331938699999995</v>
      </c>
      <c r="D1079" s="77">
        <v>0</v>
      </c>
      <c r="E1079" s="77">
        <v>48.901768699999998</v>
      </c>
      <c r="F1079" s="77">
        <v>6.1537440300000004</v>
      </c>
      <c r="G1079" s="77">
        <v>15.8703401</v>
      </c>
      <c r="H1079" s="77">
        <v>0.40608591599999999</v>
      </c>
      <c r="I1079" s="77">
        <v>0</v>
      </c>
      <c r="J1079" s="77">
        <v>0</v>
      </c>
      <c r="K1079" s="77">
        <v>0</v>
      </c>
      <c r="L1079" s="77">
        <v>0</v>
      </c>
      <c r="M1079" s="77">
        <v>0</v>
      </c>
      <c r="N1079" s="77">
        <v>0</v>
      </c>
      <c r="O1079" s="77">
        <v>0</v>
      </c>
      <c r="P1079" s="77">
        <v>0</v>
      </c>
      <c r="R1079" s="77"/>
      <c r="S1079" s="77"/>
      <c r="T1079" s="77"/>
      <c r="U1079" s="77"/>
      <c r="V1079" s="77"/>
      <c r="W1079" s="77"/>
      <c r="X1079" s="77"/>
      <c r="Y1079" s="77"/>
      <c r="Z1079" s="77"/>
      <c r="AA1079" s="77"/>
      <c r="AB1079" s="77"/>
      <c r="AC1079" s="77"/>
      <c r="AD1079" s="77"/>
      <c r="AE1079" s="77"/>
      <c r="AF1079" s="77"/>
      <c r="AG1079" s="77"/>
    </row>
    <row r="1080" spans="1:33" x14ac:dyDescent="0.25">
      <c r="A1080" s="77" t="s">
        <v>6</v>
      </c>
      <c r="B1080" s="77">
        <v>20.8977346</v>
      </c>
      <c r="C1080" s="77">
        <v>20.8977346</v>
      </c>
      <c r="D1080" s="105">
        <v>3.5527136800000002E-15</v>
      </c>
      <c r="E1080" s="77">
        <v>16.398002399999999</v>
      </c>
      <c r="F1080" s="77">
        <v>1.2250708800000001</v>
      </c>
      <c r="G1080" s="77">
        <v>3.1099036199999999</v>
      </c>
      <c r="H1080" s="77">
        <v>0.16475764300000001</v>
      </c>
      <c r="I1080" s="77">
        <v>0</v>
      </c>
      <c r="J1080" s="77">
        <v>0</v>
      </c>
      <c r="K1080" s="77">
        <v>0</v>
      </c>
      <c r="L1080" s="77">
        <v>0</v>
      </c>
      <c r="M1080" s="77">
        <v>0</v>
      </c>
      <c r="N1080" s="77">
        <v>0</v>
      </c>
      <c r="O1080" s="77">
        <v>0</v>
      </c>
      <c r="P1080" s="77">
        <v>0</v>
      </c>
      <c r="R1080" s="77"/>
      <c r="S1080" s="77"/>
      <c r="T1080" s="77"/>
      <c r="U1080" s="105"/>
      <c r="V1080" s="77"/>
      <c r="W1080" s="77"/>
      <c r="X1080" s="77"/>
      <c r="Y1080" s="77"/>
      <c r="Z1080" s="77"/>
      <c r="AA1080" s="77"/>
      <c r="AB1080" s="77"/>
      <c r="AC1080" s="77"/>
      <c r="AD1080" s="77"/>
      <c r="AE1080" s="77"/>
      <c r="AF1080" s="77"/>
      <c r="AG1080" s="77"/>
    </row>
    <row r="1081" spans="1:33" x14ac:dyDescent="0.25">
      <c r="A1081" s="77" t="s">
        <v>7</v>
      </c>
      <c r="B1081" s="77">
        <v>4.3927330399999999E-2</v>
      </c>
      <c r="C1081" s="77">
        <v>4.3927330399999999E-2</v>
      </c>
      <c r="D1081" s="77">
        <v>6.9388939000000003E-18</v>
      </c>
      <c r="E1081" s="77">
        <v>0</v>
      </c>
      <c r="F1081" s="77">
        <v>2.3202963900000002E-2</v>
      </c>
      <c r="G1081" s="77">
        <v>1.0888857199999999E-2</v>
      </c>
      <c r="H1081" s="77">
        <v>9.8355092700000007E-3</v>
      </c>
      <c r="I1081" s="77">
        <v>0</v>
      </c>
      <c r="J1081" s="77">
        <v>0</v>
      </c>
      <c r="K1081" s="77">
        <v>0</v>
      </c>
      <c r="L1081" s="77">
        <v>0</v>
      </c>
      <c r="M1081" s="77">
        <v>0</v>
      </c>
      <c r="N1081" s="77">
        <v>0</v>
      </c>
      <c r="O1081" s="77">
        <v>0</v>
      </c>
      <c r="P1081" s="77">
        <v>0</v>
      </c>
      <c r="R1081" s="77"/>
      <c r="S1081" s="77"/>
      <c r="T1081" s="77"/>
      <c r="U1081" s="105"/>
      <c r="V1081" s="77"/>
      <c r="W1081" s="77"/>
      <c r="X1081" s="77"/>
      <c r="Y1081" s="77"/>
      <c r="Z1081" s="77"/>
      <c r="AA1081" s="77"/>
      <c r="AB1081" s="77"/>
      <c r="AC1081" s="77"/>
      <c r="AD1081" s="77"/>
      <c r="AE1081" s="77"/>
      <c r="AF1081" s="77"/>
      <c r="AG1081" s="77"/>
    </row>
    <row r="1082" spans="1:33" x14ac:dyDescent="0.25">
      <c r="A1082" s="77" t="s">
        <v>8</v>
      </c>
      <c r="B1082" s="77">
        <v>0</v>
      </c>
      <c r="C1082" s="77">
        <v>0</v>
      </c>
      <c r="D1082" s="77">
        <v>0</v>
      </c>
      <c r="E1082" s="77">
        <v>0</v>
      </c>
      <c r="F1082" s="77">
        <v>0</v>
      </c>
      <c r="G1082" s="77">
        <v>0</v>
      </c>
      <c r="H1082" s="77">
        <v>0</v>
      </c>
      <c r="I1082" s="77">
        <v>0</v>
      </c>
      <c r="J1082" s="77">
        <v>0</v>
      </c>
      <c r="K1082" s="77">
        <v>0</v>
      </c>
      <c r="L1082" s="77">
        <v>0</v>
      </c>
      <c r="M1082" s="77">
        <v>0</v>
      </c>
      <c r="N1082" s="77">
        <v>0</v>
      </c>
      <c r="O1082" s="77">
        <v>0</v>
      </c>
      <c r="P1082" s="77">
        <v>0</v>
      </c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7"/>
      <c r="AD1082" s="77"/>
      <c r="AE1082" s="77"/>
      <c r="AF1082" s="77"/>
      <c r="AG1082" s="77"/>
    </row>
    <row r="1083" spans="1:33" x14ac:dyDescent="0.25">
      <c r="A1083" s="77" t="s">
        <v>9</v>
      </c>
      <c r="B1083" s="77">
        <v>0</v>
      </c>
      <c r="C1083" s="77">
        <v>0</v>
      </c>
      <c r="D1083" s="105">
        <v>0</v>
      </c>
      <c r="E1083" s="77">
        <v>0</v>
      </c>
      <c r="F1083" s="77">
        <v>0</v>
      </c>
      <c r="G1083" s="77">
        <v>0</v>
      </c>
      <c r="H1083" s="77">
        <v>0</v>
      </c>
      <c r="I1083" s="77">
        <v>0</v>
      </c>
      <c r="J1083" s="77">
        <v>0</v>
      </c>
      <c r="K1083" s="77">
        <v>0</v>
      </c>
      <c r="L1083" s="77">
        <v>0</v>
      </c>
      <c r="M1083" s="77">
        <v>0</v>
      </c>
      <c r="N1083" s="77">
        <v>0</v>
      </c>
      <c r="O1083" s="77">
        <v>0</v>
      </c>
      <c r="P1083" s="77">
        <v>0</v>
      </c>
      <c r="R1083" s="77"/>
      <c r="S1083" s="77"/>
      <c r="T1083" s="77"/>
      <c r="U1083" s="77"/>
      <c r="V1083" s="77"/>
      <c r="W1083" s="77"/>
      <c r="X1083" s="77"/>
      <c r="Y1083" s="77"/>
      <c r="Z1083" s="77"/>
      <c r="AA1083" s="77"/>
      <c r="AB1083" s="77"/>
      <c r="AC1083" s="77"/>
      <c r="AD1083" s="77"/>
      <c r="AE1083" s="77"/>
      <c r="AF1083" s="77"/>
      <c r="AG1083" s="77"/>
    </row>
    <row r="1084" spans="1:33" x14ac:dyDescent="0.25">
      <c r="A1084" s="77" t="s">
        <v>10</v>
      </c>
      <c r="B1084" s="77">
        <v>0</v>
      </c>
      <c r="C1084" s="77">
        <v>0</v>
      </c>
      <c r="D1084" s="77">
        <v>0</v>
      </c>
      <c r="E1084" s="77">
        <v>0</v>
      </c>
      <c r="F1084" s="77">
        <v>0</v>
      </c>
      <c r="G1084" s="77">
        <v>0</v>
      </c>
      <c r="H1084" s="77">
        <v>0</v>
      </c>
      <c r="I1084" s="77">
        <v>0</v>
      </c>
      <c r="J1084" s="77">
        <v>0</v>
      </c>
      <c r="K1084" s="77">
        <v>0</v>
      </c>
      <c r="L1084" s="77">
        <v>0</v>
      </c>
      <c r="M1084" s="77">
        <v>0</v>
      </c>
      <c r="N1084" s="77">
        <v>0</v>
      </c>
      <c r="O1084" s="77">
        <v>0</v>
      </c>
      <c r="P1084" s="77">
        <v>0</v>
      </c>
      <c r="R1084" s="77"/>
      <c r="S1084" s="77"/>
      <c r="T1084" s="77"/>
      <c r="U1084" s="77"/>
      <c r="V1084" s="77"/>
      <c r="W1084" s="77"/>
      <c r="X1084" s="77"/>
      <c r="Y1084" s="77"/>
      <c r="Z1084" s="77"/>
      <c r="AA1084" s="77"/>
      <c r="AB1084" s="77"/>
      <c r="AC1084" s="77"/>
      <c r="AD1084" s="77"/>
      <c r="AE1084" s="77"/>
      <c r="AF1084" s="77"/>
      <c r="AG1084" s="77"/>
    </row>
    <row r="1085" spans="1:33" x14ac:dyDescent="0.25">
      <c r="A1085" s="77" t="s">
        <v>11</v>
      </c>
      <c r="B1085" s="77">
        <v>0</v>
      </c>
      <c r="C1085" s="77">
        <v>0</v>
      </c>
      <c r="D1085" s="77">
        <v>0</v>
      </c>
      <c r="E1085" s="77">
        <v>0</v>
      </c>
      <c r="F1085" s="77">
        <v>0</v>
      </c>
      <c r="G1085" s="77">
        <v>0</v>
      </c>
      <c r="H1085" s="77">
        <v>0</v>
      </c>
      <c r="I1085" s="77">
        <v>0</v>
      </c>
      <c r="J1085" s="77">
        <v>0</v>
      </c>
      <c r="K1085" s="77">
        <v>0</v>
      </c>
      <c r="L1085" s="77">
        <v>0</v>
      </c>
      <c r="M1085" s="77">
        <v>0</v>
      </c>
      <c r="N1085" s="77">
        <v>0</v>
      </c>
      <c r="O1085" s="77">
        <v>0</v>
      </c>
      <c r="P1085" s="77">
        <v>0</v>
      </c>
      <c r="R1085" s="77"/>
      <c r="S1085" s="77"/>
      <c r="T1085" s="77"/>
      <c r="U1085" s="77"/>
      <c r="V1085" s="77"/>
      <c r="W1085" s="77"/>
      <c r="X1085" s="77"/>
      <c r="Y1085" s="77"/>
      <c r="Z1085" s="77"/>
      <c r="AA1085" s="77"/>
      <c r="AB1085" s="77"/>
      <c r="AC1085" s="77"/>
      <c r="AD1085" s="77"/>
      <c r="AE1085" s="77"/>
      <c r="AF1085" s="77"/>
      <c r="AG1085" s="77"/>
    </row>
    <row r="1086" spans="1:33" x14ac:dyDescent="0.25">
      <c r="A1086" s="77" t="s">
        <v>12</v>
      </c>
      <c r="B1086" s="77">
        <v>0</v>
      </c>
      <c r="C1086" s="77">
        <v>0</v>
      </c>
      <c r="D1086" s="77">
        <v>0</v>
      </c>
      <c r="E1086" s="77">
        <v>0</v>
      </c>
      <c r="F1086" s="77">
        <v>0</v>
      </c>
      <c r="G1086" s="77">
        <v>0</v>
      </c>
      <c r="H1086" s="77">
        <v>0</v>
      </c>
      <c r="I1086" s="77">
        <v>0</v>
      </c>
      <c r="J1086" s="77">
        <v>0</v>
      </c>
      <c r="K1086" s="77">
        <v>0</v>
      </c>
      <c r="L1086" s="77">
        <v>0</v>
      </c>
      <c r="M1086" s="77">
        <v>0</v>
      </c>
      <c r="N1086" s="77">
        <v>0</v>
      </c>
      <c r="O1086" s="77">
        <v>0</v>
      </c>
      <c r="P1086" s="77">
        <v>0</v>
      </c>
      <c r="R1086" s="77"/>
      <c r="S1086" s="77"/>
      <c r="T1086" s="77"/>
      <c r="U1086" s="77"/>
      <c r="V1086" s="77"/>
      <c r="W1086" s="77"/>
      <c r="X1086" s="77"/>
      <c r="Y1086" s="77"/>
      <c r="Z1086" s="77"/>
      <c r="AA1086" s="77"/>
      <c r="AB1086" s="77"/>
      <c r="AC1086" s="77"/>
      <c r="AD1086" s="77"/>
      <c r="AE1086" s="77"/>
      <c r="AF1086" s="77"/>
      <c r="AG1086" s="77"/>
    </row>
    <row r="1087" spans="1:33" x14ac:dyDescent="0.25">
      <c r="A1087" s="77" t="s">
        <v>13</v>
      </c>
      <c r="B1087" s="77">
        <v>0</v>
      </c>
      <c r="C1087" s="77">
        <v>0</v>
      </c>
      <c r="D1087" s="77">
        <v>0</v>
      </c>
      <c r="E1087" s="77">
        <v>0</v>
      </c>
      <c r="F1087" s="77">
        <v>0</v>
      </c>
      <c r="G1087" s="77">
        <v>0</v>
      </c>
      <c r="H1087" s="77">
        <v>0</v>
      </c>
      <c r="I1087" s="77">
        <v>0</v>
      </c>
      <c r="J1087" s="77">
        <v>0</v>
      </c>
      <c r="K1087" s="77">
        <v>0</v>
      </c>
      <c r="L1087" s="77">
        <v>0</v>
      </c>
      <c r="M1087" s="77">
        <v>0</v>
      </c>
      <c r="N1087" s="77">
        <v>0</v>
      </c>
      <c r="O1087" s="77">
        <v>0</v>
      </c>
      <c r="P1087" s="77">
        <v>0</v>
      </c>
      <c r="R1087" s="77"/>
      <c r="S1087" s="77"/>
      <c r="T1087" s="77"/>
      <c r="U1087" s="77"/>
      <c r="V1087" s="77"/>
      <c r="W1087" s="77"/>
      <c r="X1087" s="77"/>
      <c r="Y1087" s="77"/>
      <c r="Z1087" s="77"/>
      <c r="AA1087" s="77"/>
      <c r="AB1087" s="77"/>
      <c r="AC1087" s="77"/>
      <c r="AD1087" s="77"/>
      <c r="AE1087" s="77"/>
      <c r="AF1087" s="77"/>
      <c r="AG1087" s="77"/>
    </row>
    <row r="1088" spans="1:33" x14ac:dyDescent="0.25">
      <c r="A1088" s="77" t="s">
        <v>14</v>
      </c>
      <c r="B1088" s="77">
        <v>0</v>
      </c>
      <c r="C1088" s="77">
        <v>0</v>
      </c>
      <c r="D1088" s="77">
        <v>0</v>
      </c>
      <c r="E1088" s="77">
        <v>0</v>
      </c>
      <c r="F1088" s="77">
        <v>0</v>
      </c>
      <c r="G1088" s="77">
        <v>0</v>
      </c>
      <c r="H1088" s="77">
        <v>0</v>
      </c>
      <c r="I1088" s="77">
        <v>0</v>
      </c>
      <c r="J1088" s="77">
        <v>0</v>
      </c>
      <c r="K1088" s="77">
        <v>0</v>
      </c>
      <c r="L1088" s="77">
        <v>0</v>
      </c>
      <c r="M1088" s="77">
        <v>0</v>
      </c>
      <c r="N1088" s="77">
        <v>0</v>
      </c>
      <c r="O1088" s="77">
        <v>0</v>
      </c>
      <c r="P1088" s="77">
        <v>0</v>
      </c>
      <c r="R1088" s="77"/>
      <c r="S1088" s="77"/>
      <c r="T1088" s="77"/>
      <c r="U1088" s="77"/>
      <c r="V1088" s="77"/>
      <c r="W1088" s="77"/>
      <c r="X1088" s="77"/>
      <c r="Y1088" s="77"/>
      <c r="Z1088" s="77"/>
      <c r="AA1088" s="77"/>
      <c r="AB1088" s="77"/>
      <c r="AC1088" s="77"/>
      <c r="AD1088" s="77"/>
      <c r="AE1088" s="77"/>
      <c r="AF1088" s="77"/>
      <c r="AG1088" s="77"/>
    </row>
    <row r="1089" spans="1:33" x14ac:dyDescent="0.25">
      <c r="A1089" s="77" t="s">
        <v>471</v>
      </c>
      <c r="B1089" s="77"/>
      <c r="C1089" s="77"/>
      <c r="D1089" s="77"/>
      <c r="E1089" s="77"/>
      <c r="F1089" s="77"/>
      <c r="G1089" s="77"/>
      <c r="H1089" s="77"/>
      <c r="I1089" s="77"/>
      <c r="J1089" s="77"/>
      <c r="K1089" s="77"/>
      <c r="L1089" s="77"/>
      <c r="M1089" s="77"/>
      <c r="N1089" s="77"/>
      <c r="O1089" s="77"/>
      <c r="P1089" s="77"/>
      <c r="R1089" s="77"/>
      <c r="S1089" s="77"/>
      <c r="T1089" s="77"/>
      <c r="U1089" s="77"/>
      <c r="V1089" s="77"/>
      <c r="W1089" s="77"/>
      <c r="X1089" s="77"/>
      <c r="Y1089" s="77"/>
      <c r="Z1089" s="77"/>
      <c r="AA1089" s="77"/>
      <c r="AB1089" s="77"/>
      <c r="AC1089" s="77"/>
      <c r="AD1089" s="77"/>
      <c r="AE1089" s="77"/>
      <c r="AF1089" s="77"/>
      <c r="AG1089" s="77"/>
    </row>
    <row r="1090" spans="1:33" x14ac:dyDescent="0.25">
      <c r="A1090" s="77" t="s">
        <v>360</v>
      </c>
      <c r="B1090" s="77" t="s">
        <v>366</v>
      </c>
      <c r="C1090" s="77" t="s">
        <v>367</v>
      </c>
      <c r="D1090" s="77" t="s">
        <v>368</v>
      </c>
      <c r="E1090" s="77" t="s">
        <v>21</v>
      </c>
      <c r="F1090" s="77" t="s">
        <v>22</v>
      </c>
      <c r="G1090" s="77" t="s">
        <v>23</v>
      </c>
      <c r="H1090" s="77" t="s">
        <v>361</v>
      </c>
      <c r="I1090" s="77" t="s">
        <v>25</v>
      </c>
      <c r="J1090" s="77" t="s">
        <v>362</v>
      </c>
      <c r="K1090" s="77" t="s">
        <v>5</v>
      </c>
      <c r="L1090" s="77" t="s">
        <v>6</v>
      </c>
      <c r="M1090" s="77" t="s">
        <v>7</v>
      </c>
      <c r="N1090" s="77" t="s">
        <v>8</v>
      </c>
      <c r="O1090" s="77" t="s">
        <v>9</v>
      </c>
      <c r="P1090" s="77" t="s">
        <v>363</v>
      </c>
      <c r="R1090" s="77"/>
      <c r="S1090" s="77"/>
      <c r="T1090" s="77"/>
      <c r="U1090" s="77"/>
      <c r="V1090" s="77"/>
      <c r="W1090" s="77"/>
      <c r="X1090" s="77"/>
      <c r="Y1090" s="77"/>
      <c r="Z1090" s="77"/>
      <c r="AA1090" s="77"/>
      <c r="AB1090" s="77"/>
      <c r="AC1090" s="77"/>
      <c r="AD1090" s="77"/>
      <c r="AE1090" s="77"/>
      <c r="AF1090" s="77"/>
      <c r="AG1090" s="77"/>
    </row>
    <row r="1091" spans="1:33" x14ac:dyDescent="0.25">
      <c r="A1091" s="77" t="s">
        <v>364</v>
      </c>
      <c r="B1091" s="77" t="s">
        <v>369</v>
      </c>
      <c r="C1091" s="77" t="s">
        <v>369</v>
      </c>
      <c r="D1091" s="77" t="s">
        <v>369</v>
      </c>
      <c r="E1091" s="77" t="s">
        <v>369</v>
      </c>
      <c r="F1091" s="77" t="s">
        <v>369</v>
      </c>
      <c r="G1091" s="77" t="s">
        <v>369</v>
      </c>
      <c r="H1091" s="77" t="s">
        <v>369</v>
      </c>
      <c r="I1091" s="77" t="s">
        <v>369</v>
      </c>
      <c r="J1091" s="77" t="s">
        <v>369</v>
      </c>
      <c r="K1091" s="77" t="s">
        <v>369</v>
      </c>
      <c r="L1091" s="77" t="s">
        <v>369</v>
      </c>
      <c r="M1091" s="77" t="s">
        <v>369</v>
      </c>
      <c r="N1091" s="77" t="s">
        <v>369</v>
      </c>
      <c r="O1091" s="77" t="s">
        <v>369</v>
      </c>
      <c r="P1091" s="77" t="s">
        <v>369</v>
      </c>
      <c r="R1091" s="77"/>
      <c r="S1091" s="77"/>
      <c r="T1091" s="77"/>
      <c r="U1091" s="77"/>
      <c r="V1091" s="77"/>
      <c r="W1091" s="77"/>
      <c r="X1091" s="77"/>
      <c r="Y1091" s="77"/>
      <c r="Z1091" s="77"/>
      <c r="AA1091" s="77"/>
      <c r="AB1091" s="77"/>
      <c r="AC1091" s="77"/>
      <c r="AD1091" s="77"/>
      <c r="AE1091" s="77"/>
      <c r="AF1091" s="77"/>
      <c r="AG1091" s="77"/>
    </row>
    <row r="1092" spans="1:33" x14ac:dyDescent="0.25">
      <c r="A1092" s="77" t="s">
        <v>1</v>
      </c>
      <c r="B1092" s="77">
        <v>128.39632599999999</v>
      </c>
      <c r="C1092" s="77">
        <v>0</v>
      </c>
      <c r="D1092" s="77">
        <v>128.39632599999999</v>
      </c>
      <c r="E1092" s="77">
        <v>35.699894</v>
      </c>
      <c r="F1092" s="77">
        <v>0</v>
      </c>
      <c r="G1092" s="77">
        <v>24.6858124</v>
      </c>
      <c r="H1092" s="77">
        <v>0</v>
      </c>
      <c r="I1092" s="77">
        <v>0</v>
      </c>
      <c r="J1092" s="77">
        <v>0</v>
      </c>
      <c r="K1092" s="77">
        <v>29.729580800000001</v>
      </c>
      <c r="L1092" s="77">
        <v>38.233194400000002</v>
      </c>
      <c r="M1092" s="77">
        <v>4.7844194999999999E-2</v>
      </c>
      <c r="N1092" s="77">
        <v>0</v>
      </c>
      <c r="O1092" s="77">
        <v>0</v>
      </c>
      <c r="P1092" s="77">
        <v>0</v>
      </c>
      <c r="R1092" s="77"/>
      <c r="S1092" s="77"/>
      <c r="T1092" s="77"/>
      <c r="U1092" s="77"/>
      <c r="V1092" s="77"/>
      <c r="W1092" s="77"/>
      <c r="X1092" s="77"/>
      <c r="Y1092" s="77"/>
      <c r="Z1092" s="77"/>
      <c r="AA1092" s="77"/>
      <c r="AB1092" s="77"/>
      <c r="AC1092" s="77"/>
      <c r="AD1092" s="77"/>
      <c r="AE1092" s="77"/>
      <c r="AF1092" s="77"/>
      <c r="AG1092" s="77"/>
    </row>
    <row r="1093" spans="1:33" x14ac:dyDescent="0.25">
      <c r="A1093" s="77" t="s">
        <v>2</v>
      </c>
      <c r="B1093" s="77">
        <v>18.152814899999999</v>
      </c>
      <c r="C1093" s="77">
        <v>0</v>
      </c>
      <c r="D1093" s="77">
        <v>18.152814899999999</v>
      </c>
      <c r="E1093" s="77">
        <v>0</v>
      </c>
      <c r="F1093" s="77">
        <v>0</v>
      </c>
      <c r="G1093" s="77">
        <v>0</v>
      </c>
      <c r="H1093" s="77">
        <v>0</v>
      </c>
      <c r="I1093" s="77">
        <v>0</v>
      </c>
      <c r="J1093" s="77">
        <v>0</v>
      </c>
      <c r="K1093" s="77">
        <v>18.152668500000001</v>
      </c>
      <c r="L1093" s="77">
        <v>1.46395838E-4</v>
      </c>
      <c r="M1093" s="77">
        <v>0</v>
      </c>
      <c r="N1093" s="77">
        <v>0</v>
      </c>
      <c r="O1093" s="77">
        <v>0</v>
      </c>
      <c r="P1093" s="77">
        <v>0</v>
      </c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7"/>
      <c r="AD1093" s="77"/>
      <c r="AE1093" s="77"/>
      <c r="AF1093" s="77"/>
      <c r="AG1093" s="77"/>
    </row>
    <row r="1094" spans="1:33" x14ac:dyDescent="0.25">
      <c r="A1094" s="77" t="s">
        <v>3</v>
      </c>
      <c r="B1094" s="77">
        <v>48.901401700000001</v>
      </c>
      <c r="C1094" s="77">
        <v>0</v>
      </c>
      <c r="D1094" s="77">
        <v>48.901401700000001</v>
      </c>
      <c r="E1094" s="77">
        <v>0.17655686900000001</v>
      </c>
      <c r="F1094" s="77">
        <v>5.52921729E-3</v>
      </c>
      <c r="G1094" s="77">
        <v>2.6498143799999999E-2</v>
      </c>
      <c r="H1094" s="77">
        <v>0</v>
      </c>
      <c r="I1094" s="77">
        <v>0</v>
      </c>
      <c r="J1094" s="77">
        <v>0</v>
      </c>
      <c r="K1094" s="77">
        <v>9.3804146999999993</v>
      </c>
      <c r="L1094" s="77">
        <v>4.3439111199999996</v>
      </c>
      <c r="M1094" s="77">
        <v>0</v>
      </c>
      <c r="N1094" s="77">
        <v>0</v>
      </c>
      <c r="O1094" s="77">
        <v>0</v>
      </c>
      <c r="P1094" s="77">
        <v>34.968491700000001</v>
      </c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7"/>
      <c r="AD1094" s="77"/>
      <c r="AE1094" s="77"/>
      <c r="AF1094" s="77"/>
      <c r="AG1094" s="77"/>
    </row>
    <row r="1095" spans="1:33" x14ac:dyDescent="0.25">
      <c r="A1095" s="77" t="s">
        <v>4</v>
      </c>
      <c r="B1095" s="77">
        <v>112.977313</v>
      </c>
      <c r="C1095" s="77">
        <v>0</v>
      </c>
      <c r="D1095" s="77">
        <v>112.977313</v>
      </c>
      <c r="E1095" s="77">
        <v>60.2235662</v>
      </c>
      <c r="F1095" s="77">
        <v>9.8747818499999997</v>
      </c>
      <c r="G1095" s="77">
        <v>46.817982200000003</v>
      </c>
      <c r="H1095" s="77">
        <v>2.2724000800000002</v>
      </c>
      <c r="I1095" s="77">
        <v>0</v>
      </c>
      <c r="J1095" s="77">
        <v>0</v>
      </c>
      <c r="K1095" s="77">
        <v>0</v>
      </c>
      <c r="L1095" s="77">
        <v>0</v>
      </c>
      <c r="M1095" s="77">
        <v>1.86450464E-2</v>
      </c>
      <c r="N1095" s="77">
        <v>0</v>
      </c>
      <c r="O1095" s="77">
        <v>0</v>
      </c>
      <c r="P1095" s="77">
        <v>-6.2300622199999998</v>
      </c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7"/>
      <c r="AD1095" s="77"/>
      <c r="AE1095" s="77"/>
      <c r="AF1095" s="77"/>
      <c r="AG1095" s="77"/>
    </row>
    <row r="1096" spans="1:33" x14ac:dyDescent="0.25">
      <c r="A1096" s="77" t="s">
        <v>5</v>
      </c>
      <c r="B1096" s="77">
        <v>248.38676699999999</v>
      </c>
      <c r="C1096" s="77">
        <v>139.304959</v>
      </c>
      <c r="D1096" s="77">
        <v>109.081808</v>
      </c>
      <c r="E1096" s="77">
        <v>160.90940000000001</v>
      </c>
      <c r="F1096" s="77">
        <v>21.507174200000001</v>
      </c>
      <c r="G1096" s="77">
        <v>64.532478999999995</v>
      </c>
      <c r="H1096" s="77">
        <v>1.4377138700000001</v>
      </c>
      <c r="I1096" s="77">
        <v>0</v>
      </c>
      <c r="J1096" s="77">
        <v>0</v>
      </c>
      <c r="K1096" s="77">
        <v>0</v>
      </c>
      <c r="L1096" s="77">
        <v>0</v>
      </c>
      <c r="M1096" s="77">
        <v>0</v>
      </c>
      <c r="N1096" s="77">
        <v>0</v>
      </c>
      <c r="O1096" s="77">
        <v>0</v>
      </c>
      <c r="P1096" s="77">
        <v>0</v>
      </c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7"/>
      <c r="AD1096" s="77"/>
      <c r="AE1096" s="77"/>
      <c r="AF1096" s="77"/>
      <c r="AG1096" s="77"/>
    </row>
    <row r="1097" spans="1:33" x14ac:dyDescent="0.25">
      <c r="A1097" s="77" t="s">
        <v>6</v>
      </c>
      <c r="B1097" s="77">
        <v>115.966595</v>
      </c>
      <c r="C1097" s="77">
        <v>85.248732200000006</v>
      </c>
      <c r="D1097" s="77">
        <v>30.717862499999999</v>
      </c>
      <c r="E1097" s="77">
        <v>86.882602899999995</v>
      </c>
      <c r="F1097" s="77">
        <v>7.4992801099999999</v>
      </c>
      <c r="G1097" s="77">
        <v>20.651328899999999</v>
      </c>
      <c r="H1097" s="77">
        <v>0.93338291200000001</v>
      </c>
      <c r="I1097" s="77">
        <v>0</v>
      </c>
      <c r="J1097" s="77">
        <v>0</v>
      </c>
      <c r="K1097" s="77">
        <v>0</v>
      </c>
      <c r="L1097" s="77">
        <v>0</v>
      </c>
      <c r="M1097" s="77">
        <v>0</v>
      </c>
      <c r="N1097" s="77">
        <v>0</v>
      </c>
      <c r="O1097" s="77">
        <v>0</v>
      </c>
      <c r="P1097" s="77">
        <v>0</v>
      </c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7"/>
      <c r="AD1097" s="77"/>
      <c r="AE1097" s="77"/>
      <c r="AF1097" s="77"/>
      <c r="AG1097" s="77"/>
    </row>
    <row r="1098" spans="1:33" x14ac:dyDescent="0.25">
      <c r="A1098" s="77" t="s">
        <v>7</v>
      </c>
      <c r="B1098" s="77">
        <v>0.18917185</v>
      </c>
      <c r="C1098" s="77">
        <v>8.6745875799999997E-2</v>
      </c>
      <c r="D1098" s="77">
        <v>0.102425974</v>
      </c>
      <c r="E1098" s="77">
        <v>0</v>
      </c>
      <c r="F1098" s="77">
        <v>0.10204970200000001</v>
      </c>
      <c r="G1098" s="77">
        <v>4.0232542500000003E-2</v>
      </c>
      <c r="H1098" s="77">
        <v>4.6889605000000001E-2</v>
      </c>
      <c r="I1098" s="77">
        <v>0</v>
      </c>
      <c r="J1098" s="77">
        <v>0</v>
      </c>
      <c r="K1098" s="77">
        <v>0</v>
      </c>
      <c r="L1098" s="77">
        <v>0</v>
      </c>
      <c r="M1098" s="77">
        <v>0</v>
      </c>
      <c r="N1098" s="77">
        <v>0</v>
      </c>
      <c r="O1098" s="77">
        <v>0</v>
      </c>
      <c r="P1098" s="77">
        <v>0</v>
      </c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7"/>
      <c r="AD1098" s="77"/>
      <c r="AE1098" s="77"/>
      <c r="AF1098" s="77"/>
      <c r="AG1098" s="77"/>
    </row>
    <row r="1099" spans="1:33" x14ac:dyDescent="0.25">
      <c r="A1099" s="77" t="s">
        <v>8</v>
      </c>
      <c r="B1099" s="77">
        <v>0</v>
      </c>
      <c r="C1099" s="77">
        <v>0</v>
      </c>
      <c r="D1099" s="77">
        <v>0</v>
      </c>
      <c r="E1099" s="77">
        <v>0</v>
      </c>
      <c r="F1099" s="77">
        <v>0</v>
      </c>
      <c r="G1099" s="77">
        <v>0</v>
      </c>
      <c r="H1099" s="77">
        <v>0</v>
      </c>
      <c r="I1099" s="77">
        <v>0</v>
      </c>
      <c r="J1099" s="77">
        <v>0</v>
      </c>
      <c r="K1099" s="77">
        <v>0</v>
      </c>
      <c r="L1099" s="77">
        <v>0</v>
      </c>
      <c r="M1099" s="77">
        <v>0</v>
      </c>
      <c r="N1099" s="77">
        <v>0</v>
      </c>
      <c r="O1099" s="77">
        <v>0</v>
      </c>
      <c r="P1099" s="77">
        <v>0</v>
      </c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7"/>
      <c r="AD1099" s="77"/>
      <c r="AE1099" s="77"/>
      <c r="AF1099" s="77"/>
      <c r="AG1099" s="77"/>
    </row>
    <row r="1100" spans="1:33" x14ac:dyDescent="0.25">
      <c r="A1100" s="77" t="s">
        <v>9</v>
      </c>
      <c r="B1100" s="77">
        <v>0</v>
      </c>
      <c r="C1100" s="77">
        <v>0</v>
      </c>
      <c r="D1100" s="77">
        <v>0</v>
      </c>
      <c r="E1100" s="77">
        <v>0</v>
      </c>
      <c r="F1100" s="77">
        <v>0</v>
      </c>
      <c r="G1100" s="77">
        <v>0</v>
      </c>
      <c r="H1100" s="77">
        <v>0</v>
      </c>
      <c r="I1100" s="77">
        <v>0</v>
      </c>
      <c r="J1100" s="77">
        <v>0</v>
      </c>
      <c r="K1100" s="77">
        <v>0</v>
      </c>
      <c r="L1100" s="77">
        <v>0</v>
      </c>
      <c r="M1100" s="77">
        <v>0</v>
      </c>
      <c r="N1100" s="77">
        <v>0</v>
      </c>
      <c r="O1100" s="77">
        <v>0</v>
      </c>
      <c r="P1100" s="77">
        <v>0</v>
      </c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7"/>
      <c r="AD1100" s="77"/>
      <c r="AE1100" s="77"/>
      <c r="AF1100" s="77"/>
      <c r="AG1100" s="77"/>
    </row>
    <row r="1101" spans="1:33" x14ac:dyDescent="0.25">
      <c r="A1101" s="77" t="s">
        <v>10</v>
      </c>
      <c r="B1101" s="77">
        <v>77.192799699999995</v>
      </c>
      <c r="C1101" s="77">
        <v>0</v>
      </c>
      <c r="D1101" s="77">
        <v>77.192799699999995</v>
      </c>
      <c r="E1101" s="77">
        <v>0</v>
      </c>
      <c r="F1101" s="77">
        <v>-1.2999999999999999E-2</v>
      </c>
      <c r="G1101" s="77">
        <v>0</v>
      </c>
      <c r="H1101" s="77">
        <v>0</v>
      </c>
      <c r="I1101" s="77">
        <v>0</v>
      </c>
      <c r="J1101" s="77">
        <v>0</v>
      </c>
      <c r="K1101" s="77">
        <v>52.0496701</v>
      </c>
      <c r="L1101" s="77">
        <v>25.1555483</v>
      </c>
      <c r="M1101" s="77">
        <v>5.8132400000000003E-4</v>
      </c>
      <c r="N1101" s="77">
        <v>0</v>
      </c>
      <c r="O1101" s="77">
        <v>0</v>
      </c>
      <c r="P1101" s="77">
        <v>0</v>
      </c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7"/>
      <c r="AD1101" s="77"/>
      <c r="AE1101" s="77"/>
      <c r="AF1101" s="77"/>
      <c r="AG1101" s="77"/>
    </row>
    <row r="1102" spans="1:33" x14ac:dyDescent="0.25">
      <c r="A1102" s="77" t="s">
        <v>11</v>
      </c>
      <c r="B1102" s="77">
        <v>0.85113514300000004</v>
      </c>
      <c r="C1102" s="77">
        <v>0</v>
      </c>
      <c r="D1102" s="77">
        <v>0.85113514300000004</v>
      </c>
      <c r="E1102" s="77">
        <v>0.39766295600000001</v>
      </c>
      <c r="F1102" s="77">
        <v>5.9408854800000001E-2</v>
      </c>
      <c r="G1102" s="77">
        <v>0.37304613800000003</v>
      </c>
      <c r="H1102" s="77">
        <v>2.0803955400000001E-2</v>
      </c>
      <c r="I1102" s="77">
        <v>0</v>
      </c>
      <c r="J1102" s="77">
        <v>0</v>
      </c>
      <c r="K1102" s="77">
        <v>0</v>
      </c>
      <c r="L1102" s="77">
        <v>0</v>
      </c>
      <c r="M1102" s="77">
        <v>2.13239468E-4</v>
      </c>
      <c r="N1102" s="77">
        <v>0</v>
      </c>
      <c r="O1102" s="77">
        <v>0</v>
      </c>
      <c r="P1102" s="77">
        <v>0</v>
      </c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7"/>
      <c r="AD1102" s="77"/>
      <c r="AE1102" s="77"/>
      <c r="AF1102" s="77"/>
      <c r="AG1102" s="77"/>
    </row>
    <row r="1103" spans="1:33" x14ac:dyDescent="0.25">
      <c r="A1103" s="77" t="s">
        <v>12</v>
      </c>
      <c r="B1103" s="77">
        <v>55.081992399999997</v>
      </c>
      <c r="C1103" s="77">
        <v>28.738429400000001</v>
      </c>
      <c r="D1103" s="77">
        <v>26.343563</v>
      </c>
      <c r="E1103" s="77">
        <v>36.667440399999997</v>
      </c>
      <c r="F1103" s="77">
        <v>0.74681704500000001</v>
      </c>
      <c r="G1103" s="77">
        <v>7.9739188199999997</v>
      </c>
      <c r="H1103" s="77">
        <v>0.24964746500000001</v>
      </c>
      <c r="I1103" s="77">
        <v>0</v>
      </c>
      <c r="J1103" s="77">
        <v>0</v>
      </c>
      <c r="K1103" s="77">
        <v>6.4507956999999996</v>
      </c>
      <c r="L1103" s="77">
        <v>2.9872541899999998</v>
      </c>
      <c r="M1103" s="77">
        <v>6.1188245099999998E-3</v>
      </c>
      <c r="N1103" s="77">
        <v>0</v>
      </c>
      <c r="O1103" s="77">
        <v>0</v>
      </c>
      <c r="P1103" s="77">
        <v>0</v>
      </c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7"/>
      <c r="AD1103" s="77"/>
      <c r="AE1103" s="77"/>
      <c r="AF1103" s="77"/>
      <c r="AG1103" s="77"/>
    </row>
    <row r="1104" spans="1:33" x14ac:dyDescent="0.25">
      <c r="A1104" s="77" t="s">
        <v>13</v>
      </c>
      <c r="B1104" s="77">
        <v>106.023554</v>
      </c>
      <c r="C1104" s="77">
        <v>0</v>
      </c>
      <c r="D1104" s="77">
        <v>106.023554</v>
      </c>
      <c r="E1104" s="77">
        <v>77.323503900000006</v>
      </c>
      <c r="F1104" s="77">
        <v>8.3569586099999995</v>
      </c>
      <c r="G1104" s="77">
        <v>0</v>
      </c>
      <c r="H1104" s="77">
        <v>0</v>
      </c>
      <c r="I1104" s="77">
        <v>0</v>
      </c>
      <c r="J1104" s="77">
        <v>0</v>
      </c>
      <c r="K1104" s="77">
        <v>15.9455045</v>
      </c>
      <c r="L1104" s="77">
        <v>4.3941042299999999</v>
      </c>
      <c r="M1104" s="77">
        <v>3.483E-3</v>
      </c>
      <c r="N1104" s="77">
        <v>0</v>
      </c>
      <c r="O1104" s="77">
        <v>0</v>
      </c>
      <c r="P1104" s="77">
        <v>0</v>
      </c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7"/>
      <c r="AD1104" s="77"/>
      <c r="AE1104" s="77"/>
      <c r="AF1104" s="77"/>
      <c r="AG1104" s="77"/>
    </row>
    <row r="1105" spans="1:33" x14ac:dyDescent="0.25">
      <c r="A1105" s="77" t="s">
        <v>14</v>
      </c>
      <c r="B1105" s="77">
        <v>41.241123999999999</v>
      </c>
      <c r="C1105" s="77">
        <v>0</v>
      </c>
      <c r="D1105" s="77">
        <v>41.241123999999999</v>
      </c>
      <c r="E1105" s="77">
        <v>8.4953655099999992</v>
      </c>
      <c r="F1105" s="77">
        <v>0.63301001499999998</v>
      </c>
      <c r="G1105" s="77">
        <v>14.3073668</v>
      </c>
      <c r="H1105" s="77">
        <v>6.4623166100000004E-2</v>
      </c>
      <c r="I1105" s="105">
        <v>0</v>
      </c>
      <c r="J1105" s="77">
        <v>0</v>
      </c>
      <c r="K1105" s="77">
        <v>7.5963247599999999</v>
      </c>
      <c r="L1105" s="77">
        <v>10.1345736</v>
      </c>
      <c r="M1105" s="77">
        <v>9.8602464700000003E-3</v>
      </c>
      <c r="N1105" s="77">
        <v>0</v>
      </c>
      <c r="O1105" s="77">
        <v>0</v>
      </c>
      <c r="P1105" s="77">
        <v>0</v>
      </c>
      <c r="R1105" s="77"/>
      <c r="S1105" s="77"/>
      <c r="T1105" s="77"/>
      <c r="U1105" s="77"/>
      <c r="V1105" s="77"/>
      <c r="W1105" s="77"/>
      <c r="X1105" s="77"/>
      <c r="Y1105" s="77"/>
      <c r="Z1105" s="105"/>
      <c r="AA1105" s="77"/>
      <c r="AB1105" s="77"/>
      <c r="AC1105" s="77"/>
      <c r="AD1105" s="77"/>
      <c r="AE1105" s="77"/>
      <c r="AF1105" s="77"/>
      <c r="AG1105" s="77"/>
    </row>
    <row r="1106" spans="1:33" x14ac:dyDescent="0.25">
      <c r="A1106" s="77" t="s">
        <v>472</v>
      </c>
      <c r="B1106" s="77"/>
      <c r="C1106" s="77"/>
      <c r="D1106" s="77"/>
      <c r="E1106" s="77"/>
      <c r="F1106" s="77"/>
      <c r="G1106" s="77"/>
      <c r="H1106" s="77"/>
      <c r="I1106" s="77"/>
      <c r="J1106" s="77"/>
      <c r="K1106" s="77"/>
      <c r="L1106" s="77"/>
      <c r="M1106" s="77"/>
      <c r="N1106" s="77"/>
      <c r="O1106" s="77"/>
      <c r="P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7"/>
      <c r="AD1106" s="77"/>
      <c r="AE1106" s="77"/>
      <c r="AF1106" s="77"/>
      <c r="AG1106" s="77"/>
    </row>
    <row r="1107" spans="1:33" x14ac:dyDescent="0.25">
      <c r="A1107" s="77" t="s">
        <v>360</v>
      </c>
      <c r="B1107" s="77" t="s">
        <v>18</v>
      </c>
      <c r="C1107" s="77" t="s">
        <v>19</v>
      </c>
      <c r="D1107" s="77" t="s">
        <v>20</v>
      </c>
      <c r="E1107" s="77" t="s">
        <v>21</v>
      </c>
      <c r="F1107" s="77" t="s">
        <v>22</v>
      </c>
      <c r="G1107" s="77" t="s">
        <v>23</v>
      </c>
      <c r="H1107" s="77" t="s">
        <v>361</v>
      </c>
      <c r="I1107" s="77" t="s">
        <v>25</v>
      </c>
      <c r="J1107" s="77" t="s">
        <v>362</v>
      </c>
      <c r="K1107" s="77" t="s">
        <v>5</v>
      </c>
      <c r="L1107" s="77" t="s">
        <v>6</v>
      </c>
      <c r="M1107" s="77" t="s">
        <v>7</v>
      </c>
      <c r="N1107" s="77" t="s">
        <v>8</v>
      </c>
      <c r="O1107" s="77" t="s">
        <v>9</v>
      </c>
      <c r="P1107" s="77" t="s">
        <v>363</v>
      </c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7"/>
      <c r="AD1107" s="77"/>
      <c r="AE1107" s="77"/>
      <c r="AF1107" s="77"/>
      <c r="AG1107" s="77"/>
    </row>
    <row r="1108" spans="1:33" x14ac:dyDescent="0.25">
      <c r="A1108" s="77" t="s">
        <v>364</v>
      </c>
      <c r="B1108" s="77" t="s">
        <v>370</v>
      </c>
      <c r="C1108" s="77" t="s">
        <v>370</v>
      </c>
      <c r="D1108" s="77" t="s">
        <v>370</v>
      </c>
      <c r="E1108" s="77" t="s">
        <v>370</v>
      </c>
      <c r="F1108" s="77" t="s">
        <v>370</v>
      </c>
      <c r="G1108" s="77" t="s">
        <v>370</v>
      </c>
      <c r="H1108" s="77" t="s">
        <v>370</v>
      </c>
      <c r="I1108" s="77" t="s">
        <v>370</v>
      </c>
      <c r="J1108" s="77" t="s">
        <v>370</v>
      </c>
      <c r="K1108" s="77" t="s">
        <v>370</v>
      </c>
      <c r="L1108" s="77" t="s">
        <v>370</v>
      </c>
      <c r="M1108" s="77" t="s">
        <v>370</v>
      </c>
      <c r="N1108" s="77" t="s">
        <v>370</v>
      </c>
      <c r="O1108" s="77" t="s">
        <v>370</v>
      </c>
      <c r="P1108" s="77" t="s">
        <v>370</v>
      </c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7"/>
      <c r="AD1108" s="77"/>
      <c r="AE1108" s="77"/>
      <c r="AF1108" s="77"/>
      <c r="AG1108" s="77"/>
    </row>
    <row r="1109" spans="1:33" x14ac:dyDescent="0.25">
      <c r="A1109" s="77" t="s">
        <v>1</v>
      </c>
      <c r="B1109" s="77">
        <v>0</v>
      </c>
      <c r="C1109" s="77">
        <v>0</v>
      </c>
      <c r="D1109" s="77">
        <v>0</v>
      </c>
      <c r="E1109" s="77">
        <v>0</v>
      </c>
      <c r="F1109" s="77">
        <v>0</v>
      </c>
      <c r="G1109" s="77">
        <v>0</v>
      </c>
      <c r="H1109" s="77">
        <v>0</v>
      </c>
      <c r="I1109" s="77">
        <v>0</v>
      </c>
      <c r="J1109" s="77">
        <v>0</v>
      </c>
      <c r="K1109" s="77">
        <v>0</v>
      </c>
      <c r="L1109" s="77">
        <v>0</v>
      </c>
      <c r="M1109" s="77">
        <v>0</v>
      </c>
      <c r="N1109" s="77">
        <v>0</v>
      </c>
      <c r="O1109" s="77">
        <v>0</v>
      </c>
      <c r="P1109" s="77">
        <v>0</v>
      </c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7"/>
      <c r="AD1109" s="77"/>
      <c r="AE1109" s="77"/>
      <c r="AF1109" s="77"/>
      <c r="AG1109" s="77"/>
    </row>
    <row r="1110" spans="1:33" x14ac:dyDescent="0.25">
      <c r="A1110" s="77" t="s">
        <v>2</v>
      </c>
      <c r="B1110" s="77">
        <v>4.8263879100000002</v>
      </c>
      <c r="C1110" s="77">
        <v>0</v>
      </c>
      <c r="D1110" s="77">
        <v>4.8263879100000002</v>
      </c>
      <c r="E1110" s="77">
        <v>0</v>
      </c>
      <c r="F1110" s="77">
        <v>0</v>
      </c>
      <c r="G1110" s="77">
        <v>0</v>
      </c>
      <c r="H1110" s="77">
        <v>0</v>
      </c>
      <c r="I1110" s="77">
        <v>0</v>
      </c>
      <c r="J1110" s="77">
        <v>0</v>
      </c>
      <c r="K1110" s="77">
        <v>3.29877917</v>
      </c>
      <c r="L1110" s="77">
        <v>1.52760874</v>
      </c>
      <c r="M1110" s="77">
        <v>0</v>
      </c>
      <c r="N1110" s="77">
        <v>0</v>
      </c>
      <c r="O1110" s="77">
        <v>0</v>
      </c>
      <c r="P1110" s="77">
        <v>0</v>
      </c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7"/>
      <c r="AD1110" s="77"/>
      <c r="AE1110" s="77"/>
      <c r="AF1110" s="77"/>
      <c r="AG1110" s="77"/>
    </row>
    <row r="1111" spans="1:33" x14ac:dyDescent="0.25">
      <c r="A1111" s="77" t="s">
        <v>3</v>
      </c>
      <c r="B1111" s="77">
        <v>1.3173186400000001</v>
      </c>
      <c r="C1111" s="77">
        <v>0</v>
      </c>
      <c r="D1111" s="77">
        <v>1.3173186400000001</v>
      </c>
      <c r="E1111" s="77">
        <v>1.1395166999999999E-2</v>
      </c>
      <c r="F1111" s="77">
        <v>2.5273556799999998E-4</v>
      </c>
      <c r="G1111" s="77">
        <v>1.2415756200000001E-3</v>
      </c>
      <c r="H1111" s="77">
        <v>0</v>
      </c>
      <c r="I1111" s="77">
        <v>0</v>
      </c>
      <c r="J1111" s="77">
        <v>0</v>
      </c>
      <c r="K1111" s="77">
        <v>0.89156193800000005</v>
      </c>
      <c r="L1111" s="77">
        <v>0.41286722799999998</v>
      </c>
      <c r="M1111" s="77">
        <v>0</v>
      </c>
      <c r="N1111" s="77">
        <v>0</v>
      </c>
      <c r="O1111" s="77">
        <v>0</v>
      </c>
      <c r="P1111" s="77">
        <v>0</v>
      </c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7"/>
      <c r="AD1111" s="77"/>
      <c r="AE1111" s="77"/>
      <c r="AF1111" s="77"/>
      <c r="AG1111" s="77"/>
    </row>
    <row r="1112" spans="1:33" x14ac:dyDescent="0.25">
      <c r="A1112" s="77" t="s">
        <v>4</v>
      </c>
      <c r="B1112" s="77">
        <v>3.0640865100000001</v>
      </c>
      <c r="C1112" s="77">
        <v>0</v>
      </c>
      <c r="D1112" s="77">
        <v>3.0640865100000001</v>
      </c>
      <c r="E1112" s="77">
        <v>1.4315866399999999</v>
      </c>
      <c r="F1112" s="77">
        <v>0.21387187699999999</v>
      </c>
      <c r="G1112" s="77">
        <v>1.3429660999999999</v>
      </c>
      <c r="H1112" s="77">
        <v>7.4894239400000007E-2</v>
      </c>
      <c r="I1112" s="77">
        <v>0</v>
      </c>
      <c r="J1112" s="77">
        <v>0</v>
      </c>
      <c r="K1112" s="77">
        <v>0</v>
      </c>
      <c r="L1112" s="77">
        <v>0</v>
      </c>
      <c r="M1112" s="77">
        <v>7.67662084E-4</v>
      </c>
      <c r="N1112" s="77">
        <v>0</v>
      </c>
      <c r="O1112" s="77">
        <v>0</v>
      </c>
      <c r="P1112" s="77">
        <v>0</v>
      </c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7"/>
      <c r="AD1112" s="77"/>
      <c r="AE1112" s="77"/>
      <c r="AF1112" s="77"/>
      <c r="AG1112" s="77"/>
    </row>
    <row r="1113" spans="1:33" x14ac:dyDescent="0.25">
      <c r="A1113" s="77" t="s">
        <v>5</v>
      </c>
      <c r="B1113" s="77">
        <v>3.29877917</v>
      </c>
      <c r="C1113" s="77">
        <v>4.1903411100000003</v>
      </c>
      <c r="D1113" s="77">
        <v>-0.89156193800000005</v>
      </c>
      <c r="E1113" s="77">
        <v>2.2614853699999999</v>
      </c>
      <c r="F1113" s="77">
        <v>0.284582797</v>
      </c>
      <c r="G1113" s="77">
        <v>0.73393136599999997</v>
      </c>
      <c r="H1113" s="77">
        <v>1.87796348E-2</v>
      </c>
      <c r="I1113" s="77">
        <v>0</v>
      </c>
      <c r="J1113" s="77">
        <v>0</v>
      </c>
      <c r="K1113" s="77">
        <v>0</v>
      </c>
      <c r="L1113" s="77">
        <v>0</v>
      </c>
      <c r="M1113" s="77">
        <v>0</v>
      </c>
      <c r="N1113" s="77">
        <v>0</v>
      </c>
      <c r="O1113" s="77">
        <v>0</v>
      </c>
      <c r="P1113" s="77">
        <v>0</v>
      </c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7"/>
      <c r="AD1113" s="77"/>
      <c r="AE1113" s="77"/>
      <c r="AF1113" s="77"/>
      <c r="AG1113" s="77"/>
    </row>
    <row r="1114" spans="1:33" x14ac:dyDescent="0.25">
      <c r="A1114" s="77" t="s">
        <v>6</v>
      </c>
      <c r="B1114" s="77">
        <v>1.52760874</v>
      </c>
      <c r="C1114" s="77">
        <v>1.94047597</v>
      </c>
      <c r="D1114" s="77">
        <v>-0.41286722799999998</v>
      </c>
      <c r="E1114" s="77">
        <v>1.1986816899999999</v>
      </c>
      <c r="F1114" s="77">
        <v>8.9551763899999998E-2</v>
      </c>
      <c r="G1114" s="77">
        <v>0.22733162500000001</v>
      </c>
      <c r="H1114" s="77">
        <v>1.20436603E-2</v>
      </c>
      <c r="I1114" s="77">
        <v>0</v>
      </c>
      <c r="J1114" s="77">
        <v>0</v>
      </c>
      <c r="K1114" s="77">
        <v>0</v>
      </c>
      <c r="L1114" s="77">
        <v>0</v>
      </c>
      <c r="M1114" s="77">
        <v>0</v>
      </c>
      <c r="N1114" s="77">
        <v>0</v>
      </c>
      <c r="O1114" s="77">
        <v>0</v>
      </c>
      <c r="P1114" s="77">
        <v>0</v>
      </c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7"/>
      <c r="AD1114" s="77"/>
      <c r="AE1114" s="77"/>
      <c r="AF1114" s="77"/>
      <c r="AG1114" s="77"/>
    </row>
    <row r="1115" spans="1:33" x14ac:dyDescent="0.25">
      <c r="A1115" s="77" t="s">
        <v>7</v>
      </c>
      <c r="B1115" s="77">
        <v>1.9785222700000001E-3</v>
      </c>
      <c r="C1115" s="77">
        <v>7.67662084E-4</v>
      </c>
      <c r="D1115" s="77">
        <v>1.2108601899999999E-3</v>
      </c>
      <c r="E1115" s="77">
        <v>0</v>
      </c>
      <c r="F1115" s="77">
        <v>1.0450801499999999E-3</v>
      </c>
      <c r="G1115" s="77">
        <v>4.9044288199999995E-4</v>
      </c>
      <c r="H1115" s="77">
        <v>4.4299924400000002E-4</v>
      </c>
      <c r="I1115" s="77">
        <v>0</v>
      </c>
      <c r="J1115" s="77">
        <v>0</v>
      </c>
      <c r="K1115" s="77">
        <v>0</v>
      </c>
      <c r="L1115" s="77">
        <v>0</v>
      </c>
      <c r="M1115" s="77">
        <v>0</v>
      </c>
      <c r="N1115" s="77">
        <v>0</v>
      </c>
      <c r="O1115" s="77">
        <v>0</v>
      </c>
      <c r="P1115" s="77">
        <v>0</v>
      </c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7"/>
      <c r="AD1115" s="77"/>
      <c r="AE1115" s="77"/>
      <c r="AF1115" s="77"/>
      <c r="AG1115" s="77"/>
    </row>
    <row r="1116" spans="1:33" x14ac:dyDescent="0.25">
      <c r="A1116" s="77" t="s">
        <v>8</v>
      </c>
      <c r="B1116" s="77">
        <v>0</v>
      </c>
      <c r="C1116" s="77">
        <v>0</v>
      </c>
      <c r="D1116" s="77">
        <v>0</v>
      </c>
      <c r="E1116" s="77">
        <v>0</v>
      </c>
      <c r="F1116" s="77">
        <v>0</v>
      </c>
      <c r="G1116" s="77">
        <v>0</v>
      </c>
      <c r="H1116" s="77">
        <v>0</v>
      </c>
      <c r="I1116" s="77">
        <v>0</v>
      </c>
      <c r="J1116" s="77">
        <v>0</v>
      </c>
      <c r="K1116" s="77">
        <v>0</v>
      </c>
      <c r="L1116" s="77">
        <v>0</v>
      </c>
      <c r="M1116" s="77">
        <v>0</v>
      </c>
      <c r="N1116" s="77">
        <v>0</v>
      </c>
      <c r="O1116" s="77">
        <v>0</v>
      </c>
      <c r="P1116" s="77">
        <v>0</v>
      </c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7"/>
      <c r="AD1116" s="77"/>
      <c r="AE1116" s="77"/>
      <c r="AF1116" s="77"/>
      <c r="AG1116" s="77"/>
    </row>
    <row r="1117" spans="1:33" x14ac:dyDescent="0.25">
      <c r="A1117" s="77" t="s">
        <v>9</v>
      </c>
      <c r="B1117" s="77">
        <v>0</v>
      </c>
      <c r="C1117" s="77">
        <v>0</v>
      </c>
      <c r="D1117" s="77">
        <v>0</v>
      </c>
      <c r="E1117" s="77">
        <v>0</v>
      </c>
      <c r="F1117" s="77">
        <v>0</v>
      </c>
      <c r="G1117" s="77">
        <v>0</v>
      </c>
      <c r="H1117" s="77">
        <v>0</v>
      </c>
      <c r="I1117" s="77">
        <v>0</v>
      </c>
      <c r="J1117" s="77">
        <v>0</v>
      </c>
      <c r="K1117" s="77">
        <v>0</v>
      </c>
      <c r="L1117" s="77">
        <v>0</v>
      </c>
      <c r="M1117" s="77">
        <v>0</v>
      </c>
      <c r="N1117" s="77">
        <v>0</v>
      </c>
      <c r="O1117" s="77">
        <v>0</v>
      </c>
      <c r="P1117" s="77">
        <v>0</v>
      </c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7"/>
      <c r="AD1117" s="77"/>
      <c r="AE1117" s="77"/>
      <c r="AF1117" s="77"/>
      <c r="AG1117" s="77"/>
    </row>
    <row r="1118" spans="1:33" x14ac:dyDescent="0.25">
      <c r="A1118" s="77" t="s">
        <v>10</v>
      </c>
      <c r="B1118" s="77">
        <v>0</v>
      </c>
      <c r="C1118" s="77">
        <v>0</v>
      </c>
      <c r="D1118" s="77">
        <v>0</v>
      </c>
      <c r="E1118" s="77">
        <v>0</v>
      </c>
      <c r="F1118" s="77">
        <v>0</v>
      </c>
      <c r="G1118" s="77">
        <v>0</v>
      </c>
      <c r="H1118" s="77">
        <v>0</v>
      </c>
      <c r="I1118" s="77">
        <v>0</v>
      </c>
      <c r="J1118" s="77">
        <v>0</v>
      </c>
      <c r="K1118" s="77">
        <v>0</v>
      </c>
      <c r="L1118" s="77">
        <v>0</v>
      </c>
      <c r="M1118" s="77">
        <v>0</v>
      </c>
      <c r="N1118" s="77">
        <v>0</v>
      </c>
      <c r="O1118" s="77">
        <v>0</v>
      </c>
      <c r="P1118" s="77">
        <v>0</v>
      </c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7"/>
      <c r="AD1118" s="77"/>
      <c r="AE1118" s="77"/>
      <c r="AF1118" s="77"/>
      <c r="AG1118" s="77"/>
    </row>
    <row r="1119" spans="1:33" x14ac:dyDescent="0.25">
      <c r="A1119" s="77" t="s">
        <v>11</v>
      </c>
      <c r="B1119" s="77">
        <v>0</v>
      </c>
      <c r="C1119" s="77">
        <v>0</v>
      </c>
      <c r="D1119" s="77">
        <v>0</v>
      </c>
      <c r="E1119" s="77">
        <v>0</v>
      </c>
      <c r="F1119" s="77">
        <v>0</v>
      </c>
      <c r="G1119" s="77">
        <v>0</v>
      </c>
      <c r="H1119" s="77">
        <v>0</v>
      </c>
      <c r="I1119" s="77">
        <v>0</v>
      </c>
      <c r="J1119" s="77">
        <v>0</v>
      </c>
      <c r="K1119" s="77">
        <v>0</v>
      </c>
      <c r="L1119" s="77">
        <v>0</v>
      </c>
      <c r="M1119" s="77">
        <v>0</v>
      </c>
      <c r="N1119" s="77">
        <v>0</v>
      </c>
      <c r="O1119" s="77">
        <v>0</v>
      </c>
      <c r="P1119" s="77">
        <v>0</v>
      </c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7"/>
      <c r="AD1119" s="77"/>
      <c r="AE1119" s="77"/>
      <c r="AF1119" s="77"/>
      <c r="AG1119" s="77"/>
    </row>
    <row r="1120" spans="1:33" x14ac:dyDescent="0.25">
      <c r="A1120" s="77" t="s">
        <v>12</v>
      </c>
      <c r="B1120" s="77">
        <v>0</v>
      </c>
      <c r="C1120" s="77">
        <v>0</v>
      </c>
      <c r="D1120" s="77">
        <v>0</v>
      </c>
      <c r="E1120" s="77">
        <v>0</v>
      </c>
      <c r="F1120" s="77">
        <v>0</v>
      </c>
      <c r="G1120" s="77">
        <v>0</v>
      </c>
      <c r="H1120" s="77">
        <v>0</v>
      </c>
      <c r="I1120" s="77">
        <v>0</v>
      </c>
      <c r="J1120" s="77">
        <v>0</v>
      </c>
      <c r="K1120" s="77">
        <v>0</v>
      </c>
      <c r="L1120" s="77">
        <v>0</v>
      </c>
      <c r="M1120" s="77">
        <v>0</v>
      </c>
      <c r="N1120" s="77">
        <v>0</v>
      </c>
      <c r="O1120" s="77">
        <v>0</v>
      </c>
      <c r="P1120" s="77">
        <v>0</v>
      </c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7"/>
      <c r="AD1120" s="77"/>
      <c r="AE1120" s="77"/>
      <c r="AF1120" s="77"/>
      <c r="AG1120" s="77"/>
    </row>
    <row r="1121" spans="1:33" x14ac:dyDescent="0.25">
      <c r="A1121" s="77" t="s">
        <v>13</v>
      </c>
      <c r="B1121" s="77">
        <v>0</v>
      </c>
      <c r="C1121" s="77">
        <v>0</v>
      </c>
      <c r="D1121" s="77">
        <v>0</v>
      </c>
      <c r="E1121" s="77">
        <v>0</v>
      </c>
      <c r="F1121" s="77">
        <v>0</v>
      </c>
      <c r="G1121" s="77">
        <v>0</v>
      </c>
      <c r="H1121" s="77">
        <v>0</v>
      </c>
      <c r="I1121" s="77">
        <v>0</v>
      </c>
      <c r="J1121" s="77">
        <v>0</v>
      </c>
      <c r="K1121" s="77">
        <v>0</v>
      </c>
      <c r="L1121" s="77">
        <v>0</v>
      </c>
      <c r="M1121" s="77">
        <v>0</v>
      </c>
      <c r="N1121" s="77">
        <v>0</v>
      </c>
      <c r="O1121" s="77">
        <v>0</v>
      </c>
      <c r="P1121" s="77">
        <v>0</v>
      </c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7"/>
      <c r="AD1121" s="77"/>
      <c r="AE1121" s="77"/>
      <c r="AF1121" s="77"/>
      <c r="AG1121" s="77"/>
    </row>
    <row r="1122" spans="1:33" x14ac:dyDescent="0.25">
      <c r="A1122" s="77" t="s">
        <v>14</v>
      </c>
      <c r="B1122" s="77">
        <v>0</v>
      </c>
      <c r="C1122" s="77">
        <v>0</v>
      </c>
      <c r="D1122" s="77">
        <v>0</v>
      </c>
      <c r="E1122" s="77">
        <v>0</v>
      </c>
      <c r="F1122" s="77">
        <v>0</v>
      </c>
      <c r="G1122" s="77">
        <v>0</v>
      </c>
      <c r="H1122" s="77">
        <v>0</v>
      </c>
      <c r="I1122" s="77">
        <v>0</v>
      </c>
      <c r="J1122" s="77">
        <v>0</v>
      </c>
      <c r="K1122" s="77">
        <v>0</v>
      </c>
      <c r="L1122" s="77">
        <v>0</v>
      </c>
      <c r="M1122" s="77">
        <v>0</v>
      </c>
      <c r="N1122" s="77">
        <v>0</v>
      </c>
      <c r="O1122" s="77">
        <v>0</v>
      </c>
      <c r="P1122" s="77">
        <v>0</v>
      </c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7"/>
      <c r="AD1122" s="77"/>
      <c r="AE1122" s="77"/>
      <c r="AF1122" s="77"/>
      <c r="AG1122" s="77"/>
    </row>
    <row r="1123" spans="1:33" x14ac:dyDescent="0.25">
      <c r="A1123" s="77" t="s">
        <v>473</v>
      </c>
      <c r="B1123" s="77"/>
      <c r="C1123" s="77"/>
      <c r="D1123" s="77"/>
      <c r="E1123" s="77"/>
      <c r="F1123" s="77"/>
      <c r="G1123" s="77"/>
      <c r="H1123" s="77"/>
      <c r="I1123" s="77"/>
      <c r="J1123" s="77"/>
      <c r="K1123" s="77"/>
      <c r="L1123" s="77"/>
      <c r="M1123" s="77"/>
      <c r="N1123" s="77"/>
      <c r="O1123" s="77"/>
      <c r="P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7"/>
      <c r="AD1123" s="77"/>
      <c r="AE1123" s="77"/>
      <c r="AF1123" s="77"/>
      <c r="AG1123" s="77"/>
    </row>
    <row r="1124" spans="1:33" x14ac:dyDescent="0.25">
      <c r="A1124" s="77" t="s">
        <v>360</v>
      </c>
      <c r="B1124" s="77" t="s">
        <v>18</v>
      </c>
      <c r="C1124" s="77" t="s">
        <v>19</v>
      </c>
      <c r="D1124" s="77" t="s">
        <v>20</v>
      </c>
      <c r="E1124" s="77" t="s">
        <v>21</v>
      </c>
      <c r="F1124" s="77" t="s">
        <v>22</v>
      </c>
      <c r="G1124" s="77" t="s">
        <v>23</v>
      </c>
      <c r="H1124" s="77" t="s">
        <v>361</v>
      </c>
      <c r="I1124" s="77" t="s">
        <v>25</v>
      </c>
      <c r="J1124" s="77" t="s">
        <v>362</v>
      </c>
      <c r="K1124" s="77" t="s">
        <v>5</v>
      </c>
      <c r="L1124" s="77" t="s">
        <v>6</v>
      </c>
      <c r="M1124" s="77" t="s">
        <v>7</v>
      </c>
      <c r="N1124" s="77" t="s">
        <v>8</v>
      </c>
      <c r="O1124" s="77" t="s">
        <v>9</v>
      </c>
      <c r="P1124" s="77" t="s">
        <v>363</v>
      </c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7"/>
      <c r="AD1124" s="77"/>
      <c r="AE1124" s="77"/>
      <c r="AF1124" s="77"/>
      <c r="AG1124" s="77"/>
    </row>
    <row r="1125" spans="1:33" x14ac:dyDescent="0.25">
      <c r="A1125" s="77" t="s">
        <v>364</v>
      </c>
      <c r="B1125" s="77" t="s">
        <v>365</v>
      </c>
      <c r="C1125" s="77" t="s">
        <v>365</v>
      </c>
      <c r="D1125" s="77" t="s">
        <v>365</v>
      </c>
      <c r="E1125" s="77" t="s">
        <v>365</v>
      </c>
      <c r="F1125" s="77" t="s">
        <v>365</v>
      </c>
      <c r="G1125" s="77" t="s">
        <v>365</v>
      </c>
      <c r="H1125" s="77" t="s">
        <v>365</v>
      </c>
      <c r="I1125" s="77" t="s">
        <v>365</v>
      </c>
      <c r="J1125" s="77" t="s">
        <v>365</v>
      </c>
      <c r="K1125" s="77" t="s">
        <v>365</v>
      </c>
      <c r="L1125" s="77" t="s">
        <v>365</v>
      </c>
      <c r="M1125" s="77" t="s">
        <v>365</v>
      </c>
      <c r="N1125" s="77" t="s">
        <v>365</v>
      </c>
      <c r="O1125" s="77" t="s">
        <v>365</v>
      </c>
      <c r="P1125" s="77" t="s">
        <v>365</v>
      </c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7"/>
      <c r="AD1125" s="77"/>
      <c r="AE1125" s="77"/>
      <c r="AF1125" s="77"/>
      <c r="AG1125" s="77"/>
    </row>
    <row r="1126" spans="1:33" x14ac:dyDescent="0.25">
      <c r="A1126" s="77" t="s">
        <v>1</v>
      </c>
      <c r="B1126" s="77">
        <v>0</v>
      </c>
      <c r="C1126" s="77">
        <v>0</v>
      </c>
      <c r="D1126" s="77">
        <v>0</v>
      </c>
      <c r="E1126" s="77">
        <v>0</v>
      </c>
      <c r="F1126" s="77">
        <v>0</v>
      </c>
      <c r="G1126" s="77">
        <v>0</v>
      </c>
      <c r="H1126" s="77">
        <v>0</v>
      </c>
      <c r="I1126" s="77">
        <v>0</v>
      </c>
      <c r="J1126" s="77">
        <v>0</v>
      </c>
      <c r="K1126" s="77">
        <v>0</v>
      </c>
      <c r="L1126" s="77">
        <v>0</v>
      </c>
      <c r="M1126" s="77">
        <v>0</v>
      </c>
      <c r="N1126" s="77">
        <v>0</v>
      </c>
      <c r="O1126" s="77">
        <v>0</v>
      </c>
      <c r="P1126" s="77">
        <v>0</v>
      </c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7"/>
      <c r="AD1126" s="77"/>
      <c r="AE1126" s="77"/>
      <c r="AF1126" s="77"/>
      <c r="AG1126" s="77"/>
    </row>
    <row r="1127" spans="1:33" x14ac:dyDescent="0.25">
      <c r="A1127" s="77" t="s">
        <v>2</v>
      </c>
      <c r="B1127" s="77">
        <v>25.595874999999999</v>
      </c>
      <c r="C1127" s="77">
        <v>0</v>
      </c>
      <c r="D1127" s="77">
        <v>25.595874999999999</v>
      </c>
      <c r="E1127" s="77">
        <v>0</v>
      </c>
      <c r="F1127" s="77">
        <v>0</v>
      </c>
      <c r="G1127" s="77">
        <v>0</v>
      </c>
      <c r="H1127" s="77">
        <v>0</v>
      </c>
      <c r="I1127" s="77">
        <v>0</v>
      </c>
      <c r="J1127" s="77">
        <v>0</v>
      </c>
      <c r="K1127" s="77">
        <v>25.595874999999999</v>
      </c>
      <c r="L1127" s="77">
        <v>0</v>
      </c>
      <c r="M1127" s="77">
        <v>0</v>
      </c>
      <c r="N1127" s="77">
        <v>0</v>
      </c>
      <c r="O1127" s="77">
        <v>0</v>
      </c>
      <c r="P1127" s="77">
        <v>0</v>
      </c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7"/>
      <c r="AD1127" s="77"/>
      <c r="AE1127" s="77"/>
      <c r="AF1127" s="77"/>
      <c r="AG1127" s="77"/>
    </row>
    <row r="1128" spans="1:33" x14ac:dyDescent="0.25">
      <c r="A1128" s="77" t="s">
        <v>3</v>
      </c>
      <c r="B1128" s="77">
        <v>65.144149600000006</v>
      </c>
      <c r="C1128" s="77">
        <v>0</v>
      </c>
      <c r="D1128" s="77">
        <v>65.144149600000006</v>
      </c>
      <c r="E1128" s="77">
        <v>0.56472583899999995</v>
      </c>
      <c r="F1128" s="77">
        <v>1.2548904200000001E-2</v>
      </c>
      <c r="G1128" s="77">
        <v>6.1174595300000002E-2</v>
      </c>
      <c r="H1128" s="77">
        <v>0</v>
      </c>
      <c r="I1128" s="77">
        <v>0</v>
      </c>
      <c r="J1128" s="77">
        <v>0</v>
      </c>
      <c r="K1128" s="77">
        <v>44.084072499999998</v>
      </c>
      <c r="L1128" s="77">
        <v>20.4216278</v>
      </c>
      <c r="M1128" s="77">
        <v>0</v>
      </c>
      <c r="N1128" s="77">
        <v>0</v>
      </c>
      <c r="O1128" s="77">
        <v>0</v>
      </c>
      <c r="P1128" s="77">
        <v>0</v>
      </c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7"/>
      <c r="AD1128" s="77"/>
      <c r="AE1128" s="77"/>
      <c r="AF1128" s="77"/>
      <c r="AG1128" s="77"/>
    </row>
    <row r="1129" spans="1:33" x14ac:dyDescent="0.25">
      <c r="A1129" s="77" t="s">
        <v>4</v>
      </c>
      <c r="B1129" s="77">
        <v>51.919008900000001</v>
      </c>
      <c r="C1129" s="77">
        <v>0</v>
      </c>
      <c r="D1129" s="77">
        <v>51.919008900000001</v>
      </c>
      <c r="E1129" s="77">
        <v>24.257440299999999</v>
      </c>
      <c r="F1129" s="77">
        <v>3.6239401400000002</v>
      </c>
      <c r="G1129" s="77">
        <v>22.755814399999998</v>
      </c>
      <c r="H1129" s="77">
        <v>1.2690412799999999</v>
      </c>
      <c r="I1129" s="77">
        <v>0</v>
      </c>
      <c r="J1129" s="77">
        <v>0</v>
      </c>
      <c r="K1129" s="77">
        <v>0</v>
      </c>
      <c r="L1129" s="77">
        <v>0</v>
      </c>
      <c r="M1129" s="77">
        <v>1.2772741400000001E-2</v>
      </c>
      <c r="N1129" s="77">
        <v>0</v>
      </c>
      <c r="O1129" s="77">
        <v>0</v>
      </c>
      <c r="P1129" s="77">
        <v>0</v>
      </c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7"/>
      <c r="AD1129" s="77"/>
      <c r="AE1129" s="77"/>
      <c r="AF1129" s="77"/>
      <c r="AG1129" s="77"/>
    </row>
    <row r="1130" spans="1:33" x14ac:dyDescent="0.25">
      <c r="A1130" s="77" t="s">
        <v>5</v>
      </c>
      <c r="B1130" s="77">
        <v>69.679947499999997</v>
      </c>
      <c r="C1130" s="77">
        <v>69.679947499999997</v>
      </c>
      <c r="D1130" s="105">
        <v>0</v>
      </c>
      <c r="E1130" s="77">
        <v>47.817271499999997</v>
      </c>
      <c r="F1130" s="77">
        <v>6.0187842700000003</v>
      </c>
      <c r="G1130" s="77">
        <v>15.4486495</v>
      </c>
      <c r="H1130" s="77">
        <v>0.39524221399999998</v>
      </c>
      <c r="I1130" s="77">
        <v>0</v>
      </c>
      <c r="J1130" s="77">
        <v>0</v>
      </c>
      <c r="K1130" s="77">
        <v>0</v>
      </c>
      <c r="L1130" s="77">
        <v>0</v>
      </c>
      <c r="M1130" s="77">
        <v>0</v>
      </c>
      <c r="N1130" s="77">
        <v>0</v>
      </c>
      <c r="O1130" s="77">
        <v>0</v>
      </c>
      <c r="P1130" s="77">
        <v>0</v>
      </c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7"/>
      <c r="AD1130" s="77"/>
      <c r="AE1130" s="77"/>
      <c r="AF1130" s="77"/>
      <c r="AG1130" s="77"/>
    </row>
    <row r="1131" spans="1:33" x14ac:dyDescent="0.25">
      <c r="A1131" s="77" t="s">
        <v>6</v>
      </c>
      <c r="B1131" s="77">
        <v>20.4216278</v>
      </c>
      <c r="C1131" s="77">
        <v>20.4216278</v>
      </c>
      <c r="D1131" s="77">
        <v>0</v>
      </c>
      <c r="E1131" s="77">
        <v>16.036278200000002</v>
      </c>
      <c r="F1131" s="77">
        <v>1.19813306</v>
      </c>
      <c r="G1131" s="77">
        <v>3.0262157599999999</v>
      </c>
      <c r="H1131" s="77">
        <v>0.161000793</v>
      </c>
      <c r="I1131" s="77">
        <v>0</v>
      </c>
      <c r="J1131" s="77">
        <v>0</v>
      </c>
      <c r="K1131" s="77">
        <v>0</v>
      </c>
      <c r="L1131" s="77">
        <v>0</v>
      </c>
      <c r="M1131" s="77">
        <v>0</v>
      </c>
      <c r="N1131" s="77">
        <v>0</v>
      </c>
      <c r="O1131" s="77">
        <v>0</v>
      </c>
      <c r="P1131" s="77">
        <v>0</v>
      </c>
      <c r="R1131" s="77"/>
      <c r="S1131" s="77"/>
      <c r="T1131" s="77"/>
      <c r="U1131" s="77"/>
      <c r="V1131" s="77"/>
      <c r="W1131" s="77"/>
      <c r="X1131" s="77"/>
      <c r="Y1131" s="77"/>
      <c r="Z1131" s="77"/>
      <c r="AA1131" s="77"/>
      <c r="AB1131" s="77"/>
      <c r="AC1131" s="77"/>
      <c r="AD1131" s="77"/>
      <c r="AE1131" s="77"/>
      <c r="AF1131" s="77"/>
      <c r="AG1131" s="77"/>
    </row>
    <row r="1132" spans="1:33" x14ac:dyDescent="0.25">
      <c r="A1132" s="77" t="s">
        <v>7</v>
      </c>
      <c r="B1132" s="77">
        <v>1.2772741400000001E-2</v>
      </c>
      <c r="C1132" s="77">
        <v>1.2772741400000001E-2</v>
      </c>
      <c r="D1132" s="77">
        <v>0</v>
      </c>
      <c r="E1132" s="77">
        <v>0</v>
      </c>
      <c r="F1132" s="77">
        <v>6.76486937E-3</v>
      </c>
      <c r="G1132" s="77">
        <v>3.1558676299999998E-3</v>
      </c>
      <c r="H1132" s="77">
        <v>2.8520043699999998E-3</v>
      </c>
      <c r="I1132" s="77">
        <v>0</v>
      </c>
      <c r="J1132" s="77">
        <v>0</v>
      </c>
      <c r="K1132" s="77">
        <v>0</v>
      </c>
      <c r="L1132" s="77">
        <v>0</v>
      </c>
      <c r="M1132" s="77">
        <v>0</v>
      </c>
      <c r="N1132" s="77">
        <v>0</v>
      </c>
      <c r="O1132" s="77">
        <v>0</v>
      </c>
      <c r="P1132" s="77">
        <v>0</v>
      </c>
      <c r="R1132" s="77"/>
      <c r="S1132" s="77"/>
      <c r="T1132" s="77"/>
      <c r="U1132" s="105"/>
      <c r="V1132" s="77"/>
      <c r="W1132" s="77"/>
      <c r="X1132" s="77"/>
      <c r="Y1132" s="77"/>
      <c r="Z1132" s="77"/>
      <c r="AA1132" s="77"/>
      <c r="AB1132" s="77"/>
      <c r="AC1132" s="77"/>
      <c r="AD1132" s="77"/>
      <c r="AE1132" s="77"/>
      <c r="AF1132" s="77"/>
      <c r="AG1132" s="77"/>
    </row>
    <row r="1133" spans="1:33" x14ac:dyDescent="0.25">
      <c r="A1133" s="77" t="s">
        <v>8</v>
      </c>
      <c r="B1133" s="77">
        <v>0</v>
      </c>
      <c r="C1133" s="77">
        <v>0</v>
      </c>
      <c r="D1133" s="77">
        <v>0</v>
      </c>
      <c r="E1133" s="77">
        <v>0</v>
      </c>
      <c r="F1133" s="77">
        <v>0</v>
      </c>
      <c r="G1133" s="77">
        <v>0</v>
      </c>
      <c r="H1133" s="77">
        <v>0</v>
      </c>
      <c r="I1133" s="77">
        <v>0</v>
      </c>
      <c r="J1133" s="77">
        <v>0</v>
      </c>
      <c r="K1133" s="77">
        <v>0</v>
      </c>
      <c r="L1133" s="77">
        <v>0</v>
      </c>
      <c r="M1133" s="77">
        <v>0</v>
      </c>
      <c r="N1133" s="77">
        <v>0</v>
      </c>
      <c r="O1133" s="77">
        <v>0</v>
      </c>
      <c r="P1133" s="77">
        <v>0</v>
      </c>
      <c r="R1133" s="77"/>
      <c r="S1133" s="77"/>
      <c r="T1133" s="77"/>
      <c r="U1133" s="77"/>
      <c r="V1133" s="77"/>
      <c r="W1133" s="77"/>
      <c r="X1133" s="77"/>
      <c r="Y1133" s="77"/>
      <c r="Z1133" s="77"/>
      <c r="AA1133" s="77"/>
      <c r="AB1133" s="77"/>
      <c r="AC1133" s="77"/>
      <c r="AD1133" s="77"/>
      <c r="AE1133" s="77"/>
      <c r="AF1133" s="77"/>
      <c r="AG1133" s="77"/>
    </row>
    <row r="1134" spans="1:33" x14ac:dyDescent="0.25">
      <c r="A1134" s="77" t="s">
        <v>9</v>
      </c>
      <c r="B1134" s="77">
        <v>0</v>
      </c>
      <c r="C1134" s="77">
        <v>0</v>
      </c>
      <c r="D1134" s="77">
        <v>0</v>
      </c>
      <c r="E1134" s="77">
        <v>0</v>
      </c>
      <c r="F1134" s="77">
        <v>0</v>
      </c>
      <c r="G1134" s="77">
        <v>0</v>
      </c>
      <c r="H1134" s="77">
        <v>0</v>
      </c>
      <c r="I1134" s="77">
        <v>0</v>
      </c>
      <c r="J1134" s="77">
        <v>0</v>
      </c>
      <c r="K1134" s="77">
        <v>0</v>
      </c>
      <c r="L1134" s="77">
        <v>0</v>
      </c>
      <c r="M1134" s="77">
        <v>0</v>
      </c>
      <c r="N1134" s="77">
        <v>0</v>
      </c>
      <c r="O1134" s="77">
        <v>0</v>
      </c>
      <c r="P1134" s="77">
        <v>0</v>
      </c>
      <c r="R1134" s="77"/>
      <c r="S1134" s="77"/>
      <c r="T1134" s="77"/>
      <c r="U1134" s="77"/>
      <c r="V1134" s="77"/>
      <c r="W1134" s="77"/>
      <c r="X1134" s="77"/>
      <c r="Y1134" s="77"/>
      <c r="Z1134" s="77"/>
      <c r="AA1134" s="77"/>
      <c r="AB1134" s="77"/>
      <c r="AC1134" s="77"/>
      <c r="AD1134" s="77"/>
      <c r="AE1134" s="77"/>
      <c r="AF1134" s="77"/>
      <c r="AG1134" s="77"/>
    </row>
    <row r="1135" spans="1:33" x14ac:dyDescent="0.25">
      <c r="A1135" s="77" t="s">
        <v>10</v>
      </c>
      <c r="B1135" s="77">
        <v>0</v>
      </c>
      <c r="C1135" s="77">
        <v>0</v>
      </c>
      <c r="D1135" s="77">
        <v>0</v>
      </c>
      <c r="E1135" s="77">
        <v>0</v>
      </c>
      <c r="F1135" s="77">
        <v>0</v>
      </c>
      <c r="G1135" s="77">
        <v>0</v>
      </c>
      <c r="H1135" s="77">
        <v>0</v>
      </c>
      <c r="I1135" s="77">
        <v>0</v>
      </c>
      <c r="J1135" s="77">
        <v>0</v>
      </c>
      <c r="K1135" s="77">
        <v>0</v>
      </c>
      <c r="L1135" s="77">
        <v>0</v>
      </c>
      <c r="M1135" s="77">
        <v>0</v>
      </c>
      <c r="N1135" s="77">
        <v>0</v>
      </c>
      <c r="O1135" s="77">
        <v>0</v>
      </c>
      <c r="P1135" s="77">
        <v>0</v>
      </c>
      <c r="R1135" s="77"/>
      <c r="S1135" s="77"/>
      <c r="T1135" s="77"/>
      <c r="U1135" s="77"/>
      <c r="V1135" s="77"/>
      <c r="W1135" s="77"/>
      <c r="X1135" s="77"/>
      <c r="Y1135" s="77"/>
      <c r="Z1135" s="77"/>
      <c r="AA1135" s="77"/>
      <c r="AB1135" s="77"/>
      <c r="AC1135" s="77"/>
      <c r="AD1135" s="77"/>
      <c r="AE1135" s="77"/>
      <c r="AF1135" s="77"/>
      <c r="AG1135" s="77"/>
    </row>
    <row r="1136" spans="1:33" x14ac:dyDescent="0.25">
      <c r="A1136" s="77" t="s">
        <v>11</v>
      </c>
      <c r="B1136" s="77">
        <v>0</v>
      </c>
      <c r="C1136" s="77">
        <v>0</v>
      </c>
      <c r="D1136" s="77">
        <v>0</v>
      </c>
      <c r="E1136" s="77">
        <v>0</v>
      </c>
      <c r="F1136" s="77">
        <v>0</v>
      </c>
      <c r="G1136" s="77">
        <v>0</v>
      </c>
      <c r="H1136" s="77">
        <v>0</v>
      </c>
      <c r="I1136" s="77">
        <v>0</v>
      </c>
      <c r="J1136" s="77">
        <v>0</v>
      </c>
      <c r="K1136" s="77">
        <v>0</v>
      </c>
      <c r="L1136" s="77">
        <v>0</v>
      </c>
      <c r="M1136" s="77">
        <v>0</v>
      </c>
      <c r="N1136" s="77">
        <v>0</v>
      </c>
      <c r="O1136" s="77">
        <v>0</v>
      </c>
      <c r="P1136" s="77">
        <v>0</v>
      </c>
      <c r="R1136" s="77"/>
      <c r="S1136" s="77"/>
      <c r="T1136" s="77"/>
      <c r="U1136" s="77"/>
      <c r="V1136" s="77"/>
      <c r="W1136" s="77"/>
      <c r="X1136" s="77"/>
      <c r="Y1136" s="77"/>
      <c r="Z1136" s="77"/>
      <c r="AA1136" s="77"/>
      <c r="AB1136" s="77"/>
      <c r="AC1136" s="77"/>
      <c r="AD1136" s="77"/>
      <c r="AE1136" s="77"/>
      <c r="AF1136" s="77"/>
      <c r="AG1136" s="77"/>
    </row>
    <row r="1137" spans="1:33" x14ac:dyDescent="0.25">
      <c r="A1137" s="77" t="s">
        <v>12</v>
      </c>
      <c r="B1137" s="77">
        <v>0</v>
      </c>
      <c r="C1137" s="77">
        <v>0</v>
      </c>
      <c r="D1137" s="77">
        <v>0</v>
      </c>
      <c r="E1137" s="77">
        <v>0</v>
      </c>
      <c r="F1137" s="77">
        <v>0</v>
      </c>
      <c r="G1137" s="77">
        <v>0</v>
      </c>
      <c r="H1137" s="77">
        <v>0</v>
      </c>
      <c r="I1137" s="77">
        <v>0</v>
      </c>
      <c r="J1137" s="77">
        <v>0</v>
      </c>
      <c r="K1137" s="77">
        <v>0</v>
      </c>
      <c r="L1137" s="77">
        <v>0</v>
      </c>
      <c r="M1137" s="77">
        <v>0</v>
      </c>
      <c r="N1137" s="77">
        <v>0</v>
      </c>
      <c r="O1137" s="77">
        <v>0</v>
      </c>
      <c r="P1137" s="77">
        <v>0</v>
      </c>
      <c r="R1137" s="77"/>
      <c r="S1137" s="77"/>
      <c r="T1137" s="77"/>
      <c r="U1137" s="77"/>
      <c r="V1137" s="77"/>
      <c r="W1137" s="77"/>
      <c r="X1137" s="77"/>
      <c r="Y1137" s="77"/>
      <c r="Z1137" s="77"/>
      <c r="AA1137" s="77"/>
      <c r="AB1137" s="77"/>
      <c r="AC1137" s="77"/>
      <c r="AD1137" s="77"/>
      <c r="AE1137" s="77"/>
      <c r="AF1137" s="77"/>
      <c r="AG1137" s="77"/>
    </row>
    <row r="1138" spans="1:33" x14ac:dyDescent="0.25">
      <c r="A1138" s="77" t="s">
        <v>13</v>
      </c>
      <c r="B1138" s="77">
        <v>0</v>
      </c>
      <c r="C1138" s="77">
        <v>0</v>
      </c>
      <c r="D1138" s="77">
        <v>0</v>
      </c>
      <c r="E1138" s="77">
        <v>0</v>
      </c>
      <c r="F1138" s="77">
        <v>0</v>
      </c>
      <c r="G1138" s="77">
        <v>0</v>
      </c>
      <c r="H1138" s="77">
        <v>0</v>
      </c>
      <c r="I1138" s="77">
        <v>0</v>
      </c>
      <c r="J1138" s="77">
        <v>0</v>
      </c>
      <c r="K1138" s="77">
        <v>0</v>
      </c>
      <c r="L1138" s="77">
        <v>0</v>
      </c>
      <c r="M1138" s="77">
        <v>0</v>
      </c>
      <c r="N1138" s="77">
        <v>0</v>
      </c>
      <c r="O1138" s="77">
        <v>0</v>
      </c>
      <c r="P1138" s="77">
        <v>0</v>
      </c>
      <c r="R1138" s="77"/>
      <c r="S1138" s="77"/>
      <c r="T1138" s="77"/>
      <c r="U1138" s="77"/>
      <c r="V1138" s="77"/>
      <c r="W1138" s="77"/>
      <c r="X1138" s="77"/>
      <c r="Y1138" s="77"/>
      <c r="Z1138" s="77"/>
      <c r="AA1138" s="77"/>
      <c r="AB1138" s="77"/>
      <c r="AC1138" s="77"/>
      <c r="AD1138" s="77"/>
      <c r="AE1138" s="77"/>
      <c r="AF1138" s="77"/>
      <c r="AG1138" s="77"/>
    </row>
    <row r="1139" spans="1:33" x14ac:dyDescent="0.25">
      <c r="A1139" s="77" t="s">
        <v>14</v>
      </c>
      <c r="B1139" s="77">
        <v>0</v>
      </c>
      <c r="C1139" s="77">
        <v>0</v>
      </c>
      <c r="D1139" s="77">
        <v>0</v>
      </c>
      <c r="E1139" s="77">
        <v>0</v>
      </c>
      <c r="F1139" s="77">
        <v>0</v>
      </c>
      <c r="G1139" s="77">
        <v>0</v>
      </c>
      <c r="H1139" s="77">
        <v>0</v>
      </c>
      <c r="I1139" s="77">
        <v>0</v>
      </c>
      <c r="J1139" s="77">
        <v>0</v>
      </c>
      <c r="K1139" s="77">
        <v>0</v>
      </c>
      <c r="L1139" s="77">
        <v>0</v>
      </c>
      <c r="M1139" s="77">
        <v>0</v>
      </c>
      <c r="N1139" s="77">
        <v>0</v>
      </c>
      <c r="O1139" s="77">
        <v>0</v>
      </c>
      <c r="P1139" s="77">
        <v>0</v>
      </c>
      <c r="R1139" s="77"/>
      <c r="S1139" s="77"/>
      <c r="T1139" s="77"/>
      <c r="U1139" s="77"/>
      <c r="V1139" s="77"/>
      <c r="W1139" s="77"/>
      <c r="X1139" s="77"/>
      <c r="Y1139" s="77"/>
      <c r="Z1139" s="77"/>
      <c r="AA1139" s="77"/>
      <c r="AB1139" s="77"/>
      <c r="AC1139" s="77"/>
      <c r="AD1139" s="77"/>
      <c r="AE1139" s="77"/>
      <c r="AF1139" s="77"/>
      <c r="AG1139" s="77"/>
    </row>
    <row r="1140" spans="1:33" x14ac:dyDescent="0.25">
      <c r="A1140" s="77" t="s">
        <v>474</v>
      </c>
      <c r="B1140" s="77"/>
      <c r="C1140" s="77"/>
      <c r="D1140" s="77"/>
      <c r="E1140" s="77"/>
      <c r="F1140" s="77"/>
      <c r="G1140" s="77"/>
      <c r="H1140" s="77"/>
      <c r="I1140" s="77"/>
      <c r="J1140" s="77"/>
      <c r="K1140" s="77"/>
      <c r="L1140" s="77"/>
      <c r="M1140" s="77"/>
      <c r="N1140" s="77"/>
      <c r="O1140" s="77"/>
      <c r="P1140" s="77"/>
      <c r="R1140" s="77"/>
      <c r="S1140" s="77"/>
      <c r="T1140" s="77"/>
      <c r="U1140" s="77"/>
      <c r="V1140" s="77"/>
      <c r="W1140" s="77"/>
      <c r="X1140" s="77"/>
      <c r="Y1140" s="77"/>
      <c r="Z1140" s="77"/>
      <c r="AA1140" s="77"/>
      <c r="AB1140" s="77"/>
      <c r="AC1140" s="77"/>
      <c r="AD1140" s="77"/>
      <c r="AE1140" s="77"/>
      <c r="AF1140" s="77"/>
      <c r="AG1140" s="77"/>
    </row>
    <row r="1141" spans="1:33" x14ac:dyDescent="0.25">
      <c r="A1141" s="77" t="s">
        <v>360</v>
      </c>
      <c r="B1141" s="77" t="s">
        <v>366</v>
      </c>
      <c r="C1141" s="77" t="s">
        <v>367</v>
      </c>
      <c r="D1141" s="77" t="s">
        <v>368</v>
      </c>
      <c r="E1141" s="77" t="s">
        <v>21</v>
      </c>
      <c r="F1141" s="77" t="s">
        <v>22</v>
      </c>
      <c r="G1141" s="77" t="s">
        <v>23</v>
      </c>
      <c r="H1141" s="77" t="s">
        <v>361</v>
      </c>
      <c r="I1141" s="77" t="s">
        <v>25</v>
      </c>
      <c r="J1141" s="77" t="s">
        <v>362</v>
      </c>
      <c r="K1141" s="77" t="s">
        <v>5</v>
      </c>
      <c r="L1141" s="77" t="s">
        <v>6</v>
      </c>
      <c r="M1141" s="77" t="s">
        <v>7</v>
      </c>
      <c r="N1141" s="77" t="s">
        <v>8</v>
      </c>
      <c r="O1141" s="77" t="s">
        <v>9</v>
      </c>
      <c r="P1141" s="77" t="s">
        <v>363</v>
      </c>
      <c r="R1141" s="77"/>
      <c r="S1141" s="77"/>
      <c r="T1141" s="77"/>
      <c r="U1141" s="77"/>
      <c r="V1141" s="77"/>
      <c r="W1141" s="77"/>
      <c r="X1141" s="77"/>
      <c r="Y1141" s="77"/>
      <c r="Z1141" s="77"/>
      <c r="AA1141" s="77"/>
      <c r="AB1141" s="77"/>
      <c r="AC1141" s="77"/>
      <c r="AD1141" s="77"/>
      <c r="AE1141" s="77"/>
      <c r="AF1141" s="77"/>
      <c r="AG1141" s="77"/>
    </row>
    <row r="1142" spans="1:33" x14ac:dyDescent="0.25">
      <c r="A1142" s="77" t="s">
        <v>364</v>
      </c>
      <c r="B1142" s="77" t="s">
        <v>369</v>
      </c>
      <c r="C1142" s="77" t="s">
        <v>369</v>
      </c>
      <c r="D1142" s="77" t="s">
        <v>369</v>
      </c>
      <c r="E1142" s="77" t="s">
        <v>369</v>
      </c>
      <c r="F1142" s="77" t="s">
        <v>369</v>
      </c>
      <c r="G1142" s="77" t="s">
        <v>369</v>
      </c>
      <c r="H1142" s="77" t="s">
        <v>369</v>
      </c>
      <c r="I1142" s="77" t="s">
        <v>369</v>
      </c>
      <c r="J1142" s="77" t="s">
        <v>369</v>
      </c>
      <c r="K1142" s="77" t="s">
        <v>369</v>
      </c>
      <c r="L1142" s="77" t="s">
        <v>369</v>
      </c>
      <c r="M1142" s="77" t="s">
        <v>369</v>
      </c>
      <c r="N1142" s="77" t="s">
        <v>369</v>
      </c>
      <c r="O1142" s="77" t="s">
        <v>369</v>
      </c>
      <c r="P1142" s="77" t="s">
        <v>369</v>
      </c>
      <c r="R1142" s="77"/>
      <c r="S1142" s="77"/>
      <c r="T1142" s="77"/>
      <c r="U1142" s="77"/>
      <c r="V1142" s="77"/>
      <c r="W1142" s="77"/>
      <c r="X1142" s="77"/>
      <c r="Y1142" s="77"/>
      <c r="Z1142" s="77"/>
      <c r="AA1142" s="77"/>
      <c r="AB1142" s="77"/>
      <c r="AC1142" s="77"/>
      <c r="AD1142" s="77"/>
      <c r="AE1142" s="77"/>
      <c r="AF1142" s="77"/>
      <c r="AG1142" s="77"/>
    </row>
    <row r="1143" spans="1:33" x14ac:dyDescent="0.25">
      <c r="A1143" s="77" t="s">
        <v>1</v>
      </c>
      <c r="B1143" s="77">
        <v>128.43048200000001</v>
      </c>
      <c r="C1143" s="77">
        <v>0</v>
      </c>
      <c r="D1143" s="77">
        <v>128.43048200000001</v>
      </c>
      <c r="E1143" s="77">
        <v>35.699894</v>
      </c>
      <c r="F1143" s="77">
        <v>0</v>
      </c>
      <c r="G1143" s="77">
        <v>24.6858124</v>
      </c>
      <c r="H1143" s="77">
        <v>0</v>
      </c>
      <c r="I1143" s="77">
        <v>0</v>
      </c>
      <c r="J1143" s="77">
        <v>0</v>
      </c>
      <c r="K1143" s="77">
        <v>29.729580800000001</v>
      </c>
      <c r="L1143" s="77">
        <v>38.233194400000002</v>
      </c>
      <c r="M1143" s="77">
        <v>8.2000088499999998E-2</v>
      </c>
      <c r="N1143" s="77">
        <v>0</v>
      </c>
      <c r="O1143" s="77">
        <v>0</v>
      </c>
      <c r="P1143" s="77">
        <v>0</v>
      </c>
      <c r="R1143" s="77"/>
      <c r="S1143" s="77"/>
      <c r="T1143" s="77"/>
      <c r="U1143" s="77"/>
      <c r="V1143" s="77"/>
      <c r="W1143" s="77"/>
      <c r="X1143" s="77"/>
      <c r="Y1143" s="77"/>
      <c r="Z1143" s="77"/>
      <c r="AA1143" s="77"/>
      <c r="AB1143" s="77"/>
      <c r="AC1143" s="77"/>
      <c r="AD1143" s="77"/>
      <c r="AE1143" s="77"/>
      <c r="AF1143" s="77"/>
      <c r="AG1143" s="77"/>
    </row>
    <row r="1144" spans="1:33" x14ac:dyDescent="0.25">
      <c r="A1144" s="77" t="s">
        <v>2</v>
      </c>
      <c r="B1144" s="77">
        <v>14.4052609</v>
      </c>
      <c r="C1144" s="77">
        <v>0</v>
      </c>
      <c r="D1144" s="77">
        <v>14.4052609</v>
      </c>
      <c r="E1144" s="77">
        <v>0</v>
      </c>
      <c r="F1144" s="77">
        <v>0</v>
      </c>
      <c r="G1144" s="77">
        <v>0</v>
      </c>
      <c r="H1144" s="77">
        <v>0</v>
      </c>
      <c r="I1144" s="77">
        <v>0</v>
      </c>
      <c r="J1144" s="77">
        <v>0</v>
      </c>
      <c r="K1144" s="77">
        <v>14.4050961</v>
      </c>
      <c r="L1144" s="77">
        <v>1.6483062900000001E-4</v>
      </c>
      <c r="M1144" s="77">
        <v>0</v>
      </c>
      <c r="N1144" s="77">
        <v>0</v>
      </c>
      <c r="O1144" s="77">
        <v>0</v>
      </c>
      <c r="P1144" s="77">
        <v>0</v>
      </c>
      <c r="R1144" s="77"/>
      <c r="S1144" s="77"/>
      <c r="T1144" s="77"/>
      <c r="U1144" s="77"/>
      <c r="V1144" s="77"/>
      <c r="W1144" s="77"/>
      <c r="X1144" s="77"/>
      <c r="Y1144" s="77"/>
      <c r="Z1144" s="77"/>
      <c r="AA1144" s="77"/>
      <c r="AB1144" s="77"/>
      <c r="AC1144" s="77"/>
      <c r="AD1144" s="77"/>
      <c r="AE1144" s="77"/>
      <c r="AF1144" s="77"/>
      <c r="AG1144" s="77"/>
    </row>
    <row r="1145" spans="1:33" x14ac:dyDescent="0.25">
      <c r="A1145" s="77" t="s">
        <v>3</v>
      </c>
      <c r="B1145" s="77">
        <v>45.899979199999997</v>
      </c>
      <c r="C1145" s="77">
        <v>0</v>
      </c>
      <c r="D1145" s="77">
        <v>45.899979199999997</v>
      </c>
      <c r="E1145" s="77">
        <v>0.15066518100000001</v>
      </c>
      <c r="F1145" s="77">
        <v>4.9615877700000003E-3</v>
      </c>
      <c r="G1145" s="77">
        <v>2.3620582000000001E-2</v>
      </c>
      <c r="H1145" s="77">
        <v>0</v>
      </c>
      <c r="I1145" s="77">
        <v>0</v>
      </c>
      <c r="J1145" s="77">
        <v>0</v>
      </c>
      <c r="K1145" s="77">
        <v>7.34734541</v>
      </c>
      <c r="L1145" s="77">
        <v>3.4036046400000002</v>
      </c>
      <c r="M1145" s="77">
        <v>0</v>
      </c>
      <c r="N1145" s="77">
        <v>0</v>
      </c>
      <c r="O1145" s="77">
        <v>0</v>
      </c>
      <c r="P1145" s="77">
        <v>34.9697818</v>
      </c>
      <c r="R1145" s="77"/>
      <c r="S1145" s="77"/>
      <c r="T1145" s="77"/>
      <c r="U1145" s="77"/>
      <c r="V1145" s="77"/>
      <c r="W1145" s="77"/>
      <c r="X1145" s="77"/>
      <c r="Y1145" s="77"/>
      <c r="Z1145" s="77"/>
      <c r="AA1145" s="77"/>
      <c r="AB1145" s="77"/>
      <c r="AC1145" s="77"/>
      <c r="AD1145" s="77"/>
      <c r="AE1145" s="77"/>
      <c r="AF1145" s="77"/>
      <c r="AG1145" s="77"/>
    </row>
    <row r="1146" spans="1:33" x14ac:dyDescent="0.25">
      <c r="A1146" s="77" t="s">
        <v>4</v>
      </c>
      <c r="B1146" s="77">
        <v>129.99995200000001</v>
      </c>
      <c r="C1146" s="77">
        <v>0</v>
      </c>
      <c r="D1146" s="77">
        <v>129.99995200000001</v>
      </c>
      <c r="E1146" s="77">
        <v>68.176825300000004</v>
      </c>
      <c r="F1146" s="77">
        <v>11.062958999999999</v>
      </c>
      <c r="G1146" s="77">
        <v>54.278904900000001</v>
      </c>
      <c r="H1146" s="77">
        <v>2.6884791899999998</v>
      </c>
      <c r="I1146" s="77">
        <v>0</v>
      </c>
      <c r="J1146" s="77">
        <v>0</v>
      </c>
      <c r="K1146" s="77">
        <v>0</v>
      </c>
      <c r="L1146" s="77">
        <v>0</v>
      </c>
      <c r="M1146" s="77">
        <v>2.28459713E-2</v>
      </c>
      <c r="N1146" s="77">
        <v>0</v>
      </c>
      <c r="O1146" s="77">
        <v>0</v>
      </c>
      <c r="P1146" s="77">
        <v>-6.2300622199999998</v>
      </c>
      <c r="R1146" s="77"/>
      <c r="S1146" s="77"/>
      <c r="T1146" s="77"/>
      <c r="U1146" s="77"/>
      <c r="V1146" s="77"/>
      <c r="W1146" s="77"/>
      <c r="X1146" s="77"/>
      <c r="Y1146" s="77"/>
      <c r="Z1146" s="77"/>
      <c r="AA1146" s="77"/>
      <c r="AB1146" s="77"/>
      <c r="AC1146" s="77"/>
      <c r="AD1146" s="77"/>
      <c r="AE1146" s="77"/>
      <c r="AF1146" s="77"/>
      <c r="AG1146" s="77"/>
    </row>
    <row r="1147" spans="1:33" x14ac:dyDescent="0.25">
      <c r="A1147" s="77" t="s">
        <v>5</v>
      </c>
      <c r="B1147" s="77">
        <v>241.64986500000001</v>
      </c>
      <c r="C1147" s="77">
        <v>132.90921</v>
      </c>
      <c r="D1147" s="77">
        <v>108.740655</v>
      </c>
      <c r="E1147" s="77">
        <v>156.23839100000001</v>
      </c>
      <c r="F1147" s="77">
        <v>20.8183373</v>
      </c>
      <c r="G1147" s="77">
        <v>63.188049800000002</v>
      </c>
      <c r="H1147" s="77">
        <v>1.4050870799999999</v>
      </c>
      <c r="I1147" s="77">
        <v>0</v>
      </c>
      <c r="J1147" s="77">
        <v>0</v>
      </c>
      <c r="K1147" s="77">
        <v>0</v>
      </c>
      <c r="L1147" s="77">
        <v>0</v>
      </c>
      <c r="M1147" s="77">
        <v>0</v>
      </c>
      <c r="N1147" s="77">
        <v>0</v>
      </c>
      <c r="O1147" s="77">
        <v>0</v>
      </c>
      <c r="P1147" s="77">
        <v>0</v>
      </c>
      <c r="R1147" s="77"/>
      <c r="S1147" s="77"/>
      <c r="T1147" s="77"/>
      <c r="U1147" s="77"/>
      <c r="V1147" s="77"/>
      <c r="W1147" s="77"/>
      <c r="X1147" s="77"/>
      <c r="Y1147" s="77"/>
      <c r="Z1147" s="77"/>
      <c r="AA1147" s="77"/>
      <c r="AB1147" s="77"/>
      <c r="AC1147" s="77"/>
      <c r="AD1147" s="77"/>
      <c r="AE1147" s="77"/>
      <c r="AF1147" s="77"/>
      <c r="AG1147" s="77"/>
    </row>
    <row r="1148" spans="1:33" x14ac:dyDescent="0.25">
      <c r="A1148" s="77" t="s">
        <v>6</v>
      </c>
      <c r="B1148" s="77">
        <v>112.614171</v>
      </c>
      <c r="C1148" s="77">
        <v>82.976787900000005</v>
      </c>
      <c r="D1148" s="77">
        <v>29.637383499999999</v>
      </c>
      <c r="E1148" s="77">
        <v>84.279143399999995</v>
      </c>
      <c r="F1148" s="77">
        <v>7.2206736400000002</v>
      </c>
      <c r="G1148" s="77">
        <v>20.201053699999999</v>
      </c>
      <c r="H1148" s="77">
        <v>0.91330070299999999</v>
      </c>
      <c r="I1148" s="77">
        <v>0</v>
      </c>
      <c r="J1148" s="77">
        <v>0</v>
      </c>
      <c r="K1148" s="77">
        <v>0</v>
      </c>
      <c r="L1148" s="77">
        <v>0</v>
      </c>
      <c r="M1148" s="77">
        <v>0</v>
      </c>
      <c r="N1148" s="77">
        <v>0</v>
      </c>
      <c r="O1148" s="77">
        <v>0</v>
      </c>
      <c r="P1148" s="77">
        <v>0</v>
      </c>
      <c r="R1148" s="77"/>
      <c r="S1148" s="77"/>
      <c r="T1148" s="77"/>
      <c r="U1148" s="77"/>
      <c r="V1148" s="77"/>
      <c r="W1148" s="77"/>
      <c r="X1148" s="77"/>
      <c r="Y1148" s="77"/>
      <c r="Z1148" s="77"/>
      <c r="AA1148" s="77"/>
      <c r="AB1148" s="77"/>
      <c r="AC1148" s="77"/>
      <c r="AD1148" s="77"/>
      <c r="AE1148" s="77"/>
      <c r="AF1148" s="77"/>
      <c r="AG1148" s="77"/>
    </row>
    <row r="1149" spans="1:33" x14ac:dyDescent="0.25">
      <c r="A1149" s="77" t="s">
        <v>7</v>
      </c>
      <c r="B1149" s="77">
        <v>0.20306064099999999</v>
      </c>
      <c r="C1149" s="77">
        <v>0.133020365</v>
      </c>
      <c r="D1149" s="77">
        <v>7.0040276200000001E-2</v>
      </c>
      <c r="E1149" s="77">
        <v>0</v>
      </c>
      <c r="F1149" s="77">
        <v>0.112641081</v>
      </c>
      <c r="G1149" s="77">
        <v>4.1754973100000002E-2</v>
      </c>
      <c r="H1149" s="77">
        <v>4.8664587000000002E-2</v>
      </c>
      <c r="I1149" s="77">
        <v>0</v>
      </c>
      <c r="J1149" s="77">
        <v>0</v>
      </c>
      <c r="K1149" s="77">
        <v>0</v>
      </c>
      <c r="L1149" s="77">
        <v>0</v>
      </c>
      <c r="M1149" s="77">
        <v>0</v>
      </c>
      <c r="N1149" s="77">
        <v>0</v>
      </c>
      <c r="O1149" s="77">
        <v>0</v>
      </c>
      <c r="P1149" s="77">
        <v>0</v>
      </c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7"/>
      <c r="AD1149" s="77"/>
      <c r="AE1149" s="77"/>
      <c r="AF1149" s="77"/>
      <c r="AG1149" s="77"/>
    </row>
    <row r="1150" spans="1:33" x14ac:dyDescent="0.25">
      <c r="A1150" s="77" t="s">
        <v>8</v>
      </c>
      <c r="B1150" s="77">
        <v>0</v>
      </c>
      <c r="C1150" s="77">
        <v>0</v>
      </c>
      <c r="D1150" s="77">
        <v>0</v>
      </c>
      <c r="E1150" s="77">
        <v>0</v>
      </c>
      <c r="F1150" s="77">
        <v>0</v>
      </c>
      <c r="G1150" s="77">
        <v>0</v>
      </c>
      <c r="H1150" s="77">
        <v>0</v>
      </c>
      <c r="I1150" s="77">
        <v>0</v>
      </c>
      <c r="J1150" s="77">
        <v>0</v>
      </c>
      <c r="K1150" s="77">
        <v>0</v>
      </c>
      <c r="L1150" s="77">
        <v>0</v>
      </c>
      <c r="M1150" s="77">
        <v>0</v>
      </c>
      <c r="N1150" s="77">
        <v>0</v>
      </c>
      <c r="O1150" s="77">
        <v>0</v>
      </c>
      <c r="P1150" s="77">
        <v>0</v>
      </c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7"/>
      <c r="AD1150" s="77"/>
      <c r="AE1150" s="77"/>
      <c r="AF1150" s="77"/>
      <c r="AG1150" s="77"/>
    </row>
    <row r="1151" spans="1:33" x14ac:dyDescent="0.25">
      <c r="A1151" s="77" t="s">
        <v>9</v>
      </c>
      <c r="B1151" s="77">
        <v>0</v>
      </c>
      <c r="C1151" s="77">
        <v>0</v>
      </c>
      <c r="D1151" s="77">
        <v>0</v>
      </c>
      <c r="E1151" s="77">
        <v>0</v>
      </c>
      <c r="F1151" s="77">
        <v>0</v>
      </c>
      <c r="G1151" s="77">
        <v>0</v>
      </c>
      <c r="H1151" s="77">
        <v>0</v>
      </c>
      <c r="I1151" s="77">
        <v>0</v>
      </c>
      <c r="J1151" s="77">
        <v>0</v>
      </c>
      <c r="K1151" s="77">
        <v>0</v>
      </c>
      <c r="L1151" s="77">
        <v>0</v>
      </c>
      <c r="M1151" s="77">
        <v>0</v>
      </c>
      <c r="N1151" s="77">
        <v>0</v>
      </c>
      <c r="O1151" s="77">
        <v>0</v>
      </c>
      <c r="P1151" s="77">
        <v>0</v>
      </c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7"/>
      <c r="AD1151" s="77"/>
      <c r="AE1151" s="77"/>
      <c r="AF1151" s="77"/>
      <c r="AG1151" s="77"/>
    </row>
    <row r="1152" spans="1:33" x14ac:dyDescent="0.25">
      <c r="A1152" s="77" t="s">
        <v>10</v>
      </c>
      <c r="B1152" s="77">
        <v>74.694822000000002</v>
      </c>
      <c r="C1152" s="77">
        <v>0</v>
      </c>
      <c r="D1152" s="77">
        <v>74.694822000000002</v>
      </c>
      <c r="E1152" s="77">
        <v>0</v>
      </c>
      <c r="F1152" s="77">
        <v>-1.2999999999999999E-2</v>
      </c>
      <c r="G1152" s="77">
        <v>0</v>
      </c>
      <c r="H1152" s="77">
        <v>0</v>
      </c>
      <c r="I1152" s="77">
        <v>0</v>
      </c>
      <c r="J1152" s="77">
        <v>0</v>
      </c>
      <c r="K1152" s="77">
        <v>50.894392000000003</v>
      </c>
      <c r="L1152" s="77">
        <v>23.8129405</v>
      </c>
      <c r="M1152" s="77">
        <v>4.8953600000000005E-4</v>
      </c>
      <c r="N1152" s="77">
        <v>0</v>
      </c>
      <c r="O1152" s="77">
        <v>0</v>
      </c>
      <c r="P1152" s="77">
        <v>0</v>
      </c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7"/>
      <c r="AD1152" s="77"/>
      <c r="AE1152" s="77"/>
      <c r="AF1152" s="77"/>
      <c r="AG1152" s="77"/>
    </row>
    <row r="1153" spans="1:33" x14ac:dyDescent="0.25">
      <c r="A1153" s="77" t="s">
        <v>11</v>
      </c>
      <c r="B1153" s="77">
        <v>1.7022625899999999</v>
      </c>
      <c r="C1153" s="77">
        <v>0</v>
      </c>
      <c r="D1153" s="77">
        <v>1.7022625899999999</v>
      </c>
      <c r="E1153" s="77">
        <v>0.79532591100000005</v>
      </c>
      <c r="F1153" s="77">
        <v>0.11881771000000001</v>
      </c>
      <c r="G1153" s="77">
        <v>0.74609227499999997</v>
      </c>
      <c r="H1153" s="77">
        <v>4.1607910800000002E-2</v>
      </c>
      <c r="I1153" s="77">
        <v>0</v>
      </c>
      <c r="J1153" s="77">
        <v>0</v>
      </c>
      <c r="K1153" s="77">
        <v>0</v>
      </c>
      <c r="L1153" s="77">
        <v>0</v>
      </c>
      <c r="M1153" s="77">
        <v>4.1877840499999998E-4</v>
      </c>
      <c r="N1153" s="77">
        <v>0</v>
      </c>
      <c r="O1153" s="77">
        <v>0</v>
      </c>
      <c r="P1153" s="77">
        <v>0</v>
      </c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7"/>
      <c r="AD1153" s="77"/>
      <c r="AE1153" s="77"/>
      <c r="AF1153" s="77"/>
      <c r="AG1153" s="77"/>
    </row>
    <row r="1154" spans="1:33" x14ac:dyDescent="0.25">
      <c r="A1154" s="77" t="s">
        <v>12</v>
      </c>
      <c r="B1154" s="77">
        <v>54.8643869</v>
      </c>
      <c r="C1154" s="77">
        <v>28.739719600000001</v>
      </c>
      <c r="D1154" s="77">
        <v>26.1246674</v>
      </c>
      <c r="E1154" s="77">
        <v>36.665717399999998</v>
      </c>
      <c r="F1154" s="77">
        <v>0.74678222500000002</v>
      </c>
      <c r="G1154" s="77">
        <v>7.9736802200000003</v>
      </c>
      <c r="H1154" s="77">
        <v>0.24964746500000001</v>
      </c>
      <c r="I1154" s="77">
        <v>0</v>
      </c>
      <c r="J1154" s="77">
        <v>0</v>
      </c>
      <c r="K1154" s="77">
        <v>6.3016557999999998</v>
      </c>
      <c r="L1154" s="77">
        <v>2.91919649</v>
      </c>
      <c r="M1154" s="77">
        <v>7.7073564100000004E-3</v>
      </c>
      <c r="N1154" s="77">
        <v>0</v>
      </c>
      <c r="O1154" s="77">
        <v>0</v>
      </c>
      <c r="P1154" s="77">
        <v>0</v>
      </c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7"/>
      <c r="AD1154" s="77"/>
      <c r="AE1154" s="77"/>
      <c r="AF1154" s="77"/>
      <c r="AG1154" s="77"/>
    </row>
    <row r="1155" spans="1:33" x14ac:dyDescent="0.25">
      <c r="A1155" s="77" t="s">
        <v>13</v>
      </c>
      <c r="B1155" s="77">
        <v>106.909306</v>
      </c>
      <c r="C1155" s="77">
        <v>0</v>
      </c>
      <c r="D1155" s="77">
        <v>106.909306</v>
      </c>
      <c r="E1155" s="77">
        <v>77.543760000000006</v>
      </c>
      <c r="F1155" s="77">
        <v>8.4178862199999998</v>
      </c>
      <c r="G1155" s="77">
        <v>0</v>
      </c>
      <c r="H1155" s="77">
        <v>0</v>
      </c>
      <c r="I1155" s="77">
        <v>0</v>
      </c>
      <c r="J1155" s="77">
        <v>0</v>
      </c>
      <c r="K1155" s="77">
        <v>16.550072199999999</v>
      </c>
      <c r="L1155" s="77">
        <v>4.3941042299999999</v>
      </c>
      <c r="M1155" s="77">
        <v>3.483E-3</v>
      </c>
      <c r="N1155" s="77">
        <v>0</v>
      </c>
      <c r="O1155" s="77">
        <v>0</v>
      </c>
      <c r="P1155" s="77">
        <v>0</v>
      </c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7"/>
      <c r="AD1155" s="77"/>
      <c r="AE1155" s="77"/>
      <c r="AF1155" s="77"/>
      <c r="AG1155" s="77"/>
    </row>
    <row r="1156" spans="1:33" x14ac:dyDescent="0.25">
      <c r="A1156" s="77" t="s">
        <v>14</v>
      </c>
      <c r="B1156" s="77">
        <v>41.215849499999997</v>
      </c>
      <c r="C1156" s="77">
        <v>0</v>
      </c>
      <c r="D1156" s="77">
        <v>41.215849499999997</v>
      </c>
      <c r="E1156" s="77">
        <v>8.4278746099999999</v>
      </c>
      <c r="F1156" s="77">
        <v>0.595940358</v>
      </c>
      <c r="G1156" s="77">
        <v>14.2176253</v>
      </c>
      <c r="H1156" s="77">
        <v>6.3682588999999998E-2</v>
      </c>
      <c r="I1156" s="105">
        <v>0</v>
      </c>
      <c r="J1156" s="77">
        <v>0</v>
      </c>
      <c r="K1156" s="77">
        <v>7.6810681699999996</v>
      </c>
      <c r="L1156" s="77">
        <v>10.213582799999999</v>
      </c>
      <c r="M1156" s="77">
        <v>1.6075634200000001E-2</v>
      </c>
      <c r="N1156" s="77">
        <v>0</v>
      </c>
      <c r="O1156" s="77">
        <v>0</v>
      </c>
      <c r="P1156" s="77">
        <v>0</v>
      </c>
      <c r="R1156" s="77"/>
      <c r="S1156" s="77"/>
      <c r="T1156" s="77"/>
      <c r="U1156" s="77"/>
      <c r="V1156" s="77"/>
      <c r="W1156" s="77"/>
      <c r="X1156" s="77"/>
      <c r="Y1156" s="77"/>
      <c r="Z1156" s="105"/>
      <c r="AA1156" s="77"/>
      <c r="AB1156" s="77"/>
      <c r="AC1156" s="77"/>
      <c r="AD1156" s="77"/>
      <c r="AE1156" s="77"/>
      <c r="AF1156" s="77"/>
      <c r="AG1156" s="77"/>
    </row>
    <row r="1157" spans="1:33" x14ac:dyDescent="0.25">
      <c r="A1157" s="77" t="s">
        <v>475</v>
      </c>
      <c r="B1157" s="77"/>
      <c r="C1157" s="77"/>
      <c r="D1157" s="77"/>
      <c r="E1157" s="77"/>
      <c r="F1157" s="77"/>
      <c r="G1157" s="77"/>
      <c r="H1157" s="77"/>
      <c r="I1157" s="77"/>
      <c r="J1157" s="77"/>
      <c r="K1157" s="77"/>
      <c r="L1157" s="77"/>
      <c r="M1157" s="77"/>
      <c r="N1157" s="77"/>
      <c r="O1157" s="77"/>
      <c r="P1157" s="77"/>
      <c r="R1157" s="77"/>
      <c r="S1157" s="77"/>
      <c r="T1157" s="77"/>
      <c r="U1157" s="77"/>
      <c r="V1157" s="77"/>
      <c r="W1157" s="77"/>
      <c r="X1157" s="77"/>
      <c r="Y1157" s="77"/>
      <c r="Z1157" s="77"/>
      <c r="AA1157" s="77"/>
      <c r="AB1157" s="77"/>
      <c r="AC1157" s="77"/>
      <c r="AD1157" s="77"/>
      <c r="AE1157" s="77"/>
      <c r="AF1157" s="77"/>
      <c r="AG1157" s="77"/>
    </row>
    <row r="1158" spans="1:33" x14ac:dyDescent="0.25">
      <c r="A1158" s="77" t="s">
        <v>360</v>
      </c>
      <c r="B1158" s="77" t="s">
        <v>18</v>
      </c>
      <c r="C1158" s="77" t="s">
        <v>19</v>
      </c>
      <c r="D1158" s="77" t="s">
        <v>20</v>
      </c>
      <c r="E1158" s="77" t="s">
        <v>21</v>
      </c>
      <c r="F1158" s="77" t="s">
        <v>22</v>
      </c>
      <c r="G1158" s="77" t="s">
        <v>23</v>
      </c>
      <c r="H1158" s="77" t="s">
        <v>361</v>
      </c>
      <c r="I1158" s="77" t="s">
        <v>25</v>
      </c>
      <c r="J1158" s="77" t="s">
        <v>362</v>
      </c>
      <c r="K1158" s="77" t="s">
        <v>5</v>
      </c>
      <c r="L1158" s="77" t="s">
        <v>6</v>
      </c>
      <c r="M1158" s="77" t="s">
        <v>7</v>
      </c>
      <c r="N1158" s="77" t="s">
        <v>8</v>
      </c>
      <c r="O1158" s="77" t="s">
        <v>9</v>
      </c>
      <c r="P1158" s="77" t="s">
        <v>363</v>
      </c>
      <c r="R1158" s="77"/>
      <c r="S1158" s="77"/>
      <c r="T1158" s="77"/>
      <c r="U1158" s="77"/>
      <c r="V1158" s="77"/>
      <c r="W1158" s="77"/>
      <c r="X1158" s="77"/>
      <c r="Y1158" s="77"/>
      <c r="Z1158" s="77"/>
      <c r="AA1158" s="77"/>
      <c r="AB1158" s="77"/>
      <c r="AC1158" s="77"/>
      <c r="AD1158" s="77"/>
      <c r="AE1158" s="77"/>
      <c r="AF1158" s="77"/>
      <c r="AG1158" s="77"/>
    </row>
    <row r="1159" spans="1:33" x14ac:dyDescent="0.25">
      <c r="A1159" s="77" t="s">
        <v>364</v>
      </c>
      <c r="B1159" s="77" t="s">
        <v>370</v>
      </c>
      <c r="C1159" s="77" t="s">
        <v>370</v>
      </c>
      <c r="D1159" s="77" t="s">
        <v>370</v>
      </c>
      <c r="E1159" s="77" t="s">
        <v>370</v>
      </c>
      <c r="F1159" s="77" t="s">
        <v>370</v>
      </c>
      <c r="G1159" s="77" t="s">
        <v>370</v>
      </c>
      <c r="H1159" s="77" t="s">
        <v>370</v>
      </c>
      <c r="I1159" s="77" t="s">
        <v>370</v>
      </c>
      <c r="J1159" s="77" t="s">
        <v>370</v>
      </c>
      <c r="K1159" s="77" t="s">
        <v>370</v>
      </c>
      <c r="L1159" s="77" t="s">
        <v>370</v>
      </c>
      <c r="M1159" s="77" t="s">
        <v>370</v>
      </c>
      <c r="N1159" s="77" t="s">
        <v>370</v>
      </c>
      <c r="O1159" s="77" t="s">
        <v>370</v>
      </c>
      <c r="P1159" s="77" t="s">
        <v>370</v>
      </c>
      <c r="R1159" s="77"/>
      <c r="S1159" s="77"/>
      <c r="T1159" s="77"/>
      <c r="U1159" s="77"/>
      <c r="V1159" s="77"/>
      <c r="W1159" s="77"/>
      <c r="X1159" s="77"/>
      <c r="Y1159" s="77"/>
      <c r="Z1159" s="77"/>
      <c r="AA1159" s="77"/>
      <c r="AB1159" s="77"/>
      <c r="AC1159" s="77"/>
      <c r="AD1159" s="77"/>
      <c r="AE1159" s="77"/>
      <c r="AF1159" s="77"/>
      <c r="AG1159" s="77"/>
    </row>
    <row r="1160" spans="1:33" x14ac:dyDescent="0.25">
      <c r="A1160" s="77" t="s">
        <v>1</v>
      </c>
      <c r="B1160" s="77">
        <v>0</v>
      </c>
      <c r="C1160" s="77">
        <v>0</v>
      </c>
      <c r="D1160" s="77">
        <v>0</v>
      </c>
      <c r="E1160" s="77">
        <v>0</v>
      </c>
      <c r="F1160" s="77">
        <v>0</v>
      </c>
      <c r="G1160" s="77">
        <v>0</v>
      </c>
      <c r="H1160" s="77">
        <v>0</v>
      </c>
      <c r="I1160" s="77">
        <v>0</v>
      </c>
      <c r="J1160" s="77">
        <v>0</v>
      </c>
      <c r="K1160" s="77">
        <v>0</v>
      </c>
      <c r="L1160" s="77">
        <v>0</v>
      </c>
      <c r="M1160" s="77">
        <v>0</v>
      </c>
      <c r="N1160" s="77">
        <v>0</v>
      </c>
      <c r="O1160" s="77">
        <v>0</v>
      </c>
      <c r="P1160" s="77">
        <v>0</v>
      </c>
      <c r="R1160" s="77"/>
      <c r="S1160" s="77"/>
      <c r="T1160" s="77"/>
      <c r="U1160" s="77"/>
      <c r="V1160" s="77"/>
      <c r="W1160" s="77"/>
      <c r="X1160" s="77"/>
      <c r="Y1160" s="77"/>
      <c r="Z1160" s="77"/>
      <c r="AA1160" s="77"/>
      <c r="AB1160" s="77"/>
      <c r="AC1160" s="77"/>
      <c r="AD1160" s="77"/>
      <c r="AE1160" s="77"/>
      <c r="AF1160" s="77"/>
      <c r="AG1160" s="77"/>
    </row>
    <row r="1161" spans="1:33" x14ac:dyDescent="0.25">
      <c r="A1161" s="77" t="s">
        <v>2</v>
      </c>
      <c r="B1161" s="77">
        <v>4.7153183700000003</v>
      </c>
      <c r="C1161" s="77">
        <v>0</v>
      </c>
      <c r="D1161" s="77">
        <v>4.7153183700000003</v>
      </c>
      <c r="E1161" s="77">
        <v>0</v>
      </c>
      <c r="F1161" s="77">
        <v>0</v>
      </c>
      <c r="G1161" s="77">
        <v>0</v>
      </c>
      <c r="H1161" s="77">
        <v>0</v>
      </c>
      <c r="I1161" s="77">
        <v>0</v>
      </c>
      <c r="J1161" s="77">
        <v>0</v>
      </c>
      <c r="K1161" s="77">
        <v>3.2225126799999999</v>
      </c>
      <c r="L1161" s="77">
        <v>1.4928056999999999</v>
      </c>
      <c r="M1161" s="77">
        <v>0</v>
      </c>
      <c r="N1161" s="77">
        <v>0</v>
      </c>
      <c r="O1161" s="77">
        <v>0</v>
      </c>
      <c r="P1161" s="77">
        <v>0</v>
      </c>
      <c r="R1161" s="77"/>
      <c r="S1161" s="77"/>
      <c r="T1161" s="77"/>
      <c r="U1161" s="77"/>
      <c r="V1161" s="77"/>
      <c r="W1161" s="77"/>
      <c r="X1161" s="77"/>
      <c r="Y1161" s="77"/>
      <c r="Z1161" s="77"/>
      <c r="AA1161" s="77"/>
      <c r="AB1161" s="77"/>
      <c r="AC1161" s="77"/>
      <c r="AD1161" s="77"/>
      <c r="AE1161" s="77"/>
      <c r="AF1161" s="77"/>
      <c r="AG1161" s="77"/>
    </row>
    <row r="1162" spans="1:33" x14ac:dyDescent="0.25">
      <c r="A1162" s="77" t="s">
        <v>3</v>
      </c>
      <c r="B1162" s="77">
        <v>1.2870239299999999</v>
      </c>
      <c r="C1162" s="77">
        <v>0</v>
      </c>
      <c r="D1162" s="77">
        <v>1.2870239299999999</v>
      </c>
      <c r="E1162" s="77">
        <v>1.1157036699999999E-2</v>
      </c>
      <c r="F1162" s="77">
        <v>2.47923107E-4</v>
      </c>
      <c r="G1162" s="77">
        <v>1.2085992099999999E-3</v>
      </c>
      <c r="H1162" s="77">
        <v>0</v>
      </c>
      <c r="I1162" s="77">
        <v>0</v>
      </c>
      <c r="J1162" s="77">
        <v>0</v>
      </c>
      <c r="K1162" s="77">
        <v>0.870949372</v>
      </c>
      <c r="L1162" s="77">
        <v>0.40346099899999999</v>
      </c>
      <c r="M1162" s="77">
        <v>0</v>
      </c>
      <c r="N1162" s="77">
        <v>0</v>
      </c>
      <c r="O1162" s="77">
        <v>0</v>
      </c>
      <c r="P1162" s="77">
        <v>0</v>
      </c>
      <c r="R1162" s="77"/>
      <c r="S1162" s="77"/>
      <c r="T1162" s="77"/>
      <c r="U1162" s="77"/>
      <c r="V1162" s="77"/>
      <c r="W1162" s="77"/>
      <c r="X1162" s="77"/>
      <c r="Y1162" s="77"/>
      <c r="Z1162" s="77"/>
      <c r="AA1162" s="77"/>
      <c r="AB1162" s="77"/>
      <c r="AC1162" s="77"/>
      <c r="AD1162" s="77"/>
      <c r="AE1162" s="77"/>
      <c r="AF1162" s="77"/>
      <c r="AG1162" s="77"/>
    </row>
    <row r="1163" spans="1:33" x14ac:dyDescent="0.25">
      <c r="A1163" s="77" t="s">
        <v>4</v>
      </c>
      <c r="B1163" s="77">
        <v>3.06407265</v>
      </c>
      <c r="C1163" s="77">
        <v>0</v>
      </c>
      <c r="D1163" s="77">
        <v>3.06407265</v>
      </c>
      <c r="E1163" s="77">
        <v>1.4315866399999999</v>
      </c>
      <c r="F1163" s="77">
        <v>0.21387187699999999</v>
      </c>
      <c r="G1163" s="77">
        <v>1.3429660999999999</v>
      </c>
      <c r="H1163" s="77">
        <v>7.4894239400000007E-2</v>
      </c>
      <c r="I1163" s="77">
        <v>0</v>
      </c>
      <c r="J1163" s="77">
        <v>0</v>
      </c>
      <c r="K1163" s="77">
        <v>0</v>
      </c>
      <c r="L1163" s="77">
        <v>0</v>
      </c>
      <c r="M1163" s="77">
        <v>7.5380113000000004E-4</v>
      </c>
      <c r="N1163" s="77">
        <v>0</v>
      </c>
      <c r="O1163" s="77">
        <v>0</v>
      </c>
      <c r="P1163" s="77">
        <v>0</v>
      </c>
      <c r="R1163" s="77"/>
      <c r="S1163" s="77"/>
      <c r="T1163" s="77"/>
      <c r="U1163" s="77"/>
      <c r="V1163" s="77"/>
      <c r="W1163" s="77"/>
      <c r="X1163" s="77"/>
      <c r="Y1163" s="77"/>
      <c r="Z1163" s="77"/>
      <c r="AA1163" s="77"/>
      <c r="AB1163" s="77"/>
      <c r="AC1163" s="77"/>
      <c r="AD1163" s="77"/>
      <c r="AE1163" s="77"/>
      <c r="AF1163" s="77"/>
      <c r="AG1163" s="77"/>
    </row>
    <row r="1164" spans="1:33" x14ac:dyDescent="0.25">
      <c r="A1164" s="77" t="s">
        <v>5</v>
      </c>
      <c r="B1164" s="77">
        <v>3.2225126799999999</v>
      </c>
      <c r="C1164" s="77">
        <v>4.0934620500000003</v>
      </c>
      <c r="D1164" s="77">
        <v>-0.870949372</v>
      </c>
      <c r="E1164" s="77">
        <v>2.2114219199999998</v>
      </c>
      <c r="F1164" s="77">
        <v>0.27835280200000001</v>
      </c>
      <c r="G1164" s="77">
        <v>0.71445904900000001</v>
      </c>
      <c r="H1164" s="77">
        <v>1.82789036E-2</v>
      </c>
      <c r="I1164" s="77">
        <v>0</v>
      </c>
      <c r="J1164" s="77">
        <v>0</v>
      </c>
      <c r="K1164" s="77">
        <v>0</v>
      </c>
      <c r="L1164" s="77">
        <v>0</v>
      </c>
      <c r="M1164" s="77">
        <v>0</v>
      </c>
      <c r="N1164" s="77">
        <v>0</v>
      </c>
      <c r="O1164" s="77">
        <v>0</v>
      </c>
      <c r="P1164" s="77">
        <v>0</v>
      </c>
      <c r="R1164" s="77"/>
      <c r="S1164" s="77"/>
      <c r="T1164" s="77"/>
      <c r="U1164" s="77"/>
      <c r="V1164" s="77"/>
      <c r="W1164" s="77"/>
      <c r="X1164" s="77"/>
      <c r="Y1164" s="77"/>
      <c r="Z1164" s="77"/>
      <c r="AA1164" s="77"/>
      <c r="AB1164" s="77"/>
      <c r="AC1164" s="77"/>
      <c r="AD1164" s="77"/>
      <c r="AE1164" s="77"/>
      <c r="AF1164" s="77"/>
      <c r="AG1164" s="77"/>
    </row>
    <row r="1165" spans="1:33" x14ac:dyDescent="0.25">
      <c r="A1165" s="77" t="s">
        <v>6</v>
      </c>
      <c r="B1165" s="77">
        <v>1.4928056999999999</v>
      </c>
      <c r="C1165" s="77">
        <v>1.8962667</v>
      </c>
      <c r="D1165" s="77">
        <v>-0.40346099899999999</v>
      </c>
      <c r="E1165" s="77">
        <v>1.17223992</v>
      </c>
      <c r="F1165" s="77">
        <v>8.7582628999999995E-2</v>
      </c>
      <c r="G1165" s="77">
        <v>0.22121410499999999</v>
      </c>
      <c r="H1165" s="77">
        <v>1.17690373E-2</v>
      </c>
      <c r="I1165" s="77">
        <v>0</v>
      </c>
      <c r="J1165" s="77">
        <v>0</v>
      </c>
      <c r="K1165" s="77">
        <v>0</v>
      </c>
      <c r="L1165" s="77">
        <v>0</v>
      </c>
      <c r="M1165" s="77">
        <v>0</v>
      </c>
      <c r="N1165" s="77">
        <v>0</v>
      </c>
      <c r="O1165" s="77">
        <v>0</v>
      </c>
      <c r="P1165" s="77">
        <v>0</v>
      </c>
      <c r="R1165" s="77"/>
      <c r="S1165" s="77"/>
      <c r="T1165" s="77"/>
      <c r="U1165" s="77"/>
      <c r="V1165" s="77"/>
      <c r="W1165" s="77"/>
      <c r="X1165" s="77"/>
      <c r="Y1165" s="77"/>
      <c r="Z1165" s="77"/>
      <c r="AA1165" s="77"/>
      <c r="AB1165" s="77"/>
      <c r="AC1165" s="77"/>
      <c r="AD1165" s="77"/>
      <c r="AE1165" s="77"/>
      <c r="AF1165" s="77"/>
      <c r="AG1165" s="77"/>
    </row>
    <row r="1166" spans="1:33" x14ac:dyDescent="0.25">
      <c r="A1166" s="77" t="s">
        <v>7</v>
      </c>
      <c r="B1166" s="77">
        <v>1.93000893E-3</v>
      </c>
      <c r="C1166" s="77">
        <v>7.5380113000000004E-4</v>
      </c>
      <c r="D1166" s="77">
        <v>1.1762077999999999E-3</v>
      </c>
      <c r="E1166" s="77">
        <v>0</v>
      </c>
      <c r="F1166" s="77">
        <v>1.02219703E-3</v>
      </c>
      <c r="G1166" s="77">
        <v>4.7686338699999998E-4</v>
      </c>
      <c r="H1166" s="77">
        <v>4.3094851400000001E-4</v>
      </c>
      <c r="I1166" s="77">
        <v>0</v>
      </c>
      <c r="J1166" s="77">
        <v>0</v>
      </c>
      <c r="K1166" s="77">
        <v>0</v>
      </c>
      <c r="L1166" s="77">
        <v>0</v>
      </c>
      <c r="M1166" s="77">
        <v>0</v>
      </c>
      <c r="N1166" s="77">
        <v>0</v>
      </c>
      <c r="O1166" s="77">
        <v>0</v>
      </c>
      <c r="P1166" s="77">
        <v>0</v>
      </c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7"/>
      <c r="AD1166" s="77"/>
      <c r="AE1166" s="77"/>
      <c r="AF1166" s="77"/>
      <c r="AG1166" s="77"/>
    </row>
    <row r="1167" spans="1:33" x14ac:dyDescent="0.25">
      <c r="A1167" s="77" t="s">
        <v>8</v>
      </c>
      <c r="B1167" s="77">
        <v>0</v>
      </c>
      <c r="C1167" s="77">
        <v>0</v>
      </c>
      <c r="D1167" s="77">
        <v>0</v>
      </c>
      <c r="E1167" s="77">
        <v>0</v>
      </c>
      <c r="F1167" s="77">
        <v>0</v>
      </c>
      <c r="G1167" s="77">
        <v>0</v>
      </c>
      <c r="H1167" s="77">
        <v>0</v>
      </c>
      <c r="I1167" s="77">
        <v>0</v>
      </c>
      <c r="J1167" s="77">
        <v>0</v>
      </c>
      <c r="K1167" s="77">
        <v>0</v>
      </c>
      <c r="L1167" s="77">
        <v>0</v>
      </c>
      <c r="M1167" s="77">
        <v>0</v>
      </c>
      <c r="N1167" s="77">
        <v>0</v>
      </c>
      <c r="O1167" s="77">
        <v>0</v>
      </c>
      <c r="P1167" s="77">
        <v>0</v>
      </c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7"/>
      <c r="AD1167" s="77"/>
      <c r="AE1167" s="77"/>
      <c r="AF1167" s="77"/>
      <c r="AG1167" s="77"/>
    </row>
    <row r="1168" spans="1:33" x14ac:dyDescent="0.25">
      <c r="A1168" s="77" t="s">
        <v>9</v>
      </c>
      <c r="B1168" s="77">
        <v>0</v>
      </c>
      <c r="C1168" s="77">
        <v>0</v>
      </c>
      <c r="D1168" s="77">
        <v>0</v>
      </c>
      <c r="E1168" s="77">
        <v>0</v>
      </c>
      <c r="F1168" s="77">
        <v>0</v>
      </c>
      <c r="G1168" s="77">
        <v>0</v>
      </c>
      <c r="H1168" s="77">
        <v>0</v>
      </c>
      <c r="I1168" s="77">
        <v>0</v>
      </c>
      <c r="J1168" s="77">
        <v>0</v>
      </c>
      <c r="K1168" s="77">
        <v>0</v>
      </c>
      <c r="L1168" s="77">
        <v>0</v>
      </c>
      <c r="M1168" s="77">
        <v>0</v>
      </c>
      <c r="N1168" s="77">
        <v>0</v>
      </c>
      <c r="O1168" s="77">
        <v>0</v>
      </c>
      <c r="P1168" s="77">
        <v>0</v>
      </c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7"/>
      <c r="AD1168" s="77"/>
      <c r="AE1168" s="77"/>
      <c r="AF1168" s="77"/>
      <c r="AG1168" s="77"/>
    </row>
    <row r="1169" spans="1:33" x14ac:dyDescent="0.25">
      <c r="A1169" s="77" t="s">
        <v>10</v>
      </c>
      <c r="B1169" s="77">
        <v>0</v>
      </c>
      <c r="C1169" s="77">
        <v>0</v>
      </c>
      <c r="D1169" s="77">
        <v>0</v>
      </c>
      <c r="E1169" s="77">
        <v>0</v>
      </c>
      <c r="F1169" s="77">
        <v>0</v>
      </c>
      <c r="G1169" s="77">
        <v>0</v>
      </c>
      <c r="H1169" s="77">
        <v>0</v>
      </c>
      <c r="I1169" s="77">
        <v>0</v>
      </c>
      <c r="J1169" s="77">
        <v>0</v>
      </c>
      <c r="K1169" s="77">
        <v>0</v>
      </c>
      <c r="L1169" s="77">
        <v>0</v>
      </c>
      <c r="M1169" s="77">
        <v>0</v>
      </c>
      <c r="N1169" s="77">
        <v>0</v>
      </c>
      <c r="O1169" s="77">
        <v>0</v>
      </c>
      <c r="P1169" s="77">
        <v>0</v>
      </c>
      <c r="R1169" s="77"/>
      <c r="S1169" s="77"/>
      <c r="T1169" s="77"/>
      <c r="U1169" s="77"/>
      <c r="V1169" s="77"/>
      <c r="W1169" s="77"/>
      <c r="X1169" s="77"/>
      <c r="Y1169" s="77"/>
      <c r="Z1169" s="77"/>
      <c r="AA1169" s="77"/>
      <c r="AB1169" s="77"/>
      <c r="AC1169" s="77"/>
      <c r="AD1169" s="77"/>
      <c r="AE1169" s="77"/>
      <c r="AF1169" s="77"/>
      <c r="AG1169" s="77"/>
    </row>
    <row r="1170" spans="1:33" x14ac:dyDescent="0.25">
      <c r="A1170" s="77" t="s">
        <v>11</v>
      </c>
      <c r="B1170" s="77">
        <v>0</v>
      </c>
      <c r="C1170" s="77">
        <v>0</v>
      </c>
      <c r="D1170" s="77">
        <v>0</v>
      </c>
      <c r="E1170" s="77">
        <v>0</v>
      </c>
      <c r="F1170" s="77">
        <v>0</v>
      </c>
      <c r="G1170" s="77">
        <v>0</v>
      </c>
      <c r="H1170" s="77">
        <v>0</v>
      </c>
      <c r="I1170" s="77">
        <v>0</v>
      </c>
      <c r="J1170" s="77">
        <v>0</v>
      </c>
      <c r="K1170" s="77">
        <v>0</v>
      </c>
      <c r="L1170" s="77">
        <v>0</v>
      </c>
      <c r="M1170" s="77">
        <v>0</v>
      </c>
      <c r="N1170" s="77">
        <v>0</v>
      </c>
      <c r="O1170" s="77">
        <v>0</v>
      </c>
      <c r="P1170" s="77">
        <v>0</v>
      </c>
      <c r="R1170" s="77"/>
      <c r="S1170" s="77"/>
      <c r="T1170" s="77"/>
      <c r="U1170" s="77"/>
      <c r="V1170" s="77"/>
      <c r="W1170" s="77"/>
      <c r="X1170" s="77"/>
      <c r="Y1170" s="77"/>
      <c r="Z1170" s="77"/>
      <c r="AA1170" s="77"/>
      <c r="AB1170" s="77"/>
      <c r="AC1170" s="77"/>
      <c r="AD1170" s="77"/>
      <c r="AE1170" s="77"/>
      <c r="AF1170" s="77"/>
      <c r="AG1170" s="77"/>
    </row>
    <row r="1171" spans="1:33" x14ac:dyDescent="0.25">
      <c r="A1171" s="77" t="s">
        <v>12</v>
      </c>
      <c r="B1171" s="77">
        <v>0</v>
      </c>
      <c r="C1171" s="77">
        <v>0</v>
      </c>
      <c r="D1171" s="77">
        <v>0</v>
      </c>
      <c r="E1171" s="77">
        <v>0</v>
      </c>
      <c r="F1171" s="77">
        <v>0</v>
      </c>
      <c r="G1171" s="77">
        <v>0</v>
      </c>
      <c r="H1171" s="77">
        <v>0</v>
      </c>
      <c r="I1171" s="77">
        <v>0</v>
      </c>
      <c r="J1171" s="77">
        <v>0</v>
      </c>
      <c r="K1171" s="77">
        <v>0</v>
      </c>
      <c r="L1171" s="77">
        <v>0</v>
      </c>
      <c r="M1171" s="77">
        <v>0</v>
      </c>
      <c r="N1171" s="77">
        <v>0</v>
      </c>
      <c r="O1171" s="77">
        <v>0</v>
      </c>
      <c r="P1171" s="77">
        <v>0</v>
      </c>
      <c r="R1171" s="77"/>
      <c r="S1171" s="77"/>
      <c r="T1171" s="77"/>
      <c r="U1171" s="77"/>
      <c r="V1171" s="77"/>
      <c r="W1171" s="77"/>
      <c r="X1171" s="77"/>
      <c r="Y1171" s="77"/>
      <c r="Z1171" s="77"/>
      <c r="AA1171" s="77"/>
      <c r="AB1171" s="77"/>
      <c r="AC1171" s="77"/>
      <c r="AD1171" s="77"/>
      <c r="AE1171" s="77"/>
      <c r="AF1171" s="77"/>
      <c r="AG1171" s="77"/>
    </row>
    <row r="1172" spans="1:33" x14ac:dyDescent="0.25">
      <c r="A1172" s="77" t="s">
        <v>13</v>
      </c>
      <c r="B1172" s="77">
        <v>0</v>
      </c>
      <c r="C1172" s="77">
        <v>0</v>
      </c>
      <c r="D1172" s="77">
        <v>0</v>
      </c>
      <c r="E1172" s="77">
        <v>0</v>
      </c>
      <c r="F1172" s="77">
        <v>0</v>
      </c>
      <c r="G1172" s="77">
        <v>0</v>
      </c>
      <c r="H1172" s="77">
        <v>0</v>
      </c>
      <c r="I1172" s="77">
        <v>0</v>
      </c>
      <c r="J1172" s="77">
        <v>0</v>
      </c>
      <c r="K1172" s="77">
        <v>0</v>
      </c>
      <c r="L1172" s="77">
        <v>0</v>
      </c>
      <c r="M1172" s="77">
        <v>0</v>
      </c>
      <c r="N1172" s="77">
        <v>0</v>
      </c>
      <c r="O1172" s="77">
        <v>0</v>
      </c>
      <c r="P1172" s="77">
        <v>0</v>
      </c>
      <c r="R1172" s="77"/>
      <c r="S1172" s="77"/>
      <c r="T1172" s="77"/>
      <c r="U1172" s="77"/>
      <c r="V1172" s="77"/>
      <c r="W1172" s="77"/>
      <c r="X1172" s="77"/>
      <c r="Y1172" s="77"/>
      <c r="Z1172" s="77"/>
      <c r="AA1172" s="77"/>
      <c r="AB1172" s="77"/>
      <c r="AC1172" s="77"/>
      <c r="AD1172" s="77"/>
      <c r="AE1172" s="77"/>
      <c r="AF1172" s="77"/>
      <c r="AG1172" s="77"/>
    </row>
    <row r="1173" spans="1:33" x14ac:dyDescent="0.25">
      <c r="A1173" s="77" t="s">
        <v>14</v>
      </c>
      <c r="B1173" s="77">
        <v>0</v>
      </c>
      <c r="C1173" s="77">
        <v>0</v>
      </c>
      <c r="D1173" s="77">
        <v>0</v>
      </c>
      <c r="E1173" s="77">
        <v>0</v>
      </c>
      <c r="F1173" s="77">
        <v>0</v>
      </c>
      <c r="G1173" s="77">
        <v>0</v>
      </c>
      <c r="H1173" s="77">
        <v>0</v>
      </c>
      <c r="I1173" s="77">
        <v>0</v>
      </c>
      <c r="J1173" s="77">
        <v>0</v>
      </c>
      <c r="K1173" s="77">
        <v>0</v>
      </c>
      <c r="L1173" s="77">
        <v>0</v>
      </c>
      <c r="M1173" s="77">
        <v>0</v>
      </c>
      <c r="N1173" s="77">
        <v>0</v>
      </c>
      <c r="O1173" s="77">
        <v>0</v>
      </c>
      <c r="P1173" s="77">
        <v>0</v>
      </c>
      <c r="R1173" s="77"/>
      <c r="S1173" s="77"/>
      <c r="T1173" s="77"/>
      <c r="U1173" s="77"/>
      <c r="V1173" s="77"/>
      <c r="W1173" s="77"/>
      <c r="X1173" s="77"/>
      <c r="Y1173" s="77"/>
      <c r="Z1173" s="77"/>
      <c r="AA1173" s="77"/>
      <c r="AB1173" s="77"/>
      <c r="AC1173" s="77"/>
      <c r="AD1173" s="77"/>
      <c r="AE1173" s="77"/>
      <c r="AF1173" s="77"/>
      <c r="AG1173" s="77"/>
    </row>
    <row r="1174" spans="1:33" x14ac:dyDescent="0.25">
      <c r="A1174" s="77" t="s">
        <v>476</v>
      </c>
      <c r="B1174" s="77"/>
      <c r="C1174" s="77"/>
      <c r="D1174" s="77"/>
      <c r="E1174" s="77"/>
      <c r="F1174" s="77"/>
      <c r="G1174" s="77"/>
      <c r="H1174" s="77"/>
      <c r="I1174" s="77"/>
      <c r="J1174" s="77"/>
      <c r="K1174" s="77"/>
      <c r="L1174" s="77"/>
      <c r="M1174" s="77"/>
      <c r="N1174" s="77"/>
      <c r="O1174" s="77"/>
      <c r="P1174" s="77"/>
      <c r="R1174" s="77"/>
      <c r="S1174" s="77"/>
      <c r="T1174" s="77"/>
      <c r="U1174" s="77"/>
      <c r="V1174" s="77"/>
      <c r="W1174" s="77"/>
      <c r="X1174" s="77"/>
      <c r="Y1174" s="77"/>
      <c r="Z1174" s="77"/>
      <c r="AA1174" s="77"/>
      <c r="AB1174" s="77"/>
      <c r="AC1174" s="77"/>
      <c r="AD1174" s="77"/>
      <c r="AE1174" s="77"/>
      <c r="AF1174" s="77"/>
      <c r="AG1174" s="77"/>
    </row>
    <row r="1175" spans="1:33" x14ac:dyDescent="0.25">
      <c r="A1175" s="77" t="s">
        <v>360</v>
      </c>
      <c r="B1175" s="77" t="s">
        <v>18</v>
      </c>
      <c r="C1175" s="77" t="s">
        <v>19</v>
      </c>
      <c r="D1175" s="77" t="s">
        <v>20</v>
      </c>
      <c r="E1175" s="77" t="s">
        <v>21</v>
      </c>
      <c r="F1175" s="77" t="s">
        <v>22</v>
      </c>
      <c r="G1175" s="77" t="s">
        <v>23</v>
      </c>
      <c r="H1175" s="77" t="s">
        <v>361</v>
      </c>
      <c r="I1175" s="77" t="s">
        <v>25</v>
      </c>
      <c r="J1175" s="77" t="s">
        <v>362</v>
      </c>
      <c r="K1175" s="77" t="s">
        <v>5</v>
      </c>
      <c r="L1175" s="77" t="s">
        <v>6</v>
      </c>
      <c r="M1175" s="77" t="s">
        <v>7</v>
      </c>
      <c r="N1175" s="77" t="s">
        <v>8</v>
      </c>
      <c r="O1175" s="77" t="s">
        <v>9</v>
      </c>
      <c r="P1175" s="77" t="s">
        <v>363</v>
      </c>
      <c r="R1175" s="77"/>
      <c r="S1175" s="77"/>
      <c r="T1175" s="77"/>
      <c r="U1175" s="77"/>
      <c r="V1175" s="77"/>
      <c r="W1175" s="77"/>
      <c r="X1175" s="77"/>
      <c r="Y1175" s="77"/>
      <c r="Z1175" s="77"/>
      <c r="AA1175" s="77"/>
      <c r="AB1175" s="77"/>
      <c r="AC1175" s="77"/>
      <c r="AD1175" s="77"/>
      <c r="AE1175" s="77"/>
      <c r="AF1175" s="77"/>
      <c r="AG1175" s="77"/>
    </row>
    <row r="1176" spans="1:33" x14ac:dyDescent="0.25">
      <c r="A1176" s="77" t="s">
        <v>364</v>
      </c>
      <c r="B1176" s="77" t="s">
        <v>365</v>
      </c>
      <c r="C1176" s="77" t="s">
        <v>365</v>
      </c>
      <c r="D1176" s="77" t="s">
        <v>365</v>
      </c>
      <c r="E1176" s="77" t="s">
        <v>365</v>
      </c>
      <c r="F1176" s="77" t="s">
        <v>365</v>
      </c>
      <c r="G1176" s="77" t="s">
        <v>365</v>
      </c>
      <c r="H1176" s="77" t="s">
        <v>365</v>
      </c>
      <c r="I1176" s="77" t="s">
        <v>365</v>
      </c>
      <c r="J1176" s="77" t="s">
        <v>365</v>
      </c>
      <c r="K1176" s="77" t="s">
        <v>365</v>
      </c>
      <c r="L1176" s="77" t="s">
        <v>365</v>
      </c>
      <c r="M1176" s="77" t="s">
        <v>365</v>
      </c>
      <c r="N1176" s="77" t="s">
        <v>365</v>
      </c>
      <c r="O1176" s="77" t="s">
        <v>365</v>
      </c>
      <c r="P1176" s="77" t="s">
        <v>365</v>
      </c>
      <c r="R1176" s="77"/>
      <c r="S1176" s="77"/>
      <c r="T1176" s="77"/>
      <c r="U1176" s="77"/>
      <c r="V1176" s="77"/>
      <c r="W1176" s="77"/>
      <c r="X1176" s="77"/>
      <c r="Y1176" s="77"/>
      <c r="Z1176" s="77"/>
      <c r="AA1176" s="77"/>
      <c r="AB1176" s="77"/>
      <c r="AC1176" s="77"/>
      <c r="AD1176" s="77"/>
      <c r="AE1176" s="77"/>
      <c r="AF1176" s="77"/>
      <c r="AG1176" s="77"/>
    </row>
    <row r="1177" spans="1:33" x14ac:dyDescent="0.25">
      <c r="A1177" s="77" t="s">
        <v>1</v>
      </c>
      <c r="B1177" s="77">
        <v>0</v>
      </c>
      <c r="C1177" s="77">
        <v>0</v>
      </c>
      <c r="D1177" s="77">
        <v>0</v>
      </c>
      <c r="E1177" s="77">
        <v>0</v>
      </c>
      <c r="F1177" s="77">
        <v>0</v>
      </c>
      <c r="G1177" s="77">
        <v>0</v>
      </c>
      <c r="H1177" s="77">
        <v>0</v>
      </c>
      <c r="I1177" s="77">
        <v>0</v>
      </c>
      <c r="J1177" s="77">
        <v>0</v>
      </c>
      <c r="K1177" s="77">
        <v>0</v>
      </c>
      <c r="L1177" s="77">
        <v>0</v>
      </c>
      <c r="M1177" s="77">
        <v>0</v>
      </c>
      <c r="N1177" s="77">
        <v>0</v>
      </c>
      <c r="O1177" s="77">
        <v>0</v>
      </c>
      <c r="P1177" s="77">
        <v>0</v>
      </c>
      <c r="R1177" s="77"/>
      <c r="S1177" s="77"/>
      <c r="T1177" s="77"/>
      <c r="U1177" s="77"/>
      <c r="V1177" s="77"/>
      <c r="W1177" s="77"/>
      <c r="X1177" s="77"/>
      <c r="Y1177" s="77"/>
      <c r="Z1177" s="77"/>
      <c r="AA1177" s="77"/>
      <c r="AB1177" s="77"/>
      <c r="AC1177" s="77"/>
      <c r="AD1177" s="77"/>
      <c r="AE1177" s="77"/>
      <c r="AF1177" s="77"/>
      <c r="AG1177" s="77"/>
    </row>
    <row r="1178" spans="1:33" x14ac:dyDescent="0.25">
      <c r="A1178" s="77" t="s">
        <v>2</v>
      </c>
      <c r="B1178" s="77">
        <v>24.987930800000001</v>
      </c>
      <c r="C1178" s="77">
        <v>0</v>
      </c>
      <c r="D1178" s="77">
        <v>24.987930800000001</v>
      </c>
      <c r="E1178" s="77">
        <v>0</v>
      </c>
      <c r="F1178" s="77">
        <v>0</v>
      </c>
      <c r="G1178" s="77">
        <v>0</v>
      </c>
      <c r="H1178" s="77">
        <v>0</v>
      </c>
      <c r="I1178" s="77">
        <v>0</v>
      </c>
      <c r="J1178" s="77">
        <v>0</v>
      </c>
      <c r="K1178" s="77">
        <v>24.987930800000001</v>
      </c>
      <c r="L1178" s="77">
        <v>0</v>
      </c>
      <c r="M1178" s="77">
        <v>0</v>
      </c>
      <c r="N1178" s="77">
        <v>0</v>
      </c>
      <c r="O1178" s="77">
        <v>0</v>
      </c>
      <c r="P1178" s="77">
        <v>0</v>
      </c>
      <c r="R1178" s="77"/>
      <c r="S1178" s="77"/>
      <c r="T1178" s="77"/>
      <c r="U1178" s="77"/>
      <c r="V1178" s="77"/>
      <c r="W1178" s="77"/>
      <c r="X1178" s="77"/>
      <c r="Y1178" s="77"/>
      <c r="Z1178" s="77"/>
      <c r="AA1178" s="77"/>
      <c r="AB1178" s="77"/>
      <c r="AC1178" s="77"/>
      <c r="AD1178" s="77"/>
      <c r="AE1178" s="77"/>
      <c r="AF1178" s="77"/>
      <c r="AG1178" s="77"/>
    </row>
    <row r="1179" spans="1:33" x14ac:dyDescent="0.25">
      <c r="A1179" s="77" t="s">
        <v>3</v>
      </c>
      <c r="B1179" s="77">
        <v>63.613571</v>
      </c>
      <c r="C1179" s="77">
        <v>0</v>
      </c>
      <c r="D1179" s="77">
        <v>63.613571</v>
      </c>
      <c r="E1179" s="77">
        <v>0.55272144499999998</v>
      </c>
      <c r="F1179" s="77">
        <v>1.2306204499999999E-2</v>
      </c>
      <c r="G1179" s="77">
        <v>5.9511555000000001E-2</v>
      </c>
      <c r="H1179" s="77">
        <v>0</v>
      </c>
      <c r="I1179" s="77">
        <v>0</v>
      </c>
      <c r="J1179" s="77">
        <v>0</v>
      </c>
      <c r="K1179" s="77">
        <v>43.042684399999999</v>
      </c>
      <c r="L1179" s="77">
        <v>19.946347400000001</v>
      </c>
      <c r="M1179" s="77">
        <v>0</v>
      </c>
      <c r="N1179" s="77">
        <v>0</v>
      </c>
      <c r="O1179" s="77">
        <v>0</v>
      </c>
      <c r="P1179" s="77">
        <v>0</v>
      </c>
      <c r="R1179" s="77"/>
      <c r="S1179" s="77"/>
      <c r="T1179" s="77"/>
      <c r="U1179" s="77"/>
      <c r="V1179" s="77"/>
      <c r="W1179" s="77"/>
      <c r="X1179" s="77"/>
      <c r="Y1179" s="77"/>
      <c r="Z1179" s="77"/>
      <c r="AA1179" s="77"/>
      <c r="AB1179" s="77"/>
      <c r="AC1179" s="77"/>
      <c r="AD1179" s="77"/>
      <c r="AE1179" s="77"/>
      <c r="AF1179" s="77"/>
      <c r="AG1179" s="77"/>
    </row>
    <row r="1180" spans="1:33" x14ac:dyDescent="0.25">
      <c r="A1180" s="77" t="s">
        <v>4</v>
      </c>
      <c r="B1180" s="77">
        <v>40.854118</v>
      </c>
      <c r="C1180" s="77">
        <v>0</v>
      </c>
      <c r="D1180" s="77">
        <v>40.854118</v>
      </c>
      <c r="E1180" s="77">
        <v>19.087821900000002</v>
      </c>
      <c r="F1180" s="77">
        <v>2.8516250300000001</v>
      </c>
      <c r="G1180" s="77">
        <v>17.906214599999998</v>
      </c>
      <c r="H1180" s="77">
        <v>0.99858985899999997</v>
      </c>
      <c r="I1180" s="77">
        <v>0</v>
      </c>
      <c r="J1180" s="77">
        <v>0</v>
      </c>
      <c r="K1180" s="77">
        <v>0</v>
      </c>
      <c r="L1180" s="77">
        <v>0</v>
      </c>
      <c r="M1180" s="77">
        <v>9.8665850899999994E-3</v>
      </c>
      <c r="N1180" s="77">
        <v>0</v>
      </c>
      <c r="O1180" s="77">
        <v>0</v>
      </c>
      <c r="P1180" s="77">
        <v>0</v>
      </c>
      <c r="R1180" s="77"/>
      <c r="S1180" s="77"/>
      <c r="T1180" s="77"/>
      <c r="U1180" s="77"/>
      <c r="V1180" s="77"/>
      <c r="W1180" s="77"/>
      <c r="X1180" s="77"/>
      <c r="Y1180" s="77"/>
      <c r="Z1180" s="77"/>
      <c r="AA1180" s="77"/>
      <c r="AB1180" s="77"/>
      <c r="AC1180" s="77"/>
      <c r="AD1180" s="77"/>
      <c r="AE1180" s="77"/>
      <c r="AF1180" s="77"/>
      <c r="AG1180" s="77"/>
    </row>
    <row r="1181" spans="1:33" x14ac:dyDescent="0.25">
      <c r="A1181" s="77" t="s">
        <v>5</v>
      </c>
      <c r="B1181" s="77">
        <v>68.0306152</v>
      </c>
      <c r="C1181" s="77">
        <v>68.0306152</v>
      </c>
      <c r="D1181" s="77">
        <v>0</v>
      </c>
      <c r="E1181" s="77">
        <v>46.734767099999999</v>
      </c>
      <c r="F1181" s="77">
        <v>5.8840168899999998</v>
      </c>
      <c r="G1181" s="77">
        <v>15.027409499999999</v>
      </c>
      <c r="H1181" s="77">
        <v>0.38442167700000002</v>
      </c>
      <c r="I1181" s="77">
        <v>0</v>
      </c>
      <c r="J1181" s="77">
        <v>0</v>
      </c>
      <c r="K1181" s="77">
        <v>0</v>
      </c>
      <c r="L1181" s="77">
        <v>0</v>
      </c>
      <c r="M1181" s="77">
        <v>0</v>
      </c>
      <c r="N1181" s="77">
        <v>0</v>
      </c>
      <c r="O1181" s="77">
        <v>0</v>
      </c>
      <c r="P1181" s="77">
        <v>0</v>
      </c>
      <c r="R1181" s="77"/>
      <c r="S1181" s="77"/>
      <c r="T1181" s="77"/>
      <c r="U1181" s="105"/>
      <c r="V1181" s="77"/>
      <c r="W1181" s="77"/>
      <c r="X1181" s="77"/>
      <c r="Y1181" s="77"/>
      <c r="Z1181" s="77"/>
      <c r="AA1181" s="77"/>
      <c r="AB1181" s="77"/>
      <c r="AC1181" s="77"/>
      <c r="AD1181" s="77"/>
      <c r="AE1181" s="77"/>
      <c r="AF1181" s="77"/>
      <c r="AG1181" s="77"/>
    </row>
    <row r="1182" spans="1:33" x14ac:dyDescent="0.25">
      <c r="A1182" s="77" t="s">
        <v>6</v>
      </c>
      <c r="B1182" s="77">
        <v>19.946347400000001</v>
      </c>
      <c r="C1182" s="77">
        <v>19.946347400000001</v>
      </c>
      <c r="D1182" s="105">
        <v>0</v>
      </c>
      <c r="E1182" s="77">
        <v>15.6751331</v>
      </c>
      <c r="F1182" s="77">
        <v>1.1712480199999999</v>
      </c>
      <c r="G1182" s="77">
        <v>2.94271459</v>
      </c>
      <c r="H1182" s="77">
        <v>0.15725165599999999</v>
      </c>
      <c r="I1182" s="77">
        <v>0</v>
      </c>
      <c r="J1182" s="77">
        <v>0</v>
      </c>
      <c r="K1182" s="77">
        <v>0</v>
      </c>
      <c r="L1182" s="77">
        <v>0</v>
      </c>
      <c r="M1182" s="77">
        <v>0</v>
      </c>
      <c r="N1182" s="77">
        <v>0</v>
      </c>
      <c r="O1182" s="77">
        <v>0</v>
      </c>
      <c r="P1182" s="77">
        <v>0</v>
      </c>
      <c r="R1182" s="77"/>
      <c r="S1182" s="77"/>
      <c r="T1182" s="77"/>
      <c r="U1182" s="105"/>
      <c r="V1182" s="77"/>
      <c r="W1182" s="77"/>
      <c r="X1182" s="77"/>
      <c r="Y1182" s="77"/>
      <c r="Z1182" s="77"/>
      <c r="AA1182" s="77"/>
      <c r="AB1182" s="77"/>
      <c r="AC1182" s="77"/>
      <c r="AD1182" s="77"/>
      <c r="AE1182" s="77"/>
      <c r="AF1182" s="77"/>
      <c r="AG1182" s="77"/>
    </row>
    <row r="1183" spans="1:33" x14ac:dyDescent="0.25">
      <c r="A1183" s="77" t="s">
        <v>7</v>
      </c>
      <c r="B1183" s="77">
        <v>9.8665850899999994E-3</v>
      </c>
      <c r="C1183" s="77">
        <v>9.8665850899999994E-3</v>
      </c>
      <c r="D1183" s="77">
        <v>0</v>
      </c>
      <c r="E1183" s="77">
        <v>0</v>
      </c>
      <c r="F1183" s="77">
        <v>5.2403980899999999E-3</v>
      </c>
      <c r="G1183" s="77">
        <v>2.42947108E-3</v>
      </c>
      <c r="H1183" s="77">
        <v>2.19671591E-3</v>
      </c>
      <c r="I1183" s="77">
        <v>0</v>
      </c>
      <c r="J1183" s="77">
        <v>0</v>
      </c>
      <c r="K1183" s="77">
        <v>0</v>
      </c>
      <c r="L1183" s="77">
        <v>0</v>
      </c>
      <c r="M1183" s="77">
        <v>0</v>
      </c>
      <c r="N1183" s="77">
        <v>0</v>
      </c>
      <c r="O1183" s="77">
        <v>0</v>
      </c>
      <c r="P1183" s="77">
        <v>0</v>
      </c>
      <c r="R1183" s="77"/>
      <c r="S1183" s="77"/>
      <c r="T1183" s="77"/>
      <c r="U1183" s="105"/>
      <c r="V1183" s="77"/>
      <c r="W1183" s="77"/>
      <c r="X1183" s="77"/>
      <c r="Y1183" s="77"/>
      <c r="Z1183" s="77"/>
      <c r="AA1183" s="77"/>
      <c r="AB1183" s="77"/>
      <c r="AC1183" s="77"/>
      <c r="AD1183" s="77"/>
      <c r="AE1183" s="77"/>
      <c r="AF1183" s="77"/>
      <c r="AG1183" s="77"/>
    </row>
    <row r="1184" spans="1:33" x14ac:dyDescent="0.25">
      <c r="A1184" s="77" t="s">
        <v>8</v>
      </c>
      <c r="B1184" s="77">
        <v>0</v>
      </c>
      <c r="C1184" s="77">
        <v>0</v>
      </c>
      <c r="D1184" s="77">
        <v>0</v>
      </c>
      <c r="E1184" s="77">
        <v>0</v>
      </c>
      <c r="F1184" s="77">
        <v>0</v>
      </c>
      <c r="G1184" s="77">
        <v>0</v>
      </c>
      <c r="H1184" s="77">
        <v>0</v>
      </c>
      <c r="I1184" s="77">
        <v>0</v>
      </c>
      <c r="J1184" s="77">
        <v>0</v>
      </c>
      <c r="K1184" s="77">
        <v>0</v>
      </c>
      <c r="L1184" s="77">
        <v>0</v>
      </c>
      <c r="M1184" s="77">
        <v>0</v>
      </c>
      <c r="N1184" s="77">
        <v>0</v>
      </c>
      <c r="O1184" s="77">
        <v>0</v>
      </c>
      <c r="P1184" s="77">
        <v>0</v>
      </c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7"/>
      <c r="AD1184" s="77"/>
      <c r="AE1184" s="77"/>
      <c r="AF1184" s="77"/>
      <c r="AG1184" s="77"/>
    </row>
    <row r="1185" spans="1:33" x14ac:dyDescent="0.25">
      <c r="A1185" s="77" t="s">
        <v>9</v>
      </c>
      <c r="B1185" s="77">
        <v>0</v>
      </c>
      <c r="C1185" s="77">
        <v>0</v>
      </c>
      <c r="D1185" s="105">
        <v>0</v>
      </c>
      <c r="E1185" s="77">
        <v>0</v>
      </c>
      <c r="F1185" s="77">
        <v>0</v>
      </c>
      <c r="G1185" s="77">
        <v>0</v>
      </c>
      <c r="H1185" s="77">
        <v>0</v>
      </c>
      <c r="I1185" s="77">
        <v>0</v>
      </c>
      <c r="J1185" s="77">
        <v>0</v>
      </c>
      <c r="K1185" s="77">
        <v>0</v>
      </c>
      <c r="L1185" s="77">
        <v>0</v>
      </c>
      <c r="M1185" s="77">
        <v>0</v>
      </c>
      <c r="N1185" s="77">
        <v>0</v>
      </c>
      <c r="O1185" s="77">
        <v>0</v>
      </c>
      <c r="P1185" s="77">
        <v>0</v>
      </c>
      <c r="R1185" s="77"/>
      <c r="S1185" s="77"/>
      <c r="T1185" s="77"/>
      <c r="U1185" s="105"/>
      <c r="V1185" s="77"/>
      <c r="W1185" s="77"/>
      <c r="X1185" s="77"/>
      <c r="Y1185" s="77"/>
      <c r="Z1185" s="77"/>
      <c r="AA1185" s="77"/>
      <c r="AB1185" s="77"/>
      <c r="AC1185" s="77"/>
      <c r="AD1185" s="77"/>
      <c r="AE1185" s="77"/>
      <c r="AF1185" s="77"/>
      <c r="AG1185" s="77"/>
    </row>
    <row r="1186" spans="1:33" x14ac:dyDescent="0.25">
      <c r="A1186" s="77" t="s">
        <v>10</v>
      </c>
      <c r="B1186" s="77">
        <v>0</v>
      </c>
      <c r="C1186" s="77">
        <v>0</v>
      </c>
      <c r="D1186" s="77">
        <v>0</v>
      </c>
      <c r="E1186" s="77">
        <v>0</v>
      </c>
      <c r="F1186" s="77">
        <v>0</v>
      </c>
      <c r="G1186" s="77">
        <v>0</v>
      </c>
      <c r="H1186" s="77">
        <v>0</v>
      </c>
      <c r="I1186" s="77">
        <v>0</v>
      </c>
      <c r="J1186" s="77">
        <v>0</v>
      </c>
      <c r="K1186" s="77">
        <v>0</v>
      </c>
      <c r="L1186" s="77">
        <v>0</v>
      </c>
      <c r="M1186" s="77">
        <v>0</v>
      </c>
      <c r="N1186" s="77">
        <v>0</v>
      </c>
      <c r="O1186" s="77">
        <v>0</v>
      </c>
      <c r="P1186" s="77">
        <v>0</v>
      </c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7"/>
      <c r="AD1186" s="77"/>
      <c r="AE1186" s="77"/>
      <c r="AF1186" s="77"/>
      <c r="AG1186" s="77"/>
    </row>
    <row r="1187" spans="1:33" x14ac:dyDescent="0.25">
      <c r="A1187" s="77" t="s">
        <v>11</v>
      </c>
      <c r="B1187" s="77">
        <v>0</v>
      </c>
      <c r="C1187" s="77">
        <v>0</v>
      </c>
      <c r="D1187" s="77">
        <v>0</v>
      </c>
      <c r="E1187" s="77">
        <v>0</v>
      </c>
      <c r="F1187" s="77">
        <v>0</v>
      </c>
      <c r="G1187" s="77">
        <v>0</v>
      </c>
      <c r="H1187" s="77">
        <v>0</v>
      </c>
      <c r="I1187" s="77">
        <v>0</v>
      </c>
      <c r="J1187" s="77">
        <v>0</v>
      </c>
      <c r="K1187" s="77">
        <v>0</v>
      </c>
      <c r="L1187" s="77">
        <v>0</v>
      </c>
      <c r="M1187" s="77">
        <v>0</v>
      </c>
      <c r="N1187" s="77">
        <v>0</v>
      </c>
      <c r="O1187" s="77">
        <v>0</v>
      </c>
      <c r="P1187" s="77">
        <v>0</v>
      </c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7"/>
      <c r="AD1187" s="77"/>
      <c r="AE1187" s="77"/>
      <c r="AF1187" s="77"/>
      <c r="AG1187" s="77"/>
    </row>
    <row r="1188" spans="1:33" x14ac:dyDescent="0.25">
      <c r="A1188" s="77" t="s">
        <v>12</v>
      </c>
      <c r="B1188" s="77">
        <v>0</v>
      </c>
      <c r="C1188" s="77">
        <v>0</v>
      </c>
      <c r="D1188" s="77">
        <v>0</v>
      </c>
      <c r="E1188" s="77">
        <v>0</v>
      </c>
      <c r="F1188" s="77">
        <v>0</v>
      </c>
      <c r="G1188" s="77">
        <v>0</v>
      </c>
      <c r="H1188" s="77">
        <v>0</v>
      </c>
      <c r="I1188" s="77">
        <v>0</v>
      </c>
      <c r="J1188" s="77">
        <v>0</v>
      </c>
      <c r="K1188" s="77">
        <v>0</v>
      </c>
      <c r="L1188" s="77">
        <v>0</v>
      </c>
      <c r="M1188" s="77">
        <v>0</v>
      </c>
      <c r="N1188" s="77">
        <v>0</v>
      </c>
      <c r="O1188" s="77">
        <v>0</v>
      </c>
      <c r="P1188" s="77">
        <v>0</v>
      </c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7"/>
      <c r="AD1188" s="77"/>
      <c r="AE1188" s="77"/>
      <c r="AF1188" s="77"/>
      <c r="AG1188" s="77"/>
    </row>
    <row r="1189" spans="1:33" x14ac:dyDescent="0.25">
      <c r="A1189" s="77" t="s">
        <v>13</v>
      </c>
      <c r="B1189" s="77">
        <v>0</v>
      </c>
      <c r="C1189" s="77">
        <v>0</v>
      </c>
      <c r="D1189" s="77">
        <v>0</v>
      </c>
      <c r="E1189" s="77">
        <v>0</v>
      </c>
      <c r="F1189" s="77">
        <v>0</v>
      </c>
      <c r="G1189" s="77">
        <v>0</v>
      </c>
      <c r="H1189" s="77">
        <v>0</v>
      </c>
      <c r="I1189" s="77">
        <v>0</v>
      </c>
      <c r="J1189" s="77">
        <v>0</v>
      </c>
      <c r="K1189" s="77">
        <v>0</v>
      </c>
      <c r="L1189" s="77">
        <v>0</v>
      </c>
      <c r="M1189" s="77">
        <v>0</v>
      </c>
      <c r="N1189" s="77">
        <v>0</v>
      </c>
      <c r="O1189" s="77">
        <v>0</v>
      </c>
      <c r="P1189" s="77">
        <v>0</v>
      </c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7"/>
      <c r="AD1189" s="77"/>
      <c r="AE1189" s="77"/>
      <c r="AF1189" s="77"/>
      <c r="AG1189" s="77"/>
    </row>
    <row r="1190" spans="1:33" x14ac:dyDescent="0.25">
      <c r="A1190" s="77" t="s">
        <v>14</v>
      </c>
      <c r="B1190" s="77">
        <v>0</v>
      </c>
      <c r="C1190" s="77">
        <v>0</v>
      </c>
      <c r="D1190" s="77">
        <v>0</v>
      </c>
      <c r="E1190" s="77">
        <v>0</v>
      </c>
      <c r="F1190" s="77">
        <v>0</v>
      </c>
      <c r="G1190" s="77">
        <v>0</v>
      </c>
      <c r="H1190" s="77">
        <v>0</v>
      </c>
      <c r="I1190" s="77">
        <v>0</v>
      </c>
      <c r="J1190" s="77">
        <v>0</v>
      </c>
      <c r="K1190" s="77">
        <v>0</v>
      </c>
      <c r="L1190" s="77">
        <v>0</v>
      </c>
      <c r="M1190" s="77">
        <v>0</v>
      </c>
      <c r="N1190" s="77">
        <v>0</v>
      </c>
      <c r="O1190" s="77">
        <v>0</v>
      </c>
      <c r="P1190" s="77">
        <v>0</v>
      </c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7"/>
      <c r="AD1190" s="77"/>
      <c r="AE1190" s="77"/>
      <c r="AF1190" s="77"/>
      <c r="AG1190" s="77"/>
    </row>
    <row r="1191" spans="1:33" x14ac:dyDescent="0.25">
      <c r="A1191" s="77" t="s">
        <v>477</v>
      </c>
      <c r="B1191" s="77"/>
      <c r="C1191" s="77"/>
      <c r="D1191" s="77"/>
      <c r="E1191" s="77"/>
      <c r="F1191" s="77"/>
      <c r="G1191" s="77"/>
      <c r="H1191" s="77"/>
      <c r="I1191" s="77"/>
      <c r="J1191" s="77"/>
      <c r="K1191" s="77"/>
      <c r="L1191" s="77"/>
      <c r="M1191" s="77"/>
      <c r="N1191" s="77"/>
      <c r="O1191" s="77"/>
      <c r="P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7"/>
      <c r="AD1191" s="77"/>
      <c r="AE1191" s="77"/>
      <c r="AF1191" s="77"/>
      <c r="AG1191" s="77"/>
    </row>
    <row r="1192" spans="1:33" x14ac:dyDescent="0.25">
      <c r="A1192" s="77" t="s">
        <v>360</v>
      </c>
      <c r="B1192" s="77" t="s">
        <v>366</v>
      </c>
      <c r="C1192" s="77" t="s">
        <v>367</v>
      </c>
      <c r="D1192" s="77" t="s">
        <v>368</v>
      </c>
      <c r="E1192" s="77" t="s">
        <v>21</v>
      </c>
      <c r="F1192" s="77" t="s">
        <v>22</v>
      </c>
      <c r="G1192" s="77" t="s">
        <v>23</v>
      </c>
      <c r="H1192" s="77" t="s">
        <v>361</v>
      </c>
      <c r="I1192" s="77" t="s">
        <v>25</v>
      </c>
      <c r="J1192" s="77" t="s">
        <v>362</v>
      </c>
      <c r="K1192" s="77" t="s">
        <v>5</v>
      </c>
      <c r="L1192" s="77" t="s">
        <v>6</v>
      </c>
      <c r="M1192" s="77" t="s">
        <v>7</v>
      </c>
      <c r="N1192" s="77" t="s">
        <v>8</v>
      </c>
      <c r="O1192" s="77" t="s">
        <v>9</v>
      </c>
      <c r="P1192" s="77" t="s">
        <v>363</v>
      </c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7"/>
      <c r="AD1192" s="77"/>
      <c r="AE1192" s="77"/>
      <c r="AF1192" s="77"/>
      <c r="AG1192" s="77"/>
    </row>
    <row r="1193" spans="1:33" x14ac:dyDescent="0.25">
      <c r="A1193" s="77" t="s">
        <v>364</v>
      </c>
      <c r="B1193" s="77" t="s">
        <v>369</v>
      </c>
      <c r="C1193" s="77" t="s">
        <v>369</v>
      </c>
      <c r="D1193" s="77" t="s">
        <v>369</v>
      </c>
      <c r="E1193" s="77" t="s">
        <v>369</v>
      </c>
      <c r="F1193" s="77" t="s">
        <v>369</v>
      </c>
      <c r="G1193" s="77" t="s">
        <v>369</v>
      </c>
      <c r="H1193" s="77" t="s">
        <v>369</v>
      </c>
      <c r="I1193" s="77" t="s">
        <v>369</v>
      </c>
      <c r="J1193" s="77" t="s">
        <v>369</v>
      </c>
      <c r="K1193" s="77" t="s">
        <v>369</v>
      </c>
      <c r="L1193" s="77" t="s">
        <v>369</v>
      </c>
      <c r="M1193" s="77" t="s">
        <v>369</v>
      </c>
      <c r="N1193" s="77" t="s">
        <v>369</v>
      </c>
      <c r="O1193" s="77" t="s">
        <v>369</v>
      </c>
      <c r="P1193" s="77" t="s">
        <v>369</v>
      </c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7"/>
      <c r="AD1193" s="77"/>
      <c r="AE1193" s="77"/>
      <c r="AF1193" s="77"/>
      <c r="AG1193" s="77"/>
    </row>
    <row r="1194" spans="1:33" x14ac:dyDescent="0.25">
      <c r="A1194" s="77" t="s">
        <v>1</v>
      </c>
      <c r="B1194" s="77">
        <v>128.465338</v>
      </c>
      <c r="C1194" s="77">
        <v>0</v>
      </c>
      <c r="D1194" s="77">
        <v>128.465338</v>
      </c>
      <c r="E1194" s="77">
        <v>35.699894</v>
      </c>
      <c r="F1194" s="77">
        <v>0</v>
      </c>
      <c r="G1194" s="77">
        <v>24.6858124</v>
      </c>
      <c r="H1194" s="77">
        <v>0</v>
      </c>
      <c r="I1194" s="77">
        <v>0</v>
      </c>
      <c r="J1194" s="77">
        <v>0</v>
      </c>
      <c r="K1194" s="77">
        <v>29.729580800000001</v>
      </c>
      <c r="L1194" s="77">
        <v>38.233194400000002</v>
      </c>
      <c r="M1194" s="77">
        <v>0.116855952</v>
      </c>
      <c r="N1194" s="77">
        <v>0</v>
      </c>
      <c r="O1194" s="77">
        <v>0</v>
      </c>
      <c r="P1194" s="77">
        <v>0</v>
      </c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7"/>
      <c r="AD1194" s="77"/>
      <c r="AE1194" s="77"/>
      <c r="AF1194" s="77"/>
      <c r="AG1194" s="77"/>
    </row>
    <row r="1195" spans="1:33" x14ac:dyDescent="0.25">
      <c r="A1195" s="77" t="s">
        <v>2</v>
      </c>
      <c r="B1195" s="77">
        <v>18.161308099999999</v>
      </c>
      <c r="C1195" s="77">
        <v>0</v>
      </c>
      <c r="D1195" s="77">
        <v>18.161308099999999</v>
      </c>
      <c r="E1195" s="77">
        <v>0</v>
      </c>
      <c r="F1195" s="77">
        <v>0</v>
      </c>
      <c r="G1195" s="77">
        <v>0</v>
      </c>
      <c r="H1195" s="77">
        <v>0</v>
      </c>
      <c r="I1195" s="77">
        <v>0</v>
      </c>
      <c r="J1195" s="77">
        <v>0</v>
      </c>
      <c r="K1195" s="77">
        <v>18.16114</v>
      </c>
      <c r="L1195" s="77">
        <v>1.6808226899999999E-4</v>
      </c>
      <c r="M1195" s="77">
        <v>0</v>
      </c>
      <c r="N1195" s="77">
        <v>0</v>
      </c>
      <c r="O1195" s="77">
        <v>0</v>
      </c>
      <c r="P1195" s="77">
        <v>0</v>
      </c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7"/>
      <c r="AD1195" s="77"/>
      <c r="AE1195" s="77"/>
      <c r="AF1195" s="77"/>
      <c r="AG1195" s="77"/>
    </row>
    <row r="1196" spans="1:33" x14ac:dyDescent="0.25">
      <c r="A1196" s="77" t="s">
        <v>3</v>
      </c>
      <c r="B1196" s="77">
        <v>46.003417200000001</v>
      </c>
      <c r="C1196" s="77">
        <v>0</v>
      </c>
      <c r="D1196" s="77">
        <v>46.003417200000001</v>
      </c>
      <c r="E1196" s="77">
        <v>0.15164973200000001</v>
      </c>
      <c r="F1196" s="77">
        <v>4.9902737900000002E-3</v>
      </c>
      <c r="G1196" s="77">
        <v>2.36674789E-2</v>
      </c>
      <c r="H1196" s="77">
        <v>0</v>
      </c>
      <c r="I1196" s="77">
        <v>0</v>
      </c>
      <c r="J1196" s="77">
        <v>0</v>
      </c>
      <c r="K1196" s="77">
        <v>7.4155935599999996</v>
      </c>
      <c r="L1196" s="77">
        <v>3.4364493600000001</v>
      </c>
      <c r="M1196" s="77">
        <v>0</v>
      </c>
      <c r="N1196" s="77">
        <v>0</v>
      </c>
      <c r="O1196" s="77">
        <v>0</v>
      </c>
      <c r="P1196" s="77">
        <v>34.971066800000003</v>
      </c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7"/>
      <c r="AD1196" s="77"/>
      <c r="AE1196" s="77"/>
      <c r="AF1196" s="77"/>
      <c r="AG1196" s="77"/>
    </row>
    <row r="1197" spans="1:33" x14ac:dyDescent="0.25">
      <c r="A1197" s="77" t="s">
        <v>4</v>
      </c>
      <c r="B1197" s="77">
        <v>134.25517099999999</v>
      </c>
      <c r="C1197" s="77">
        <v>0</v>
      </c>
      <c r="D1197" s="77">
        <v>134.25517099999999</v>
      </c>
      <c r="E1197" s="77">
        <v>70.165140100000002</v>
      </c>
      <c r="F1197" s="77">
        <v>11.3600032</v>
      </c>
      <c r="G1197" s="77">
        <v>56.144135599999998</v>
      </c>
      <c r="H1197" s="77">
        <v>2.79249897</v>
      </c>
      <c r="I1197" s="77">
        <v>0</v>
      </c>
      <c r="J1197" s="77">
        <v>0</v>
      </c>
      <c r="K1197" s="77">
        <v>0</v>
      </c>
      <c r="L1197" s="77">
        <v>0</v>
      </c>
      <c r="M1197" s="77">
        <v>2.3454884799999999E-2</v>
      </c>
      <c r="N1197" s="77">
        <v>0</v>
      </c>
      <c r="O1197" s="77">
        <v>0</v>
      </c>
      <c r="P1197" s="77">
        <v>-6.2300622199999998</v>
      </c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7"/>
      <c r="AD1197" s="77"/>
      <c r="AE1197" s="77"/>
      <c r="AF1197" s="77"/>
      <c r="AG1197" s="77"/>
    </row>
    <row r="1198" spans="1:33" x14ac:dyDescent="0.25">
      <c r="A1198" s="77" t="s">
        <v>5</v>
      </c>
      <c r="B1198" s="77">
        <v>235.433088</v>
      </c>
      <c r="C1198" s="77">
        <v>134.28677200000001</v>
      </c>
      <c r="D1198" s="77">
        <v>101.146316</v>
      </c>
      <c r="E1198" s="77">
        <v>151.97590299999999</v>
      </c>
      <c r="F1198" s="77">
        <v>20.2088611</v>
      </c>
      <c r="G1198" s="77">
        <v>61.875527900000002</v>
      </c>
      <c r="H1198" s="77">
        <v>1.3727958499999999</v>
      </c>
      <c r="I1198" s="77">
        <v>0</v>
      </c>
      <c r="J1198" s="77">
        <v>0</v>
      </c>
      <c r="K1198" s="77">
        <v>0</v>
      </c>
      <c r="L1198" s="77">
        <v>0</v>
      </c>
      <c r="M1198" s="77">
        <v>0</v>
      </c>
      <c r="N1198" s="77">
        <v>0</v>
      </c>
      <c r="O1198" s="77">
        <v>0</v>
      </c>
      <c r="P1198" s="77">
        <v>0</v>
      </c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7"/>
      <c r="AD1198" s="77"/>
      <c r="AE1198" s="77"/>
      <c r="AF1198" s="77"/>
      <c r="AG1198" s="77"/>
    </row>
    <row r="1199" spans="1:33" x14ac:dyDescent="0.25">
      <c r="A1199" s="77" t="s">
        <v>6</v>
      </c>
      <c r="B1199" s="77">
        <v>109.572998</v>
      </c>
      <c r="C1199" s="77">
        <v>82.132599200000001</v>
      </c>
      <c r="D1199" s="77">
        <v>27.440398600000002</v>
      </c>
      <c r="E1199" s="77">
        <v>81.926983300000003</v>
      </c>
      <c r="F1199" s="77">
        <v>6.9834196200000003</v>
      </c>
      <c r="G1199" s="77">
        <v>19.768613800000001</v>
      </c>
      <c r="H1199" s="77">
        <v>0.89398107400000004</v>
      </c>
      <c r="I1199" s="77">
        <v>0</v>
      </c>
      <c r="J1199" s="77">
        <v>0</v>
      </c>
      <c r="K1199" s="77">
        <v>0</v>
      </c>
      <c r="L1199" s="77">
        <v>0</v>
      </c>
      <c r="M1199" s="77">
        <v>0</v>
      </c>
      <c r="N1199" s="77">
        <v>0</v>
      </c>
      <c r="O1199" s="77">
        <v>0</v>
      </c>
      <c r="P1199" s="77">
        <v>0</v>
      </c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7"/>
      <c r="AD1199" s="77"/>
      <c r="AE1199" s="77"/>
      <c r="AF1199" s="77"/>
      <c r="AG1199" s="77"/>
    </row>
    <row r="1200" spans="1:33" x14ac:dyDescent="0.25">
      <c r="A1200" s="77" t="s">
        <v>7</v>
      </c>
      <c r="B1200" s="77">
        <v>0.21419496599999999</v>
      </c>
      <c r="C1200" s="77">
        <v>0.17535761599999999</v>
      </c>
      <c r="D1200" s="77">
        <v>3.8837349899999998E-2</v>
      </c>
      <c r="E1200" s="77">
        <v>0</v>
      </c>
      <c r="F1200" s="77">
        <v>0.122582306</v>
      </c>
      <c r="G1200" s="77">
        <v>4.1749461299999999E-2</v>
      </c>
      <c r="H1200" s="77">
        <v>4.9863198599999999E-2</v>
      </c>
      <c r="I1200" s="77">
        <v>0</v>
      </c>
      <c r="J1200" s="77">
        <v>0</v>
      </c>
      <c r="K1200" s="77">
        <v>0</v>
      </c>
      <c r="L1200" s="77">
        <v>0</v>
      </c>
      <c r="M1200" s="77">
        <v>0</v>
      </c>
      <c r="N1200" s="77">
        <v>0</v>
      </c>
      <c r="O1200" s="77">
        <v>0</v>
      </c>
      <c r="P1200" s="77">
        <v>0</v>
      </c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7"/>
      <c r="AD1200" s="77"/>
      <c r="AE1200" s="77"/>
      <c r="AF1200" s="77"/>
      <c r="AG1200" s="77"/>
    </row>
    <row r="1201" spans="1:33" x14ac:dyDescent="0.25">
      <c r="A1201" s="77" t="s">
        <v>8</v>
      </c>
      <c r="B1201" s="77">
        <v>0</v>
      </c>
      <c r="C1201" s="77">
        <v>0</v>
      </c>
      <c r="D1201" s="77">
        <v>0</v>
      </c>
      <c r="E1201" s="77">
        <v>0</v>
      </c>
      <c r="F1201" s="77">
        <v>0</v>
      </c>
      <c r="G1201" s="77">
        <v>0</v>
      </c>
      <c r="H1201" s="77">
        <v>0</v>
      </c>
      <c r="I1201" s="77">
        <v>0</v>
      </c>
      <c r="J1201" s="77">
        <v>0</v>
      </c>
      <c r="K1201" s="77">
        <v>0</v>
      </c>
      <c r="L1201" s="77">
        <v>0</v>
      </c>
      <c r="M1201" s="77">
        <v>0</v>
      </c>
      <c r="N1201" s="77">
        <v>0</v>
      </c>
      <c r="O1201" s="77">
        <v>0</v>
      </c>
      <c r="P1201" s="77">
        <v>0</v>
      </c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7"/>
      <c r="AD1201" s="77"/>
      <c r="AE1201" s="77"/>
      <c r="AF1201" s="77"/>
      <c r="AG1201" s="77"/>
    </row>
    <row r="1202" spans="1:33" x14ac:dyDescent="0.25">
      <c r="A1202" s="77" t="s">
        <v>9</v>
      </c>
      <c r="B1202" s="77">
        <v>0</v>
      </c>
      <c r="C1202" s="77">
        <v>0</v>
      </c>
      <c r="D1202" s="77">
        <v>0</v>
      </c>
      <c r="E1202" s="77">
        <v>0</v>
      </c>
      <c r="F1202" s="77">
        <v>0</v>
      </c>
      <c r="G1202" s="77">
        <v>0</v>
      </c>
      <c r="H1202" s="77">
        <v>0</v>
      </c>
      <c r="I1202" s="77">
        <v>0</v>
      </c>
      <c r="J1202" s="77">
        <v>0</v>
      </c>
      <c r="K1202" s="77">
        <v>0</v>
      </c>
      <c r="L1202" s="77">
        <v>0</v>
      </c>
      <c r="M1202" s="77">
        <v>0</v>
      </c>
      <c r="N1202" s="77">
        <v>0</v>
      </c>
      <c r="O1202" s="77">
        <v>0</v>
      </c>
      <c r="P1202" s="77">
        <v>0</v>
      </c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7"/>
      <c r="AD1202" s="77"/>
      <c r="AE1202" s="77"/>
      <c r="AF1202" s="77"/>
      <c r="AG1202" s="77"/>
    </row>
    <row r="1203" spans="1:33" x14ac:dyDescent="0.25">
      <c r="A1203" s="77" t="s">
        <v>10</v>
      </c>
      <c r="B1203" s="77">
        <v>71.467714099999995</v>
      </c>
      <c r="C1203" s="77">
        <v>0</v>
      </c>
      <c r="D1203" s="77">
        <v>71.467714099999995</v>
      </c>
      <c r="E1203" s="77">
        <v>0</v>
      </c>
      <c r="F1203" s="77">
        <v>-1.2999999999999999E-2</v>
      </c>
      <c r="G1203" s="77">
        <v>0</v>
      </c>
      <c r="H1203" s="77">
        <v>0</v>
      </c>
      <c r="I1203" s="77">
        <v>0</v>
      </c>
      <c r="J1203" s="77">
        <v>0</v>
      </c>
      <c r="K1203" s="77">
        <v>48.534378599999997</v>
      </c>
      <c r="L1203" s="77">
        <v>22.945903399999999</v>
      </c>
      <c r="M1203" s="77">
        <v>4.3216849999999998E-4</v>
      </c>
      <c r="N1203" s="77">
        <v>0</v>
      </c>
      <c r="O1203" s="77">
        <v>0</v>
      </c>
      <c r="P1203" s="77">
        <v>0</v>
      </c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7"/>
      <c r="AD1203" s="77"/>
      <c r="AE1203" s="77"/>
      <c r="AF1203" s="77"/>
      <c r="AG1203" s="77"/>
    </row>
    <row r="1204" spans="1:33" x14ac:dyDescent="0.25">
      <c r="A1204" s="77" t="s">
        <v>11</v>
      </c>
      <c r="B1204" s="77">
        <v>3.4045098299999998</v>
      </c>
      <c r="C1204" s="77">
        <v>0</v>
      </c>
      <c r="D1204" s="77">
        <v>3.4045098299999998</v>
      </c>
      <c r="E1204" s="77">
        <v>1.5906518199999999</v>
      </c>
      <c r="F1204" s="77">
        <v>0.23763541899999999</v>
      </c>
      <c r="G1204" s="77">
        <v>1.4921845499999999</v>
      </c>
      <c r="H1204" s="77">
        <v>8.3215821600000003E-2</v>
      </c>
      <c r="I1204" s="77">
        <v>0</v>
      </c>
      <c r="J1204" s="77">
        <v>0</v>
      </c>
      <c r="K1204" s="77">
        <v>0</v>
      </c>
      <c r="L1204" s="77">
        <v>0</v>
      </c>
      <c r="M1204" s="77">
        <v>8.2221542399999999E-4</v>
      </c>
      <c r="N1204" s="77">
        <v>0</v>
      </c>
      <c r="O1204" s="77">
        <v>0</v>
      </c>
      <c r="P1204" s="77">
        <v>0</v>
      </c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7"/>
      <c r="AD1204" s="77"/>
      <c r="AE1204" s="77"/>
      <c r="AF1204" s="77"/>
      <c r="AG1204" s="77"/>
    </row>
    <row r="1205" spans="1:33" x14ac:dyDescent="0.25">
      <c r="A1205" s="77" t="s">
        <v>12</v>
      </c>
      <c r="B1205" s="77">
        <v>54.6454533</v>
      </c>
      <c r="C1205" s="77">
        <v>28.7410046</v>
      </c>
      <c r="D1205" s="77">
        <v>25.9044487</v>
      </c>
      <c r="E1205" s="77">
        <v>36.664001399999997</v>
      </c>
      <c r="F1205" s="77">
        <v>0.74674753199999999</v>
      </c>
      <c r="G1205" s="77">
        <v>7.97344249</v>
      </c>
      <c r="H1205" s="77">
        <v>0.24964746500000001</v>
      </c>
      <c r="I1205" s="77">
        <v>0</v>
      </c>
      <c r="J1205" s="77">
        <v>0</v>
      </c>
      <c r="K1205" s="77">
        <v>6.1527932099999996</v>
      </c>
      <c r="L1205" s="77">
        <v>2.8512569000000001</v>
      </c>
      <c r="M1205" s="77">
        <v>7.5642883200000002E-3</v>
      </c>
      <c r="N1205" s="77">
        <v>0</v>
      </c>
      <c r="O1205" s="77">
        <v>0</v>
      </c>
      <c r="P1205" s="77">
        <v>0</v>
      </c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7"/>
      <c r="AD1205" s="77"/>
      <c r="AE1205" s="77"/>
      <c r="AF1205" s="77"/>
      <c r="AG1205" s="77"/>
    </row>
    <row r="1206" spans="1:33" x14ac:dyDescent="0.25">
      <c r="A1206" s="77" t="s">
        <v>13</v>
      </c>
      <c r="B1206" s="77">
        <v>106.016245</v>
      </c>
      <c r="C1206" s="77">
        <v>0</v>
      </c>
      <c r="D1206" s="77">
        <v>106.016245</v>
      </c>
      <c r="E1206" s="77">
        <v>76.739094800000004</v>
      </c>
      <c r="F1206" s="77">
        <v>8.3294902999999998</v>
      </c>
      <c r="G1206" s="77">
        <v>0</v>
      </c>
      <c r="H1206" s="77">
        <v>0</v>
      </c>
      <c r="I1206" s="77">
        <v>0</v>
      </c>
      <c r="J1206" s="77">
        <v>0</v>
      </c>
      <c r="K1206" s="77">
        <v>16.550072199999999</v>
      </c>
      <c r="L1206" s="77">
        <v>4.3941042299999999</v>
      </c>
      <c r="M1206" s="77">
        <v>3.483E-3</v>
      </c>
      <c r="N1206" s="77">
        <v>0</v>
      </c>
      <c r="O1206" s="77">
        <v>0</v>
      </c>
      <c r="P1206" s="77">
        <v>0</v>
      </c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7"/>
      <c r="AD1206" s="77"/>
      <c r="AE1206" s="77"/>
      <c r="AF1206" s="77"/>
      <c r="AG1206" s="77"/>
    </row>
    <row r="1207" spans="1:33" x14ac:dyDescent="0.25">
      <c r="A1207" s="77" t="s">
        <v>14</v>
      </c>
      <c r="B1207" s="77">
        <v>41.200242299999999</v>
      </c>
      <c r="C1207" s="77">
        <v>0</v>
      </c>
      <c r="D1207" s="77">
        <v>41.200242299999999</v>
      </c>
      <c r="E1207" s="77">
        <v>8.3783812799999993</v>
      </c>
      <c r="F1207" s="77">
        <v>0.56931210399999999</v>
      </c>
      <c r="G1207" s="77">
        <v>14.1518868</v>
      </c>
      <c r="H1207" s="77">
        <v>6.3180794999999998E-2</v>
      </c>
      <c r="I1207" s="105">
        <v>0</v>
      </c>
      <c r="J1207" s="77">
        <v>0</v>
      </c>
      <c r="K1207" s="77">
        <v>7.7432133299999997</v>
      </c>
      <c r="L1207" s="77">
        <v>10.271522900000001</v>
      </c>
      <c r="M1207" s="77">
        <v>2.27451067E-2</v>
      </c>
      <c r="N1207" s="77">
        <v>0</v>
      </c>
      <c r="O1207" s="77">
        <v>0</v>
      </c>
      <c r="P1207" s="77">
        <v>0</v>
      </c>
      <c r="R1207" s="77"/>
      <c r="S1207" s="77"/>
      <c r="T1207" s="77"/>
      <c r="U1207" s="77"/>
      <c r="V1207" s="77"/>
      <c r="W1207" s="77"/>
      <c r="X1207" s="77"/>
      <c r="Y1207" s="77"/>
      <c r="Z1207" s="105"/>
      <c r="AA1207" s="77"/>
      <c r="AB1207" s="77"/>
      <c r="AC1207" s="77"/>
      <c r="AD1207" s="77"/>
      <c r="AE1207" s="77"/>
      <c r="AF1207" s="77"/>
      <c r="AG1207" s="77"/>
    </row>
    <row r="1208" spans="1:33" x14ac:dyDescent="0.25">
      <c r="A1208" s="77" t="s">
        <v>478</v>
      </c>
      <c r="B1208" s="77"/>
      <c r="C1208" s="77"/>
      <c r="D1208" s="77"/>
      <c r="E1208" s="77"/>
      <c r="F1208" s="77"/>
      <c r="G1208" s="77"/>
      <c r="H1208" s="77"/>
      <c r="I1208" s="77"/>
      <c r="J1208" s="77"/>
      <c r="K1208" s="77"/>
      <c r="L1208" s="77"/>
      <c r="M1208" s="77"/>
      <c r="N1208" s="77"/>
      <c r="O1208" s="77"/>
      <c r="P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7"/>
      <c r="AD1208" s="77"/>
      <c r="AE1208" s="77"/>
      <c r="AF1208" s="77"/>
      <c r="AG1208" s="77"/>
    </row>
    <row r="1209" spans="1:33" x14ac:dyDescent="0.25">
      <c r="A1209" s="77" t="s">
        <v>360</v>
      </c>
      <c r="B1209" s="77" t="s">
        <v>18</v>
      </c>
      <c r="C1209" s="77" t="s">
        <v>19</v>
      </c>
      <c r="D1209" s="77" t="s">
        <v>20</v>
      </c>
      <c r="E1209" s="77" t="s">
        <v>21</v>
      </c>
      <c r="F1209" s="77" t="s">
        <v>22</v>
      </c>
      <c r="G1209" s="77" t="s">
        <v>23</v>
      </c>
      <c r="H1209" s="77" t="s">
        <v>361</v>
      </c>
      <c r="I1209" s="77" t="s">
        <v>25</v>
      </c>
      <c r="J1209" s="77" t="s">
        <v>362</v>
      </c>
      <c r="K1209" s="77" t="s">
        <v>5</v>
      </c>
      <c r="L1209" s="77" t="s">
        <v>6</v>
      </c>
      <c r="M1209" s="77" t="s">
        <v>7</v>
      </c>
      <c r="N1209" s="77" t="s">
        <v>8</v>
      </c>
      <c r="O1209" s="77" t="s">
        <v>9</v>
      </c>
      <c r="P1209" s="77" t="s">
        <v>363</v>
      </c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7"/>
      <c r="AD1209" s="77"/>
      <c r="AE1209" s="77"/>
      <c r="AF1209" s="77"/>
      <c r="AG1209" s="77"/>
    </row>
    <row r="1210" spans="1:33" x14ac:dyDescent="0.25">
      <c r="A1210" s="77" t="s">
        <v>364</v>
      </c>
      <c r="B1210" s="77" t="s">
        <v>370</v>
      </c>
      <c r="C1210" s="77" t="s">
        <v>370</v>
      </c>
      <c r="D1210" s="77" t="s">
        <v>370</v>
      </c>
      <c r="E1210" s="77" t="s">
        <v>370</v>
      </c>
      <c r="F1210" s="77" t="s">
        <v>370</v>
      </c>
      <c r="G1210" s="77" t="s">
        <v>370</v>
      </c>
      <c r="H1210" s="77" t="s">
        <v>370</v>
      </c>
      <c r="I1210" s="77" t="s">
        <v>370</v>
      </c>
      <c r="J1210" s="77" t="s">
        <v>370</v>
      </c>
      <c r="K1210" s="77" t="s">
        <v>370</v>
      </c>
      <c r="L1210" s="77" t="s">
        <v>370</v>
      </c>
      <c r="M1210" s="77" t="s">
        <v>370</v>
      </c>
      <c r="N1210" s="77" t="s">
        <v>370</v>
      </c>
      <c r="O1210" s="77" t="s">
        <v>370</v>
      </c>
      <c r="P1210" s="77" t="s">
        <v>370</v>
      </c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7"/>
      <c r="AD1210" s="77"/>
      <c r="AE1210" s="77"/>
      <c r="AF1210" s="77"/>
      <c r="AG1210" s="77"/>
    </row>
    <row r="1211" spans="1:33" x14ac:dyDescent="0.25">
      <c r="A1211" s="77" t="s">
        <v>1</v>
      </c>
      <c r="B1211" s="77">
        <v>0</v>
      </c>
      <c r="C1211" s="77">
        <v>0</v>
      </c>
      <c r="D1211" s="77">
        <v>0</v>
      </c>
      <c r="E1211" s="77">
        <v>0</v>
      </c>
      <c r="F1211" s="77">
        <v>0</v>
      </c>
      <c r="G1211" s="77">
        <v>0</v>
      </c>
      <c r="H1211" s="77">
        <v>0</v>
      </c>
      <c r="I1211" s="77">
        <v>0</v>
      </c>
      <c r="J1211" s="77">
        <v>0</v>
      </c>
      <c r="K1211" s="77">
        <v>0</v>
      </c>
      <c r="L1211" s="77">
        <v>0</v>
      </c>
      <c r="M1211" s="77">
        <v>0</v>
      </c>
      <c r="N1211" s="77">
        <v>0</v>
      </c>
      <c r="O1211" s="77">
        <v>0</v>
      </c>
      <c r="P1211" s="77">
        <v>0</v>
      </c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7"/>
      <c r="AD1211" s="77"/>
      <c r="AE1211" s="77"/>
      <c r="AF1211" s="77"/>
      <c r="AG1211" s="77"/>
    </row>
    <row r="1212" spans="1:33" x14ac:dyDescent="0.25">
      <c r="A1212" s="77" t="s">
        <v>2</v>
      </c>
      <c r="B1212" s="77">
        <v>4.6044510399999998</v>
      </c>
      <c r="C1212" s="77">
        <v>0</v>
      </c>
      <c r="D1212" s="77">
        <v>4.6044510399999998</v>
      </c>
      <c r="E1212" s="77">
        <v>0</v>
      </c>
      <c r="F1212" s="77">
        <v>0</v>
      </c>
      <c r="G1212" s="77">
        <v>0</v>
      </c>
      <c r="H1212" s="77">
        <v>0</v>
      </c>
      <c r="I1212" s="77">
        <v>0</v>
      </c>
      <c r="J1212" s="77">
        <v>0</v>
      </c>
      <c r="K1212" s="77">
        <v>3.14638799</v>
      </c>
      <c r="L1212" s="77">
        <v>1.45806305</v>
      </c>
      <c r="M1212" s="77">
        <v>0</v>
      </c>
      <c r="N1212" s="77">
        <v>0</v>
      </c>
      <c r="O1212" s="77">
        <v>0</v>
      </c>
      <c r="P1212" s="77">
        <v>0</v>
      </c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7"/>
      <c r="AD1212" s="77"/>
      <c r="AE1212" s="77"/>
      <c r="AF1212" s="77"/>
      <c r="AG1212" s="77"/>
    </row>
    <row r="1213" spans="1:33" x14ac:dyDescent="0.25">
      <c r="A1213" s="77" t="s">
        <v>3</v>
      </c>
      <c r="B1213" s="77">
        <v>1.25678497</v>
      </c>
      <c r="C1213" s="77">
        <v>0</v>
      </c>
      <c r="D1213" s="77">
        <v>1.25678497</v>
      </c>
      <c r="E1213" s="77">
        <v>1.09198713E-2</v>
      </c>
      <c r="F1213" s="77">
        <v>2.4312819700000001E-4</v>
      </c>
      <c r="G1213" s="77">
        <v>1.1757432699999999E-3</v>
      </c>
      <c r="H1213" s="77">
        <v>0</v>
      </c>
      <c r="I1213" s="77">
        <v>0</v>
      </c>
      <c r="J1213" s="77">
        <v>0</v>
      </c>
      <c r="K1213" s="77">
        <v>0.85037513099999995</v>
      </c>
      <c r="L1213" s="77">
        <v>0.39407109499999998</v>
      </c>
      <c r="M1213" s="77">
        <v>0</v>
      </c>
      <c r="N1213" s="77">
        <v>0</v>
      </c>
      <c r="O1213" s="77">
        <v>0</v>
      </c>
      <c r="P1213" s="77">
        <v>0</v>
      </c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7"/>
      <c r="AD1213" s="77"/>
      <c r="AE1213" s="77"/>
      <c r="AF1213" s="77"/>
      <c r="AG1213" s="77"/>
    </row>
    <row r="1214" spans="1:33" x14ac:dyDescent="0.25">
      <c r="A1214" s="77" t="s">
        <v>4</v>
      </c>
      <c r="B1214" s="77">
        <v>3.0640588499999999</v>
      </c>
      <c r="C1214" s="77">
        <v>0</v>
      </c>
      <c r="D1214" s="77">
        <v>3.0640588499999999</v>
      </c>
      <c r="E1214" s="77">
        <v>1.4315866399999999</v>
      </c>
      <c r="F1214" s="77">
        <v>0.21387187699999999</v>
      </c>
      <c r="G1214" s="77">
        <v>1.3429660999999999</v>
      </c>
      <c r="H1214" s="77">
        <v>7.4894239400000007E-2</v>
      </c>
      <c r="I1214" s="77">
        <v>0</v>
      </c>
      <c r="J1214" s="77">
        <v>0</v>
      </c>
      <c r="K1214" s="77">
        <v>0</v>
      </c>
      <c r="L1214" s="77">
        <v>0</v>
      </c>
      <c r="M1214" s="77">
        <v>7.3999388100000005E-4</v>
      </c>
      <c r="N1214" s="77">
        <v>0</v>
      </c>
      <c r="O1214" s="77">
        <v>0</v>
      </c>
      <c r="P1214" s="77">
        <v>0</v>
      </c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7"/>
      <c r="AD1214" s="77"/>
      <c r="AE1214" s="77"/>
      <c r="AF1214" s="77"/>
      <c r="AG1214" s="77"/>
    </row>
    <row r="1215" spans="1:33" x14ac:dyDescent="0.25">
      <c r="A1215" s="77" t="s">
        <v>5</v>
      </c>
      <c r="B1215" s="77">
        <v>3.14638799</v>
      </c>
      <c r="C1215" s="77">
        <v>3.9967631199999998</v>
      </c>
      <c r="D1215" s="77">
        <v>-0.85037513099999995</v>
      </c>
      <c r="E1215" s="77">
        <v>2.1614637700000001</v>
      </c>
      <c r="F1215" s="77">
        <v>0.27213336199999999</v>
      </c>
      <c r="G1215" s="77">
        <v>0.69501151299999997</v>
      </c>
      <c r="H1215" s="77">
        <v>1.7779344499999999E-2</v>
      </c>
      <c r="I1215" s="77">
        <v>0</v>
      </c>
      <c r="J1215" s="77">
        <v>0</v>
      </c>
      <c r="K1215" s="77">
        <v>0</v>
      </c>
      <c r="L1215" s="77">
        <v>0</v>
      </c>
      <c r="M1215" s="77">
        <v>0</v>
      </c>
      <c r="N1215" s="77">
        <v>0</v>
      </c>
      <c r="O1215" s="77">
        <v>0</v>
      </c>
      <c r="P1215" s="77">
        <v>0</v>
      </c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7"/>
      <c r="AD1215" s="77"/>
      <c r="AE1215" s="77"/>
      <c r="AF1215" s="77"/>
      <c r="AG1215" s="77"/>
    </row>
    <row r="1216" spans="1:33" x14ac:dyDescent="0.25">
      <c r="A1216" s="77" t="s">
        <v>6</v>
      </c>
      <c r="B1216" s="77">
        <v>1.45806305</v>
      </c>
      <c r="C1216" s="77">
        <v>1.8521341499999999</v>
      </c>
      <c r="D1216" s="77">
        <v>-0.39407109499999998</v>
      </c>
      <c r="E1216" s="77">
        <v>1.1458404900000001</v>
      </c>
      <c r="F1216" s="77">
        <v>8.5617352999999993E-2</v>
      </c>
      <c r="G1216" s="77">
        <v>0.21511023200000001</v>
      </c>
      <c r="H1216" s="77">
        <v>1.14949782E-2</v>
      </c>
      <c r="I1216" s="77">
        <v>0</v>
      </c>
      <c r="J1216" s="77">
        <v>0</v>
      </c>
      <c r="K1216" s="77">
        <v>0</v>
      </c>
      <c r="L1216" s="77">
        <v>0</v>
      </c>
      <c r="M1216" s="77">
        <v>0</v>
      </c>
      <c r="N1216" s="77">
        <v>0</v>
      </c>
      <c r="O1216" s="77">
        <v>0</v>
      </c>
      <c r="P1216" s="77">
        <v>0</v>
      </c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7"/>
      <c r="AD1216" s="77"/>
      <c r="AE1216" s="77"/>
      <c r="AF1216" s="77"/>
      <c r="AG1216" s="77"/>
    </row>
    <row r="1217" spans="1:33" x14ac:dyDescent="0.25">
      <c r="A1217" s="77" t="s">
        <v>7</v>
      </c>
      <c r="B1217" s="77">
        <v>1.88168356E-3</v>
      </c>
      <c r="C1217" s="77">
        <v>7.3999388100000005E-4</v>
      </c>
      <c r="D1217" s="77">
        <v>1.1416896800000001E-3</v>
      </c>
      <c r="E1217" s="77">
        <v>0</v>
      </c>
      <c r="F1217" s="77">
        <v>9.9941072499999998E-4</v>
      </c>
      <c r="G1217" s="77">
        <v>4.6333110899999998E-4</v>
      </c>
      <c r="H1217" s="77">
        <v>4.18941729E-4</v>
      </c>
      <c r="I1217" s="77">
        <v>0</v>
      </c>
      <c r="J1217" s="77">
        <v>0</v>
      </c>
      <c r="K1217" s="77">
        <v>0</v>
      </c>
      <c r="L1217" s="77">
        <v>0</v>
      </c>
      <c r="M1217" s="77">
        <v>0</v>
      </c>
      <c r="N1217" s="77">
        <v>0</v>
      </c>
      <c r="O1217" s="77">
        <v>0</v>
      </c>
      <c r="P1217" s="77">
        <v>0</v>
      </c>
      <c r="R1217" s="77"/>
      <c r="S1217" s="77"/>
      <c r="T1217" s="77"/>
      <c r="U1217" s="77"/>
      <c r="V1217" s="77"/>
      <c r="W1217" s="77"/>
      <c r="X1217" s="77"/>
      <c r="Y1217" s="77"/>
      <c r="Z1217" s="77"/>
      <c r="AA1217" s="77"/>
      <c r="AB1217" s="77"/>
      <c r="AC1217" s="77"/>
      <c r="AD1217" s="77"/>
      <c r="AE1217" s="77"/>
      <c r="AF1217" s="77"/>
      <c r="AG1217" s="77"/>
    </row>
    <row r="1218" spans="1:33" x14ac:dyDescent="0.25">
      <c r="A1218" s="77" t="s">
        <v>8</v>
      </c>
      <c r="B1218" s="77">
        <v>0</v>
      </c>
      <c r="C1218" s="77">
        <v>0</v>
      </c>
      <c r="D1218" s="77">
        <v>0</v>
      </c>
      <c r="E1218" s="77">
        <v>0</v>
      </c>
      <c r="F1218" s="77">
        <v>0</v>
      </c>
      <c r="G1218" s="77">
        <v>0</v>
      </c>
      <c r="H1218" s="77">
        <v>0</v>
      </c>
      <c r="I1218" s="77">
        <v>0</v>
      </c>
      <c r="J1218" s="77">
        <v>0</v>
      </c>
      <c r="K1218" s="77">
        <v>0</v>
      </c>
      <c r="L1218" s="77">
        <v>0</v>
      </c>
      <c r="M1218" s="77">
        <v>0</v>
      </c>
      <c r="N1218" s="77">
        <v>0</v>
      </c>
      <c r="O1218" s="77">
        <v>0</v>
      </c>
      <c r="P1218" s="77">
        <v>0</v>
      </c>
      <c r="R1218" s="77"/>
      <c r="S1218" s="77"/>
      <c r="T1218" s="77"/>
      <c r="U1218" s="77"/>
      <c r="V1218" s="77"/>
      <c r="W1218" s="77"/>
      <c r="X1218" s="77"/>
      <c r="Y1218" s="77"/>
      <c r="Z1218" s="77"/>
      <c r="AA1218" s="77"/>
      <c r="AB1218" s="77"/>
      <c r="AC1218" s="77"/>
      <c r="AD1218" s="77"/>
      <c r="AE1218" s="77"/>
      <c r="AF1218" s="77"/>
      <c r="AG1218" s="77"/>
    </row>
    <row r="1219" spans="1:33" x14ac:dyDescent="0.25">
      <c r="A1219" s="77" t="s">
        <v>9</v>
      </c>
      <c r="B1219" s="77">
        <v>0</v>
      </c>
      <c r="C1219" s="77">
        <v>0</v>
      </c>
      <c r="D1219" s="77">
        <v>0</v>
      </c>
      <c r="E1219" s="77">
        <v>0</v>
      </c>
      <c r="F1219" s="77">
        <v>0</v>
      </c>
      <c r="G1219" s="77">
        <v>0</v>
      </c>
      <c r="H1219" s="77">
        <v>0</v>
      </c>
      <c r="I1219" s="77">
        <v>0</v>
      </c>
      <c r="J1219" s="77">
        <v>0</v>
      </c>
      <c r="K1219" s="77">
        <v>0</v>
      </c>
      <c r="L1219" s="77">
        <v>0</v>
      </c>
      <c r="M1219" s="77">
        <v>0</v>
      </c>
      <c r="N1219" s="77">
        <v>0</v>
      </c>
      <c r="O1219" s="77">
        <v>0</v>
      </c>
      <c r="P1219" s="77">
        <v>0</v>
      </c>
      <c r="R1219" s="77"/>
      <c r="S1219" s="77"/>
      <c r="T1219" s="77"/>
      <c r="U1219" s="77"/>
      <c r="V1219" s="77"/>
      <c r="W1219" s="77"/>
      <c r="X1219" s="77"/>
      <c r="Y1219" s="77"/>
      <c r="Z1219" s="77"/>
      <c r="AA1219" s="77"/>
      <c r="AB1219" s="77"/>
      <c r="AC1219" s="77"/>
      <c r="AD1219" s="77"/>
      <c r="AE1219" s="77"/>
      <c r="AF1219" s="77"/>
      <c r="AG1219" s="77"/>
    </row>
    <row r="1220" spans="1:33" x14ac:dyDescent="0.25">
      <c r="A1220" s="77" t="s">
        <v>10</v>
      </c>
      <c r="B1220" s="77">
        <v>0</v>
      </c>
      <c r="C1220" s="77">
        <v>0</v>
      </c>
      <c r="D1220" s="77">
        <v>0</v>
      </c>
      <c r="E1220" s="77">
        <v>0</v>
      </c>
      <c r="F1220" s="77">
        <v>0</v>
      </c>
      <c r="G1220" s="77">
        <v>0</v>
      </c>
      <c r="H1220" s="77">
        <v>0</v>
      </c>
      <c r="I1220" s="77">
        <v>0</v>
      </c>
      <c r="J1220" s="77">
        <v>0</v>
      </c>
      <c r="K1220" s="77">
        <v>0</v>
      </c>
      <c r="L1220" s="77">
        <v>0</v>
      </c>
      <c r="M1220" s="77">
        <v>0</v>
      </c>
      <c r="N1220" s="77">
        <v>0</v>
      </c>
      <c r="O1220" s="77">
        <v>0</v>
      </c>
      <c r="P1220" s="77">
        <v>0</v>
      </c>
      <c r="R1220" s="77"/>
      <c r="S1220" s="77"/>
      <c r="T1220" s="77"/>
      <c r="U1220" s="77"/>
      <c r="V1220" s="77"/>
      <c r="W1220" s="77"/>
      <c r="X1220" s="77"/>
      <c r="Y1220" s="77"/>
      <c r="Z1220" s="77"/>
      <c r="AA1220" s="77"/>
      <c r="AB1220" s="77"/>
      <c r="AC1220" s="77"/>
      <c r="AD1220" s="77"/>
      <c r="AE1220" s="77"/>
      <c r="AF1220" s="77"/>
      <c r="AG1220" s="77"/>
    </row>
    <row r="1221" spans="1:33" x14ac:dyDescent="0.25">
      <c r="A1221" s="77" t="s">
        <v>11</v>
      </c>
      <c r="B1221" s="77">
        <v>0</v>
      </c>
      <c r="C1221" s="77">
        <v>0</v>
      </c>
      <c r="D1221" s="77">
        <v>0</v>
      </c>
      <c r="E1221" s="77">
        <v>0</v>
      </c>
      <c r="F1221" s="77">
        <v>0</v>
      </c>
      <c r="G1221" s="77">
        <v>0</v>
      </c>
      <c r="H1221" s="77">
        <v>0</v>
      </c>
      <c r="I1221" s="77">
        <v>0</v>
      </c>
      <c r="J1221" s="77">
        <v>0</v>
      </c>
      <c r="K1221" s="77">
        <v>0</v>
      </c>
      <c r="L1221" s="77">
        <v>0</v>
      </c>
      <c r="M1221" s="77">
        <v>0</v>
      </c>
      <c r="N1221" s="77">
        <v>0</v>
      </c>
      <c r="O1221" s="77">
        <v>0</v>
      </c>
      <c r="P1221" s="77">
        <v>0</v>
      </c>
      <c r="R1221" s="77"/>
      <c r="S1221" s="77"/>
      <c r="T1221" s="77"/>
      <c r="U1221" s="77"/>
      <c r="V1221" s="77"/>
      <c r="W1221" s="77"/>
      <c r="X1221" s="77"/>
      <c r="Y1221" s="77"/>
      <c r="Z1221" s="77"/>
      <c r="AA1221" s="77"/>
      <c r="AB1221" s="77"/>
      <c r="AC1221" s="77"/>
      <c r="AD1221" s="77"/>
      <c r="AE1221" s="77"/>
      <c r="AF1221" s="77"/>
      <c r="AG1221" s="77"/>
    </row>
    <row r="1222" spans="1:33" x14ac:dyDescent="0.25">
      <c r="A1222" s="77" t="s">
        <v>12</v>
      </c>
      <c r="B1222" s="77">
        <v>0</v>
      </c>
      <c r="C1222" s="77">
        <v>0</v>
      </c>
      <c r="D1222" s="77">
        <v>0</v>
      </c>
      <c r="E1222" s="77">
        <v>0</v>
      </c>
      <c r="F1222" s="77">
        <v>0</v>
      </c>
      <c r="G1222" s="77">
        <v>0</v>
      </c>
      <c r="H1222" s="77">
        <v>0</v>
      </c>
      <c r="I1222" s="77">
        <v>0</v>
      </c>
      <c r="J1222" s="77">
        <v>0</v>
      </c>
      <c r="K1222" s="77">
        <v>0</v>
      </c>
      <c r="L1222" s="77">
        <v>0</v>
      </c>
      <c r="M1222" s="77">
        <v>0</v>
      </c>
      <c r="N1222" s="77">
        <v>0</v>
      </c>
      <c r="O1222" s="77">
        <v>0</v>
      </c>
      <c r="P1222" s="77">
        <v>0</v>
      </c>
      <c r="R1222" s="77"/>
      <c r="S1222" s="77"/>
      <c r="T1222" s="77"/>
      <c r="U1222" s="77"/>
      <c r="V1222" s="77"/>
      <c r="W1222" s="77"/>
      <c r="X1222" s="77"/>
      <c r="Y1222" s="77"/>
      <c r="Z1222" s="77"/>
      <c r="AA1222" s="77"/>
      <c r="AB1222" s="77"/>
      <c r="AC1222" s="77"/>
      <c r="AD1222" s="77"/>
      <c r="AE1222" s="77"/>
      <c r="AF1222" s="77"/>
      <c r="AG1222" s="77"/>
    </row>
    <row r="1223" spans="1:33" x14ac:dyDescent="0.25">
      <c r="A1223" s="77" t="s">
        <v>13</v>
      </c>
      <c r="B1223" s="77">
        <v>0</v>
      </c>
      <c r="C1223" s="77">
        <v>0</v>
      </c>
      <c r="D1223" s="77">
        <v>0</v>
      </c>
      <c r="E1223" s="77">
        <v>0</v>
      </c>
      <c r="F1223" s="77">
        <v>0</v>
      </c>
      <c r="G1223" s="77">
        <v>0</v>
      </c>
      <c r="H1223" s="77">
        <v>0</v>
      </c>
      <c r="I1223" s="77">
        <v>0</v>
      </c>
      <c r="J1223" s="77">
        <v>0</v>
      </c>
      <c r="K1223" s="77">
        <v>0</v>
      </c>
      <c r="L1223" s="77">
        <v>0</v>
      </c>
      <c r="M1223" s="77">
        <v>0</v>
      </c>
      <c r="N1223" s="77">
        <v>0</v>
      </c>
      <c r="O1223" s="77">
        <v>0</v>
      </c>
      <c r="P1223" s="77">
        <v>0</v>
      </c>
      <c r="R1223" s="77"/>
      <c r="S1223" s="77"/>
      <c r="T1223" s="77"/>
      <c r="U1223" s="77"/>
      <c r="V1223" s="77"/>
      <c r="W1223" s="77"/>
      <c r="X1223" s="77"/>
      <c r="Y1223" s="77"/>
      <c r="Z1223" s="77"/>
      <c r="AA1223" s="77"/>
      <c r="AB1223" s="77"/>
      <c r="AC1223" s="77"/>
      <c r="AD1223" s="77"/>
      <c r="AE1223" s="77"/>
      <c r="AF1223" s="77"/>
      <c r="AG1223" s="77"/>
    </row>
    <row r="1224" spans="1:33" x14ac:dyDescent="0.25">
      <c r="A1224" s="77" t="s">
        <v>14</v>
      </c>
      <c r="B1224" s="77">
        <v>0</v>
      </c>
      <c r="C1224" s="77">
        <v>0</v>
      </c>
      <c r="D1224" s="77">
        <v>0</v>
      </c>
      <c r="E1224" s="77">
        <v>0</v>
      </c>
      <c r="F1224" s="77">
        <v>0</v>
      </c>
      <c r="G1224" s="77">
        <v>0</v>
      </c>
      <c r="H1224" s="77">
        <v>0</v>
      </c>
      <c r="I1224" s="77">
        <v>0</v>
      </c>
      <c r="J1224" s="77">
        <v>0</v>
      </c>
      <c r="K1224" s="77">
        <v>0</v>
      </c>
      <c r="L1224" s="77">
        <v>0</v>
      </c>
      <c r="M1224" s="77">
        <v>0</v>
      </c>
      <c r="N1224" s="77">
        <v>0</v>
      </c>
      <c r="O1224" s="77">
        <v>0</v>
      </c>
      <c r="P1224" s="77">
        <v>0</v>
      </c>
      <c r="R1224" s="77"/>
      <c r="S1224" s="77"/>
      <c r="T1224" s="77"/>
      <c r="U1224" s="77"/>
      <c r="V1224" s="77"/>
      <c r="W1224" s="77"/>
      <c r="X1224" s="77"/>
      <c r="Y1224" s="77"/>
      <c r="Z1224" s="77"/>
      <c r="AA1224" s="77"/>
      <c r="AB1224" s="77"/>
      <c r="AC1224" s="77"/>
      <c r="AD1224" s="77"/>
      <c r="AE1224" s="77"/>
      <c r="AF1224" s="77"/>
      <c r="AG1224" s="77"/>
    </row>
    <row r="1225" spans="1:33" x14ac:dyDescent="0.25">
      <c r="A1225" s="77" t="s">
        <v>479</v>
      </c>
      <c r="B1225" s="77"/>
      <c r="C1225" s="77"/>
      <c r="D1225" s="77"/>
      <c r="E1225" s="77"/>
      <c r="F1225" s="77"/>
      <c r="G1225" s="77"/>
      <c r="H1225" s="77"/>
      <c r="I1225" s="77"/>
      <c r="J1225" s="77"/>
      <c r="K1225" s="77"/>
      <c r="L1225" s="77"/>
      <c r="M1225" s="77"/>
      <c r="N1225" s="77"/>
      <c r="O1225" s="77"/>
      <c r="P1225" s="77"/>
      <c r="R1225" s="77"/>
      <c r="S1225" s="77"/>
      <c r="T1225" s="77"/>
      <c r="U1225" s="77"/>
      <c r="V1225" s="77"/>
      <c r="W1225" s="77"/>
      <c r="X1225" s="77"/>
      <c r="Y1225" s="77"/>
      <c r="Z1225" s="77"/>
      <c r="AA1225" s="77"/>
      <c r="AB1225" s="77"/>
      <c r="AC1225" s="77"/>
      <c r="AD1225" s="77"/>
      <c r="AE1225" s="77"/>
      <c r="AF1225" s="77"/>
      <c r="AG1225" s="77"/>
    </row>
    <row r="1226" spans="1:33" x14ac:dyDescent="0.25">
      <c r="A1226" s="77" t="s">
        <v>360</v>
      </c>
      <c r="B1226" s="77" t="s">
        <v>18</v>
      </c>
      <c r="C1226" s="77" t="s">
        <v>19</v>
      </c>
      <c r="D1226" s="77" t="s">
        <v>20</v>
      </c>
      <c r="E1226" s="77" t="s">
        <v>21</v>
      </c>
      <c r="F1226" s="77" t="s">
        <v>22</v>
      </c>
      <c r="G1226" s="77" t="s">
        <v>23</v>
      </c>
      <c r="H1226" s="77" t="s">
        <v>361</v>
      </c>
      <c r="I1226" s="77" t="s">
        <v>25</v>
      </c>
      <c r="J1226" s="77" t="s">
        <v>362</v>
      </c>
      <c r="K1226" s="77" t="s">
        <v>5</v>
      </c>
      <c r="L1226" s="77" t="s">
        <v>6</v>
      </c>
      <c r="M1226" s="77" t="s">
        <v>7</v>
      </c>
      <c r="N1226" s="77" t="s">
        <v>8</v>
      </c>
      <c r="O1226" s="77" t="s">
        <v>9</v>
      </c>
      <c r="P1226" s="77" t="s">
        <v>363</v>
      </c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7"/>
      <c r="AD1226" s="77"/>
      <c r="AE1226" s="77"/>
      <c r="AF1226" s="77"/>
      <c r="AG1226" s="77"/>
    </row>
    <row r="1227" spans="1:33" x14ac:dyDescent="0.25">
      <c r="A1227" s="77" t="s">
        <v>364</v>
      </c>
      <c r="B1227" s="77" t="s">
        <v>365</v>
      </c>
      <c r="C1227" s="77" t="s">
        <v>365</v>
      </c>
      <c r="D1227" s="77" t="s">
        <v>365</v>
      </c>
      <c r="E1227" s="77" t="s">
        <v>365</v>
      </c>
      <c r="F1227" s="77" t="s">
        <v>365</v>
      </c>
      <c r="G1227" s="77" t="s">
        <v>365</v>
      </c>
      <c r="H1227" s="77" t="s">
        <v>365</v>
      </c>
      <c r="I1227" s="77" t="s">
        <v>365</v>
      </c>
      <c r="J1227" s="77" t="s">
        <v>365</v>
      </c>
      <c r="K1227" s="77" t="s">
        <v>365</v>
      </c>
      <c r="L1227" s="77" t="s">
        <v>365</v>
      </c>
      <c r="M1227" s="77" t="s">
        <v>365</v>
      </c>
      <c r="N1227" s="77" t="s">
        <v>365</v>
      </c>
      <c r="O1227" s="77" t="s">
        <v>365</v>
      </c>
      <c r="P1227" s="77" t="s">
        <v>365</v>
      </c>
      <c r="R1227" s="77"/>
      <c r="S1227" s="77"/>
      <c r="T1227" s="77"/>
      <c r="U1227" s="77"/>
      <c r="V1227" s="77"/>
      <c r="W1227" s="77"/>
      <c r="X1227" s="77"/>
      <c r="Y1227" s="77"/>
      <c r="Z1227" s="77"/>
      <c r="AA1227" s="77"/>
      <c r="AB1227" s="77"/>
      <c r="AC1227" s="77"/>
      <c r="AD1227" s="77"/>
      <c r="AE1227" s="77"/>
      <c r="AF1227" s="77"/>
      <c r="AG1227" s="77"/>
    </row>
    <row r="1228" spans="1:33" x14ac:dyDescent="0.25">
      <c r="A1228" s="77" t="s">
        <v>1</v>
      </c>
      <c r="B1228" s="77">
        <v>0</v>
      </c>
      <c r="C1228" s="77">
        <v>0</v>
      </c>
      <c r="D1228" s="77">
        <v>0</v>
      </c>
      <c r="E1228" s="77">
        <v>0</v>
      </c>
      <c r="F1228" s="77">
        <v>0</v>
      </c>
      <c r="G1228" s="77">
        <v>0</v>
      </c>
      <c r="H1228" s="77">
        <v>0</v>
      </c>
      <c r="I1228" s="77">
        <v>0</v>
      </c>
      <c r="J1228" s="77">
        <v>0</v>
      </c>
      <c r="K1228" s="77">
        <v>0</v>
      </c>
      <c r="L1228" s="77">
        <v>0</v>
      </c>
      <c r="M1228" s="77">
        <v>0</v>
      </c>
      <c r="N1228" s="77">
        <v>0</v>
      </c>
      <c r="O1228" s="77">
        <v>0</v>
      </c>
      <c r="P1228" s="77">
        <v>0</v>
      </c>
      <c r="R1228" s="77"/>
      <c r="S1228" s="77"/>
      <c r="T1228" s="77"/>
      <c r="U1228" s="77"/>
      <c r="V1228" s="77"/>
      <c r="W1228" s="77"/>
      <c r="X1228" s="77"/>
      <c r="Y1228" s="77"/>
      <c r="Z1228" s="77"/>
      <c r="AA1228" s="77"/>
      <c r="AB1228" s="77"/>
      <c r="AC1228" s="77"/>
      <c r="AD1228" s="77"/>
      <c r="AE1228" s="77"/>
      <c r="AF1228" s="77"/>
      <c r="AG1228" s="77"/>
    </row>
    <row r="1229" spans="1:33" x14ac:dyDescent="0.25">
      <c r="A1229" s="77" t="s">
        <v>2</v>
      </c>
      <c r="B1229" s="77">
        <v>24.379267599999999</v>
      </c>
      <c r="C1229" s="77">
        <v>0</v>
      </c>
      <c r="D1229" s="77">
        <v>24.379267599999999</v>
      </c>
      <c r="E1229" s="77">
        <v>0</v>
      </c>
      <c r="F1229" s="77">
        <v>0</v>
      </c>
      <c r="G1229" s="77">
        <v>0</v>
      </c>
      <c r="H1229" s="77">
        <v>0</v>
      </c>
      <c r="I1229" s="77">
        <v>0</v>
      </c>
      <c r="J1229" s="77">
        <v>0</v>
      </c>
      <c r="K1229" s="77">
        <v>24.379267599999999</v>
      </c>
      <c r="L1229" s="77">
        <v>0</v>
      </c>
      <c r="M1229" s="77">
        <v>0</v>
      </c>
      <c r="N1229" s="77">
        <v>0</v>
      </c>
      <c r="O1229" s="77">
        <v>0</v>
      </c>
      <c r="P1229" s="77">
        <v>0</v>
      </c>
      <c r="R1229" s="77"/>
      <c r="S1229" s="77"/>
      <c r="T1229" s="77"/>
      <c r="U1229" s="77"/>
      <c r="V1229" s="77"/>
      <c r="W1229" s="77"/>
      <c r="X1229" s="77"/>
      <c r="Y1229" s="77"/>
      <c r="Z1229" s="77"/>
      <c r="AA1229" s="77"/>
      <c r="AB1229" s="77"/>
      <c r="AC1229" s="77"/>
      <c r="AD1229" s="77"/>
      <c r="AE1229" s="77"/>
      <c r="AF1229" s="77"/>
      <c r="AG1229" s="77"/>
    </row>
    <row r="1230" spans="1:33" x14ac:dyDescent="0.25">
      <c r="A1230" s="77" t="s">
        <v>3</v>
      </c>
      <c r="B1230" s="77">
        <v>62.080099099999998</v>
      </c>
      <c r="C1230" s="77">
        <v>0</v>
      </c>
      <c r="D1230" s="77">
        <v>62.080099099999998</v>
      </c>
      <c r="E1230" s="77">
        <v>0.54066821499999995</v>
      </c>
      <c r="F1230" s="77">
        <v>1.2062615299999999E-2</v>
      </c>
      <c r="G1230" s="77">
        <v>5.7771265799999999E-2</v>
      </c>
      <c r="H1230" s="77">
        <v>0</v>
      </c>
      <c r="I1230" s="77">
        <v>0</v>
      </c>
      <c r="J1230" s="77">
        <v>0</v>
      </c>
      <c r="K1230" s="77">
        <v>41.999356400000003</v>
      </c>
      <c r="L1230" s="77">
        <v>19.4702406</v>
      </c>
      <c r="M1230" s="77">
        <v>0</v>
      </c>
      <c r="N1230" s="77">
        <v>0</v>
      </c>
      <c r="O1230" s="77">
        <v>0</v>
      </c>
      <c r="P1230" s="77">
        <v>0</v>
      </c>
      <c r="R1230" s="77"/>
      <c r="S1230" s="77"/>
      <c r="T1230" s="77"/>
      <c r="U1230" s="77"/>
      <c r="V1230" s="77"/>
      <c r="W1230" s="77"/>
      <c r="X1230" s="77"/>
      <c r="Y1230" s="77"/>
      <c r="Z1230" s="77"/>
      <c r="AA1230" s="77"/>
      <c r="AB1230" s="77"/>
      <c r="AC1230" s="77"/>
      <c r="AD1230" s="77"/>
      <c r="AE1230" s="77"/>
      <c r="AF1230" s="77"/>
      <c r="AG1230" s="77"/>
    </row>
    <row r="1231" spans="1:33" x14ac:dyDescent="0.25">
      <c r="A1231" s="77" t="s">
        <v>4</v>
      </c>
      <c r="B1231" s="77">
        <v>30.6404493</v>
      </c>
      <c r="C1231" s="77">
        <v>0</v>
      </c>
      <c r="D1231" s="77">
        <v>30.6404493</v>
      </c>
      <c r="E1231" s="77">
        <v>14.315866400000001</v>
      </c>
      <c r="F1231" s="77">
        <v>2.1387187700000001</v>
      </c>
      <c r="G1231" s="77">
        <v>13.429660399999999</v>
      </c>
      <c r="H1231" s="77">
        <v>0.74894239399999996</v>
      </c>
      <c r="I1231" s="77">
        <v>0</v>
      </c>
      <c r="J1231" s="77">
        <v>0</v>
      </c>
      <c r="K1231" s="77">
        <v>0</v>
      </c>
      <c r="L1231" s="77">
        <v>0</v>
      </c>
      <c r="M1231" s="77">
        <v>7.2613295000000001E-3</v>
      </c>
      <c r="N1231" s="77">
        <v>0</v>
      </c>
      <c r="O1231" s="77">
        <v>0</v>
      </c>
      <c r="P1231" s="77">
        <v>0</v>
      </c>
      <c r="R1231" s="77"/>
      <c r="S1231" s="77"/>
      <c r="T1231" s="77"/>
      <c r="U1231" s="77"/>
      <c r="V1231" s="77"/>
      <c r="W1231" s="77"/>
      <c r="X1231" s="77"/>
      <c r="Y1231" s="77"/>
      <c r="Z1231" s="77"/>
      <c r="AA1231" s="77"/>
      <c r="AB1231" s="77"/>
      <c r="AC1231" s="77"/>
      <c r="AD1231" s="77"/>
      <c r="AE1231" s="77"/>
      <c r="AF1231" s="77"/>
      <c r="AG1231" s="77"/>
    </row>
    <row r="1232" spans="1:33" x14ac:dyDescent="0.25">
      <c r="A1232" s="77" t="s">
        <v>5</v>
      </c>
      <c r="B1232" s="77">
        <v>66.378623899999994</v>
      </c>
      <c r="C1232" s="77">
        <v>66.378623899999994</v>
      </c>
      <c r="D1232" s="77">
        <v>1.4210854699999999E-14</v>
      </c>
      <c r="E1232" s="77">
        <v>45.650260899999999</v>
      </c>
      <c r="F1232" s="77">
        <v>5.7490556799999997</v>
      </c>
      <c r="G1232" s="77">
        <v>14.6057291</v>
      </c>
      <c r="H1232" s="77">
        <v>0.37357822600000001</v>
      </c>
      <c r="I1232" s="77">
        <v>0</v>
      </c>
      <c r="J1232" s="77">
        <v>0</v>
      </c>
      <c r="K1232" s="77">
        <v>0</v>
      </c>
      <c r="L1232" s="77">
        <v>0</v>
      </c>
      <c r="M1232" s="77">
        <v>0</v>
      </c>
      <c r="N1232" s="77">
        <v>0</v>
      </c>
      <c r="O1232" s="77">
        <v>0</v>
      </c>
      <c r="P1232" s="77">
        <v>0</v>
      </c>
      <c r="R1232" s="77"/>
      <c r="S1232" s="77"/>
      <c r="T1232" s="77"/>
      <c r="U1232" s="77"/>
      <c r="V1232" s="77"/>
      <c r="W1232" s="77"/>
      <c r="X1232" s="77"/>
      <c r="Y1232" s="77"/>
      <c r="Z1232" s="77"/>
      <c r="AA1232" s="77"/>
      <c r="AB1232" s="77"/>
      <c r="AC1232" s="77"/>
      <c r="AD1232" s="77"/>
      <c r="AE1232" s="77"/>
      <c r="AF1232" s="77"/>
      <c r="AG1232" s="77"/>
    </row>
    <row r="1233" spans="1:33" x14ac:dyDescent="0.25">
      <c r="A1233" s="77" t="s">
        <v>6</v>
      </c>
      <c r="B1233" s="77">
        <v>19.4702406</v>
      </c>
      <c r="C1233" s="77">
        <v>19.4702406</v>
      </c>
      <c r="D1233" s="77">
        <v>-3.5527136800000002E-15</v>
      </c>
      <c r="E1233" s="77">
        <v>15.313408900000001</v>
      </c>
      <c r="F1233" s="77">
        <v>1.1443102300000001</v>
      </c>
      <c r="G1233" s="77">
        <v>2.85902674</v>
      </c>
      <c r="H1233" s="77">
        <v>0.15349479299999999</v>
      </c>
      <c r="I1233" s="77">
        <v>0</v>
      </c>
      <c r="J1233" s="77">
        <v>0</v>
      </c>
      <c r="K1233" s="77">
        <v>0</v>
      </c>
      <c r="L1233" s="77">
        <v>0</v>
      </c>
      <c r="M1233" s="77">
        <v>0</v>
      </c>
      <c r="N1233" s="77">
        <v>0</v>
      </c>
      <c r="O1233" s="77">
        <v>0</v>
      </c>
      <c r="P1233" s="77">
        <v>0</v>
      </c>
      <c r="R1233" s="77"/>
      <c r="S1233" s="77"/>
      <c r="T1233" s="77"/>
      <c r="U1233" s="77"/>
      <c r="V1233" s="77"/>
      <c r="W1233" s="77"/>
      <c r="X1233" s="77"/>
      <c r="Y1233" s="77"/>
      <c r="Z1233" s="77"/>
      <c r="AA1233" s="77"/>
      <c r="AB1233" s="77"/>
      <c r="AC1233" s="77"/>
      <c r="AD1233" s="77"/>
      <c r="AE1233" s="77"/>
      <c r="AF1233" s="77"/>
      <c r="AG1233" s="77"/>
    </row>
    <row r="1234" spans="1:33" x14ac:dyDescent="0.25">
      <c r="A1234" s="77" t="s">
        <v>7</v>
      </c>
      <c r="B1234" s="77">
        <v>7.2613295000000001E-3</v>
      </c>
      <c r="C1234" s="77">
        <v>7.2613295000000001E-3</v>
      </c>
      <c r="D1234" s="77">
        <v>8.6736173799999996E-19</v>
      </c>
      <c r="E1234" s="77">
        <v>0</v>
      </c>
      <c r="F1234" s="77">
        <v>3.86810188E-3</v>
      </c>
      <c r="G1234" s="77">
        <v>1.7815010900000001E-3</v>
      </c>
      <c r="H1234" s="77">
        <v>1.61172653E-3</v>
      </c>
      <c r="I1234" s="77">
        <v>0</v>
      </c>
      <c r="J1234" s="77">
        <v>0</v>
      </c>
      <c r="K1234" s="77">
        <v>0</v>
      </c>
      <c r="L1234" s="77">
        <v>0</v>
      </c>
      <c r="M1234" s="77">
        <v>0</v>
      </c>
      <c r="N1234" s="77">
        <v>0</v>
      </c>
      <c r="O1234" s="77">
        <v>0</v>
      </c>
      <c r="P1234" s="77">
        <v>0</v>
      </c>
      <c r="R1234" s="77"/>
      <c r="S1234" s="77"/>
      <c r="T1234" s="77"/>
      <c r="U1234" s="77"/>
      <c r="V1234" s="77"/>
      <c r="W1234" s="77"/>
      <c r="X1234" s="77"/>
      <c r="Y1234" s="77"/>
      <c r="Z1234" s="77"/>
      <c r="AA1234" s="77"/>
      <c r="AB1234" s="77"/>
      <c r="AC1234" s="77"/>
      <c r="AD1234" s="77"/>
      <c r="AE1234" s="77"/>
      <c r="AF1234" s="77"/>
      <c r="AG1234" s="77"/>
    </row>
    <row r="1235" spans="1:33" x14ac:dyDescent="0.25">
      <c r="A1235" s="77" t="s">
        <v>8</v>
      </c>
      <c r="B1235" s="77">
        <v>0</v>
      </c>
      <c r="C1235" s="77">
        <v>0</v>
      </c>
      <c r="D1235" s="77">
        <v>0</v>
      </c>
      <c r="E1235" s="77">
        <v>0</v>
      </c>
      <c r="F1235" s="77">
        <v>0</v>
      </c>
      <c r="G1235" s="77">
        <v>0</v>
      </c>
      <c r="H1235" s="77">
        <v>0</v>
      </c>
      <c r="I1235" s="77">
        <v>0</v>
      </c>
      <c r="J1235" s="77">
        <v>0</v>
      </c>
      <c r="K1235" s="77">
        <v>0</v>
      </c>
      <c r="L1235" s="77">
        <v>0</v>
      </c>
      <c r="M1235" s="77">
        <v>0</v>
      </c>
      <c r="N1235" s="77">
        <v>0</v>
      </c>
      <c r="O1235" s="77">
        <v>0</v>
      </c>
      <c r="P1235" s="77">
        <v>0</v>
      </c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7"/>
      <c r="AD1235" s="77"/>
      <c r="AE1235" s="77"/>
      <c r="AF1235" s="77"/>
      <c r="AG1235" s="77"/>
    </row>
    <row r="1236" spans="1:33" x14ac:dyDescent="0.25">
      <c r="A1236" s="77" t="s">
        <v>9</v>
      </c>
      <c r="B1236" s="77">
        <v>0</v>
      </c>
      <c r="C1236" s="77">
        <v>0</v>
      </c>
      <c r="D1236" s="105">
        <v>0</v>
      </c>
      <c r="E1236" s="77">
        <v>0</v>
      </c>
      <c r="F1236" s="77">
        <v>0</v>
      </c>
      <c r="G1236" s="77">
        <v>0</v>
      </c>
      <c r="H1236" s="77">
        <v>0</v>
      </c>
      <c r="I1236" s="77">
        <v>0</v>
      </c>
      <c r="J1236" s="77">
        <v>0</v>
      </c>
      <c r="K1236" s="77">
        <v>0</v>
      </c>
      <c r="L1236" s="77">
        <v>0</v>
      </c>
      <c r="M1236" s="77">
        <v>0</v>
      </c>
      <c r="N1236" s="77">
        <v>0</v>
      </c>
      <c r="O1236" s="77">
        <v>0</v>
      </c>
      <c r="P1236" s="77">
        <v>0</v>
      </c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7"/>
      <c r="AD1236" s="77"/>
      <c r="AE1236" s="77"/>
      <c r="AF1236" s="77"/>
      <c r="AG1236" s="77"/>
    </row>
    <row r="1237" spans="1:33" x14ac:dyDescent="0.25">
      <c r="A1237" s="77" t="s">
        <v>10</v>
      </c>
      <c r="B1237" s="77">
        <v>0</v>
      </c>
      <c r="C1237" s="77">
        <v>0</v>
      </c>
      <c r="D1237" s="77">
        <v>0</v>
      </c>
      <c r="E1237" s="77">
        <v>0</v>
      </c>
      <c r="F1237" s="77">
        <v>0</v>
      </c>
      <c r="G1237" s="77">
        <v>0</v>
      </c>
      <c r="H1237" s="77">
        <v>0</v>
      </c>
      <c r="I1237" s="77">
        <v>0</v>
      </c>
      <c r="J1237" s="77">
        <v>0</v>
      </c>
      <c r="K1237" s="77">
        <v>0</v>
      </c>
      <c r="L1237" s="77">
        <v>0</v>
      </c>
      <c r="M1237" s="77">
        <v>0</v>
      </c>
      <c r="N1237" s="77">
        <v>0</v>
      </c>
      <c r="O1237" s="77">
        <v>0</v>
      </c>
      <c r="P1237" s="77">
        <v>0</v>
      </c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7"/>
      <c r="AD1237" s="77"/>
      <c r="AE1237" s="77"/>
      <c r="AF1237" s="77"/>
      <c r="AG1237" s="77"/>
    </row>
    <row r="1238" spans="1:33" x14ac:dyDescent="0.25">
      <c r="A1238" s="77" t="s">
        <v>11</v>
      </c>
      <c r="B1238" s="77">
        <v>0</v>
      </c>
      <c r="C1238" s="77">
        <v>0</v>
      </c>
      <c r="D1238" s="77">
        <v>0</v>
      </c>
      <c r="E1238" s="77">
        <v>0</v>
      </c>
      <c r="F1238" s="77">
        <v>0</v>
      </c>
      <c r="G1238" s="77">
        <v>0</v>
      </c>
      <c r="H1238" s="77">
        <v>0</v>
      </c>
      <c r="I1238" s="77">
        <v>0</v>
      </c>
      <c r="J1238" s="77">
        <v>0</v>
      </c>
      <c r="K1238" s="77">
        <v>0</v>
      </c>
      <c r="L1238" s="77">
        <v>0</v>
      </c>
      <c r="M1238" s="77">
        <v>0</v>
      </c>
      <c r="N1238" s="77">
        <v>0</v>
      </c>
      <c r="O1238" s="77">
        <v>0</v>
      </c>
      <c r="P1238" s="77">
        <v>0</v>
      </c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7"/>
      <c r="AD1238" s="77"/>
      <c r="AE1238" s="77"/>
      <c r="AF1238" s="77"/>
      <c r="AG1238" s="77"/>
    </row>
    <row r="1239" spans="1:33" x14ac:dyDescent="0.25">
      <c r="A1239" s="77" t="s">
        <v>12</v>
      </c>
      <c r="B1239" s="77">
        <v>0</v>
      </c>
      <c r="C1239" s="77">
        <v>0</v>
      </c>
      <c r="D1239" s="77">
        <v>0</v>
      </c>
      <c r="E1239" s="77">
        <v>0</v>
      </c>
      <c r="F1239" s="77">
        <v>0</v>
      </c>
      <c r="G1239" s="77">
        <v>0</v>
      </c>
      <c r="H1239" s="77">
        <v>0</v>
      </c>
      <c r="I1239" s="77">
        <v>0</v>
      </c>
      <c r="J1239" s="77">
        <v>0</v>
      </c>
      <c r="K1239" s="77">
        <v>0</v>
      </c>
      <c r="L1239" s="77">
        <v>0</v>
      </c>
      <c r="M1239" s="77">
        <v>0</v>
      </c>
      <c r="N1239" s="77">
        <v>0</v>
      </c>
      <c r="O1239" s="77">
        <v>0</v>
      </c>
      <c r="P1239" s="77">
        <v>0</v>
      </c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7"/>
      <c r="AD1239" s="77"/>
      <c r="AE1239" s="77"/>
      <c r="AF1239" s="77"/>
      <c r="AG1239" s="77"/>
    </row>
    <row r="1240" spans="1:33" x14ac:dyDescent="0.25">
      <c r="A1240" s="77" t="s">
        <v>13</v>
      </c>
      <c r="B1240" s="77">
        <v>0</v>
      </c>
      <c r="C1240" s="77">
        <v>0</v>
      </c>
      <c r="D1240" s="77">
        <v>0</v>
      </c>
      <c r="E1240" s="77">
        <v>0</v>
      </c>
      <c r="F1240" s="77">
        <v>0</v>
      </c>
      <c r="G1240" s="77">
        <v>0</v>
      </c>
      <c r="H1240" s="77">
        <v>0</v>
      </c>
      <c r="I1240" s="77">
        <v>0</v>
      </c>
      <c r="J1240" s="77">
        <v>0</v>
      </c>
      <c r="K1240" s="77">
        <v>0</v>
      </c>
      <c r="L1240" s="77">
        <v>0</v>
      </c>
      <c r="M1240" s="77">
        <v>0</v>
      </c>
      <c r="N1240" s="77">
        <v>0</v>
      </c>
      <c r="O1240" s="77">
        <v>0</v>
      </c>
      <c r="P1240" s="77">
        <v>0</v>
      </c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7"/>
      <c r="AD1240" s="77"/>
      <c r="AE1240" s="77"/>
      <c r="AF1240" s="77"/>
      <c r="AG1240" s="77"/>
    </row>
    <row r="1241" spans="1:33" x14ac:dyDescent="0.25">
      <c r="A1241" s="77" t="s">
        <v>14</v>
      </c>
      <c r="B1241" s="77">
        <v>0</v>
      </c>
      <c r="C1241" s="77">
        <v>0</v>
      </c>
      <c r="D1241" s="77">
        <v>0</v>
      </c>
      <c r="E1241" s="77">
        <v>0</v>
      </c>
      <c r="F1241" s="77">
        <v>0</v>
      </c>
      <c r="G1241" s="77">
        <v>0</v>
      </c>
      <c r="H1241" s="77">
        <v>0</v>
      </c>
      <c r="I1241" s="77">
        <v>0</v>
      </c>
      <c r="J1241" s="77">
        <v>0</v>
      </c>
      <c r="K1241" s="77">
        <v>0</v>
      </c>
      <c r="L1241" s="77">
        <v>0</v>
      </c>
      <c r="M1241" s="77">
        <v>0</v>
      </c>
      <c r="N1241" s="77">
        <v>0</v>
      </c>
      <c r="O1241" s="77">
        <v>0</v>
      </c>
      <c r="P1241" s="77">
        <v>0</v>
      </c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7"/>
      <c r="AD1241" s="77"/>
      <c r="AE1241" s="77"/>
      <c r="AF1241" s="77"/>
      <c r="AG1241" s="77"/>
    </row>
    <row r="1242" spans="1:33" x14ac:dyDescent="0.25">
      <c r="A1242" s="77" t="s">
        <v>480</v>
      </c>
      <c r="B1242" s="77"/>
      <c r="C1242" s="77"/>
      <c r="D1242" s="77"/>
      <c r="E1242" s="77"/>
      <c r="F1242" s="77"/>
      <c r="G1242" s="77"/>
      <c r="H1242" s="77"/>
      <c r="I1242" s="77"/>
      <c r="J1242" s="77"/>
      <c r="K1242" s="77"/>
      <c r="L1242" s="77"/>
      <c r="M1242" s="77"/>
      <c r="N1242" s="77"/>
      <c r="O1242" s="77"/>
      <c r="P1242" s="77"/>
      <c r="R1242" s="77"/>
      <c r="S1242" s="77"/>
      <c r="T1242" s="77"/>
      <c r="U1242" s="77"/>
      <c r="V1242" s="77"/>
      <c r="W1242" s="77"/>
      <c r="X1242" s="77"/>
      <c r="Y1242" s="77"/>
      <c r="Z1242" s="77"/>
      <c r="AA1242" s="77"/>
      <c r="AB1242" s="77"/>
      <c r="AC1242" s="77"/>
      <c r="AD1242" s="77"/>
      <c r="AE1242" s="77"/>
      <c r="AF1242" s="77"/>
      <c r="AG1242" s="77"/>
    </row>
    <row r="1243" spans="1:33" x14ac:dyDescent="0.25">
      <c r="A1243" s="77" t="s">
        <v>360</v>
      </c>
      <c r="B1243" s="77" t="s">
        <v>366</v>
      </c>
      <c r="C1243" s="77" t="s">
        <v>367</v>
      </c>
      <c r="D1243" s="77" t="s">
        <v>368</v>
      </c>
      <c r="E1243" s="77" t="s">
        <v>21</v>
      </c>
      <c r="F1243" s="77" t="s">
        <v>22</v>
      </c>
      <c r="G1243" s="77" t="s">
        <v>23</v>
      </c>
      <c r="H1243" s="77" t="s">
        <v>361</v>
      </c>
      <c r="I1243" s="77" t="s">
        <v>25</v>
      </c>
      <c r="J1243" s="77" t="s">
        <v>362</v>
      </c>
      <c r="K1243" s="77" t="s">
        <v>5</v>
      </c>
      <c r="L1243" s="77" t="s">
        <v>6</v>
      </c>
      <c r="M1243" s="77" t="s">
        <v>7</v>
      </c>
      <c r="N1243" s="77" t="s">
        <v>8</v>
      </c>
      <c r="O1243" s="77" t="s">
        <v>9</v>
      </c>
      <c r="P1243" s="77" t="s">
        <v>363</v>
      </c>
      <c r="R1243" s="77"/>
      <c r="S1243" s="77"/>
      <c r="T1243" s="77"/>
      <c r="U1243" s="77"/>
      <c r="V1243" s="77"/>
      <c r="W1243" s="77"/>
      <c r="X1243" s="77"/>
      <c r="Y1243" s="77"/>
      <c r="Z1243" s="77"/>
      <c r="AA1243" s="77"/>
      <c r="AB1243" s="77"/>
      <c r="AC1243" s="77"/>
      <c r="AD1243" s="77"/>
      <c r="AE1243" s="77"/>
      <c r="AF1243" s="77"/>
      <c r="AG1243" s="77"/>
    </row>
    <row r="1244" spans="1:33" x14ac:dyDescent="0.25">
      <c r="A1244" s="77" t="s">
        <v>364</v>
      </c>
      <c r="B1244" s="77" t="s">
        <v>369</v>
      </c>
      <c r="C1244" s="77" t="s">
        <v>369</v>
      </c>
      <c r="D1244" s="77" t="s">
        <v>369</v>
      </c>
      <c r="E1244" s="77" t="s">
        <v>369</v>
      </c>
      <c r="F1244" s="77" t="s">
        <v>369</v>
      </c>
      <c r="G1244" s="77" t="s">
        <v>369</v>
      </c>
      <c r="H1244" s="77" t="s">
        <v>369</v>
      </c>
      <c r="I1244" s="77" t="s">
        <v>369</v>
      </c>
      <c r="J1244" s="77" t="s">
        <v>369</v>
      </c>
      <c r="K1244" s="77" t="s">
        <v>369</v>
      </c>
      <c r="L1244" s="77" t="s">
        <v>369</v>
      </c>
      <c r="M1244" s="77" t="s">
        <v>369</v>
      </c>
      <c r="N1244" s="77" t="s">
        <v>369</v>
      </c>
      <c r="O1244" s="77" t="s">
        <v>369</v>
      </c>
      <c r="P1244" s="77" t="s">
        <v>369</v>
      </c>
      <c r="R1244" s="77"/>
      <c r="S1244" s="77"/>
      <c r="T1244" s="77"/>
      <c r="U1244" s="77"/>
      <c r="V1244" s="77"/>
      <c r="W1244" s="77"/>
      <c r="X1244" s="77"/>
      <c r="Y1244" s="77"/>
      <c r="Z1244" s="77"/>
      <c r="AA1244" s="77"/>
      <c r="AB1244" s="77"/>
      <c r="AC1244" s="77"/>
      <c r="AD1244" s="77"/>
      <c r="AE1244" s="77"/>
      <c r="AF1244" s="77"/>
      <c r="AG1244" s="77"/>
    </row>
    <row r="1245" spans="1:33" x14ac:dyDescent="0.25">
      <c r="A1245" s="77" t="s">
        <v>1</v>
      </c>
      <c r="B1245" s="77">
        <v>128.50056599999999</v>
      </c>
      <c r="C1245" s="77">
        <v>0</v>
      </c>
      <c r="D1245" s="77">
        <v>128.50056599999999</v>
      </c>
      <c r="E1245" s="77">
        <v>35.699894</v>
      </c>
      <c r="F1245" s="77">
        <v>0</v>
      </c>
      <c r="G1245" s="77">
        <v>24.685874099999999</v>
      </c>
      <c r="H1245" s="77">
        <v>0</v>
      </c>
      <c r="I1245" s="77">
        <v>0</v>
      </c>
      <c r="J1245" s="77">
        <v>0</v>
      </c>
      <c r="K1245" s="77">
        <v>29.729580800000001</v>
      </c>
      <c r="L1245" s="77">
        <v>38.233194400000002</v>
      </c>
      <c r="M1245" s="77">
        <v>0.15202291300000001</v>
      </c>
      <c r="N1245" s="77">
        <v>0</v>
      </c>
      <c r="O1245" s="77">
        <v>0</v>
      </c>
      <c r="P1245" s="77">
        <v>0</v>
      </c>
      <c r="R1245" s="77"/>
      <c r="S1245" s="77"/>
      <c r="T1245" s="77"/>
      <c r="U1245" s="77"/>
      <c r="V1245" s="77"/>
      <c r="W1245" s="77"/>
      <c r="X1245" s="77"/>
      <c r="Y1245" s="77"/>
      <c r="Z1245" s="77"/>
      <c r="AA1245" s="77"/>
      <c r="AB1245" s="77"/>
      <c r="AC1245" s="77"/>
      <c r="AD1245" s="77"/>
      <c r="AE1245" s="77"/>
      <c r="AF1245" s="77"/>
      <c r="AG1245" s="77"/>
    </row>
    <row r="1246" spans="1:33" x14ac:dyDescent="0.25">
      <c r="A1246" s="77" t="s">
        <v>2</v>
      </c>
      <c r="B1246" s="77">
        <v>22.797169199999999</v>
      </c>
      <c r="C1246" s="77">
        <v>0</v>
      </c>
      <c r="D1246" s="77">
        <v>22.797169199999999</v>
      </c>
      <c r="E1246" s="77">
        <v>0</v>
      </c>
      <c r="F1246" s="77">
        <v>0</v>
      </c>
      <c r="G1246" s="77">
        <v>6.7673161099999999E-5</v>
      </c>
      <c r="H1246" s="77">
        <v>0</v>
      </c>
      <c r="I1246" s="77">
        <v>0</v>
      </c>
      <c r="J1246" s="77">
        <v>0</v>
      </c>
      <c r="K1246" s="77">
        <v>22.796931499999999</v>
      </c>
      <c r="L1246" s="77">
        <v>1.7000050099999999E-4</v>
      </c>
      <c r="M1246" s="77">
        <v>0</v>
      </c>
      <c r="N1246" s="77">
        <v>0</v>
      </c>
      <c r="O1246" s="77">
        <v>0</v>
      </c>
      <c r="P1246" s="77">
        <v>0</v>
      </c>
      <c r="R1246" s="77"/>
      <c r="S1246" s="77"/>
      <c r="T1246" s="77"/>
      <c r="U1246" s="77"/>
      <c r="V1246" s="77"/>
      <c r="W1246" s="77"/>
      <c r="X1246" s="77"/>
      <c r="Y1246" s="77"/>
      <c r="Z1246" s="77"/>
      <c r="AA1246" s="77"/>
      <c r="AB1246" s="77"/>
      <c r="AC1246" s="77"/>
      <c r="AD1246" s="77"/>
      <c r="AE1246" s="77"/>
      <c r="AF1246" s="77"/>
      <c r="AG1246" s="77"/>
    </row>
    <row r="1247" spans="1:33" x14ac:dyDescent="0.25">
      <c r="A1247" s="77" t="s">
        <v>3</v>
      </c>
      <c r="B1247" s="77">
        <v>46.0888943</v>
      </c>
      <c r="C1247" s="77">
        <v>0</v>
      </c>
      <c r="D1247" s="77">
        <v>46.0888943</v>
      </c>
      <c r="E1247" s="77">
        <v>0.15249022500000001</v>
      </c>
      <c r="F1247" s="77">
        <v>5.0160746199999998E-3</v>
      </c>
      <c r="G1247" s="77">
        <v>2.3630796400000001E-2</v>
      </c>
      <c r="H1247" s="77">
        <v>0</v>
      </c>
      <c r="I1247" s="77">
        <v>0</v>
      </c>
      <c r="J1247" s="77">
        <v>0</v>
      </c>
      <c r="K1247" s="77">
        <v>7.47179561</v>
      </c>
      <c r="L1247" s="77">
        <v>3.4638068500000001</v>
      </c>
      <c r="M1247" s="77">
        <v>0</v>
      </c>
      <c r="N1247" s="77">
        <v>0</v>
      </c>
      <c r="O1247" s="77">
        <v>0</v>
      </c>
      <c r="P1247" s="77">
        <v>34.972154799999998</v>
      </c>
      <c r="R1247" s="77"/>
      <c r="S1247" s="77"/>
      <c r="T1247" s="77"/>
      <c r="U1247" s="77"/>
      <c r="V1247" s="77"/>
      <c r="W1247" s="77"/>
      <c r="X1247" s="77"/>
      <c r="Y1247" s="77"/>
      <c r="Z1247" s="77"/>
      <c r="AA1247" s="77"/>
      <c r="AB1247" s="77"/>
      <c r="AC1247" s="77"/>
      <c r="AD1247" s="77"/>
      <c r="AE1247" s="77"/>
      <c r="AF1247" s="77"/>
      <c r="AG1247" s="77"/>
    </row>
    <row r="1248" spans="1:33" x14ac:dyDescent="0.25">
      <c r="A1248" s="77" t="s">
        <v>4</v>
      </c>
      <c r="B1248" s="77">
        <v>138.51035400000001</v>
      </c>
      <c r="C1248" s="77">
        <v>0</v>
      </c>
      <c r="D1248" s="77">
        <v>138.51035400000001</v>
      </c>
      <c r="E1248" s="77">
        <v>72.1534549</v>
      </c>
      <c r="F1248" s="77">
        <v>11.657047499999999</v>
      </c>
      <c r="G1248" s="77">
        <v>58.009364900000001</v>
      </c>
      <c r="H1248" s="77">
        <v>2.8965187499999998</v>
      </c>
      <c r="I1248" s="77">
        <v>0</v>
      </c>
      <c r="J1248" s="77">
        <v>0</v>
      </c>
      <c r="K1248" s="77">
        <v>0</v>
      </c>
      <c r="L1248" s="77">
        <v>0</v>
      </c>
      <c r="M1248" s="77">
        <v>2.4023669800000001E-2</v>
      </c>
      <c r="N1248" s="77">
        <v>0</v>
      </c>
      <c r="O1248" s="77">
        <v>0</v>
      </c>
      <c r="P1248" s="77">
        <v>-6.23005517</v>
      </c>
      <c r="R1248" s="77"/>
      <c r="S1248" s="77"/>
      <c r="T1248" s="77"/>
      <c r="U1248" s="77"/>
      <c r="V1248" s="77"/>
      <c r="W1248" s="77"/>
      <c r="X1248" s="77"/>
      <c r="Y1248" s="77"/>
      <c r="Z1248" s="77"/>
      <c r="AA1248" s="77"/>
      <c r="AB1248" s="77"/>
      <c r="AC1248" s="77"/>
      <c r="AD1248" s="77"/>
      <c r="AE1248" s="77"/>
      <c r="AF1248" s="77"/>
      <c r="AG1248" s="77"/>
    </row>
    <row r="1249" spans="1:33" x14ac:dyDescent="0.25">
      <c r="A1249" s="77" t="s">
        <v>5</v>
      </c>
      <c r="B1249" s="77">
        <v>229.59072</v>
      </c>
      <c r="C1249" s="77">
        <v>137.14682500000001</v>
      </c>
      <c r="D1249" s="77">
        <v>92.443895299999994</v>
      </c>
      <c r="E1249" s="77">
        <v>148.00815900000001</v>
      </c>
      <c r="F1249" s="77">
        <v>19.657737900000001</v>
      </c>
      <c r="G1249" s="77">
        <v>60.584195999999999</v>
      </c>
      <c r="H1249" s="77">
        <v>1.34062663</v>
      </c>
      <c r="I1249" s="77">
        <v>0</v>
      </c>
      <c r="J1249" s="77">
        <v>0</v>
      </c>
      <c r="K1249" s="77">
        <v>0</v>
      </c>
      <c r="L1249" s="77">
        <v>0</v>
      </c>
      <c r="M1249" s="77">
        <v>0</v>
      </c>
      <c r="N1249" s="77">
        <v>0</v>
      </c>
      <c r="O1249" s="77">
        <v>0</v>
      </c>
      <c r="P1249" s="77">
        <v>0</v>
      </c>
      <c r="R1249" s="77"/>
      <c r="S1249" s="77"/>
      <c r="T1249" s="77"/>
      <c r="U1249" s="77"/>
      <c r="V1249" s="77"/>
      <c r="W1249" s="77"/>
      <c r="X1249" s="77"/>
      <c r="Y1249" s="77"/>
      <c r="Z1249" s="77"/>
      <c r="AA1249" s="77"/>
      <c r="AB1249" s="77"/>
      <c r="AC1249" s="77"/>
      <c r="AD1249" s="77"/>
      <c r="AE1249" s="77"/>
      <c r="AF1249" s="77"/>
      <c r="AG1249" s="77"/>
    </row>
    <row r="1250" spans="1:33" x14ac:dyDescent="0.25">
      <c r="A1250" s="77" t="s">
        <v>6</v>
      </c>
      <c r="B1250" s="77">
        <v>106.75858100000001</v>
      </c>
      <c r="C1250" s="77">
        <v>81.499356800000001</v>
      </c>
      <c r="D1250" s="77">
        <v>25.259223899999999</v>
      </c>
      <c r="E1250" s="77">
        <v>79.758615500000005</v>
      </c>
      <c r="F1250" s="77">
        <v>6.7767533000000002</v>
      </c>
      <c r="G1250" s="77">
        <v>19.348040999999998</v>
      </c>
      <c r="H1250" s="77">
        <v>0.87517095899999997</v>
      </c>
      <c r="I1250" s="77">
        <v>0</v>
      </c>
      <c r="J1250" s="77">
        <v>0</v>
      </c>
      <c r="K1250" s="77">
        <v>0</v>
      </c>
      <c r="L1250" s="77">
        <v>0</v>
      </c>
      <c r="M1250" s="77">
        <v>0</v>
      </c>
      <c r="N1250" s="77">
        <v>0</v>
      </c>
      <c r="O1250" s="77">
        <v>0</v>
      </c>
      <c r="P1250" s="77">
        <v>0</v>
      </c>
      <c r="R1250" s="77"/>
      <c r="S1250" s="77"/>
      <c r="T1250" s="77"/>
      <c r="U1250" s="77"/>
      <c r="V1250" s="77"/>
      <c r="W1250" s="77"/>
      <c r="X1250" s="77"/>
      <c r="Y1250" s="77"/>
      <c r="Z1250" s="77"/>
      <c r="AA1250" s="77"/>
      <c r="AB1250" s="77"/>
      <c r="AC1250" s="77"/>
      <c r="AD1250" s="77"/>
      <c r="AE1250" s="77"/>
      <c r="AF1250" s="77"/>
      <c r="AG1250" s="77"/>
    </row>
    <row r="1251" spans="1:33" x14ac:dyDescent="0.25">
      <c r="A1251" s="77" t="s">
        <v>7</v>
      </c>
      <c r="B1251" s="77">
        <v>0.22466024200000001</v>
      </c>
      <c r="C1251" s="77">
        <v>0.21803604800000001</v>
      </c>
      <c r="D1251" s="77">
        <v>6.6241942899999996E-3</v>
      </c>
      <c r="E1251" s="77">
        <v>0</v>
      </c>
      <c r="F1251" s="77">
        <v>0.132044719</v>
      </c>
      <c r="G1251" s="77">
        <v>4.1679437899999998E-2</v>
      </c>
      <c r="H1251" s="77">
        <v>5.0936085700000001E-2</v>
      </c>
      <c r="I1251" s="77">
        <v>0</v>
      </c>
      <c r="J1251" s="77">
        <v>0</v>
      </c>
      <c r="K1251" s="77">
        <v>0</v>
      </c>
      <c r="L1251" s="77">
        <v>0</v>
      </c>
      <c r="M1251" s="77">
        <v>0</v>
      </c>
      <c r="N1251" s="77">
        <v>0</v>
      </c>
      <c r="O1251" s="77">
        <v>0</v>
      </c>
      <c r="P1251" s="77">
        <v>0</v>
      </c>
      <c r="R1251" s="77"/>
      <c r="S1251" s="77"/>
      <c r="T1251" s="77"/>
      <c r="U1251" s="77"/>
      <c r="V1251" s="77"/>
      <c r="W1251" s="77"/>
      <c r="X1251" s="77"/>
      <c r="Y1251" s="77"/>
      <c r="Z1251" s="77"/>
      <c r="AA1251" s="77"/>
      <c r="AB1251" s="77"/>
      <c r="AC1251" s="77"/>
      <c r="AD1251" s="77"/>
      <c r="AE1251" s="77"/>
      <c r="AF1251" s="77"/>
      <c r="AG1251" s="77"/>
    </row>
    <row r="1252" spans="1:33" x14ac:dyDescent="0.25">
      <c r="A1252" s="77" t="s">
        <v>8</v>
      </c>
      <c r="B1252" s="77">
        <v>0</v>
      </c>
      <c r="C1252" s="77">
        <v>0</v>
      </c>
      <c r="D1252" s="77">
        <v>0</v>
      </c>
      <c r="E1252" s="77">
        <v>0</v>
      </c>
      <c r="F1252" s="77">
        <v>0</v>
      </c>
      <c r="G1252" s="77">
        <v>0</v>
      </c>
      <c r="H1252" s="77">
        <v>0</v>
      </c>
      <c r="I1252" s="77">
        <v>0</v>
      </c>
      <c r="J1252" s="77">
        <v>0</v>
      </c>
      <c r="K1252" s="77">
        <v>0</v>
      </c>
      <c r="L1252" s="77">
        <v>0</v>
      </c>
      <c r="M1252" s="77">
        <v>0</v>
      </c>
      <c r="N1252" s="77">
        <v>0</v>
      </c>
      <c r="O1252" s="77">
        <v>0</v>
      </c>
      <c r="P1252" s="77">
        <v>0</v>
      </c>
      <c r="R1252" s="77"/>
      <c r="S1252" s="77"/>
      <c r="T1252" s="77"/>
      <c r="U1252" s="77"/>
      <c r="V1252" s="77"/>
      <c r="W1252" s="77"/>
      <c r="X1252" s="77"/>
      <c r="Y1252" s="77"/>
      <c r="Z1252" s="77"/>
      <c r="AA1252" s="77"/>
      <c r="AB1252" s="77"/>
      <c r="AC1252" s="77"/>
      <c r="AD1252" s="77"/>
      <c r="AE1252" s="77"/>
      <c r="AF1252" s="77"/>
      <c r="AG1252" s="77"/>
    </row>
    <row r="1253" spans="1:33" x14ac:dyDescent="0.25">
      <c r="A1253" s="77" t="s">
        <v>9</v>
      </c>
      <c r="B1253" s="77">
        <v>0</v>
      </c>
      <c r="C1253" s="77">
        <v>0</v>
      </c>
      <c r="D1253" s="77">
        <v>0</v>
      </c>
      <c r="E1253" s="77">
        <v>0</v>
      </c>
      <c r="F1253" s="77">
        <v>0</v>
      </c>
      <c r="G1253" s="77">
        <v>0</v>
      </c>
      <c r="H1253" s="77">
        <v>0</v>
      </c>
      <c r="I1253" s="77">
        <v>0</v>
      </c>
      <c r="J1253" s="77">
        <v>0</v>
      </c>
      <c r="K1253" s="77">
        <v>0</v>
      </c>
      <c r="L1253" s="77">
        <v>0</v>
      </c>
      <c r="M1253" s="77">
        <v>0</v>
      </c>
      <c r="N1253" s="77">
        <v>0</v>
      </c>
      <c r="O1253" s="77">
        <v>0</v>
      </c>
      <c r="P1253" s="77">
        <v>0</v>
      </c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7"/>
      <c r="AD1253" s="77"/>
      <c r="AE1253" s="77"/>
      <c r="AF1253" s="77"/>
      <c r="AG1253" s="77"/>
    </row>
    <row r="1254" spans="1:33" x14ac:dyDescent="0.25">
      <c r="A1254" s="77" t="s">
        <v>10</v>
      </c>
      <c r="B1254" s="77">
        <v>69.105030099999993</v>
      </c>
      <c r="C1254" s="77">
        <v>0</v>
      </c>
      <c r="D1254" s="77">
        <v>69.105030099999993</v>
      </c>
      <c r="E1254" s="77">
        <v>0</v>
      </c>
      <c r="F1254" s="77">
        <v>-1.2999999999999999E-2</v>
      </c>
      <c r="G1254" s="77">
        <v>3.7620821199999998E-5</v>
      </c>
      <c r="H1254" s="77">
        <v>0</v>
      </c>
      <c r="I1254" s="77">
        <v>0</v>
      </c>
      <c r="J1254" s="77">
        <v>0</v>
      </c>
      <c r="K1254" s="77">
        <v>46.806381299999998</v>
      </c>
      <c r="L1254" s="77">
        <v>22.311221</v>
      </c>
      <c r="M1254" s="77">
        <v>3.9009899999999998E-4</v>
      </c>
      <c r="N1254" s="77">
        <v>0</v>
      </c>
      <c r="O1254" s="77">
        <v>0</v>
      </c>
      <c r="P1254" s="77">
        <v>0</v>
      </c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7"/>
      <c r="AD1254" s="77"/>
      <c r="AE1254" s="77"/>
      <c r="AF1254" s="77"/>
      <c r="AG1254" s="77"/>
    </row>
    <row r="1255" spans="1:33" x14ac:dyDescent="0.25">
      <c r="A1255" s="77" t="s">
        <v>11</v>
      </c>
      <c r="B1255" s="77">
        <v>4.2556179600000004</v>
      </c>
      <c r="C1255" s="77">
        <v>0</v>
      </c>
      <c r="D1255" s="77">
        <v>4.2556179600000004</v>
      </c>
      <c r="E1255" s="77">
        <v>1.9883147800000001</v>
      </c>
      <c r="F1255" s="77">
        <v>0.297044274</v>
      </c>
      <c r="G1255" s="77">
        <v>1.86523061</v>
      </c>
      <c r="H1255" s="77">
        <v>0.10401977699999999</v>
      </c>
      <c r="I1255" s="77">
        <v>0</v>
      </c>
      <c r="J1255" s="77">
        <v>0</v>
      </c>
      <c r="K1255" s="77">
        <v>0</v>
      </c>
      <c r="L1255" s="77">
        <v>0</v>
      </c>
      <c r="M1255" s="77">
        <v>1.00851799E-3</v>
      </c>
      <c r="N1255" s="77">
        <v>0</v>
      </c>
      <c r="O1255" s="77">
        <v>0</v>
      </c>
      <c r="P1255" s="77">
        <v>0</v>
      </c>
      <c r="R1255" s="77"/>
      <c r="S1255" s="77"/>
      <c r="T1255" s="77"/>
      <c r="U1255" s="77"/>
      <c r="V1255" s="77"/>
      <c r="W1255" s="77"/>
      <c r="X1255" s="77"/>
      <c r="Y1255" s="77"/>
      <c r="Z1255" s="77"/>
      <c r="AA1255" s="77"/>
      <c r="AB1255" s="77"/>
      <c r="AC1255" s="77"/>
      <c r="AD1255" s="77"/>
      <c r="AE1255" s="77"/>
      <c r="AF1255" s="77"/>
      <c r="AG1255" s="77"/>
    </row>
    <row r="1256" spans="1:33" x14ac:dyDescent="0.25">
      <c r="A1256" s="77" t="s">
        <v>12</v>
      </c>
      <c r="B1256" s="77">
        <v>54.426104100000003</v>
      </c>
      <c r="C1256" s="77">
        <v>28.7420996</v>
      </c>
      <c r="D1256" s="77">
        <v>25.684004600000002</v>
      </c>
      <c r="E1256" s="77">
        <v>36.662278399999998</v>
      </c>
      <c r="F1256" s="77">
        <v>0.746712712</v>
      </c>
      <c r="G1256" s="77">
        <v>7.9731923399999998</v>
      </c>
      <c r="H1256" s="77">
        <v>0.24964746500000001</v>
      </c>
      <c r="I1256" s="77">
        <v>0</v>
      </c>
      <c r="J1256" s="77">
        <v>0</v>
      </c>
      <c r="K1256" s="77">
        <v>6.0036533099999998</v>
      </c>
      <c r="L1256" s="77">
        <v>2.7831991899999999</v>
      </c>
      <c r="M1256" s="77">
        <v>7.4206758499999999E-3</v>
      </c>
      <c r="N1256" s="77">
        <v>0</v>
      </c>
      <c r="O1256" s="77">
        <v>0</v>
      </c>
      <c r="P1256" s="77">
        <v>0</v>
      </c>
      <c r="R1256" s="77"/>
      <c r="S1256" s="77"/>
      <c r="T1256" s="77"/>
      <c r="U1256" s="77"/>
      <c r="V1256" s="77"/>
      <c r="W1256" s="77"/>
      <c r="X1256" s="77"/>
      <c r="Y1256" s="77"/>
      <c r="Z1256" s="77"/>
      <c r="AA1256" s="77"/>
      <c r="AB1256" s="77"/>
      <c r="AC1256" s="77"/>
      <c r="AD1256" s="77"/>
      <c r="AE1256" s="77"/>
      <c r="AF1256" s="77"/>
      <c r="AG1256" s="77"/>
    </row>
    <row r="1257" spans="1:33" x14ac:dyDescent="0.25">
      <c r="A1257" s="77" t="s">
        <v>13</v>
      </c>
      <c r="B1257" s="77">
        <v>105.146236</v>
      </c>
      <c r="C1257" s="77">
        <v>0</v>
      </c>
      <c r="D1257" s="77">
        <v>105.146236</v>
      </c>
      <c r="E1257" s="77">
        <v>75.951381499999997</v>
      </c>
      <c r="F1257" s="77">
        <v>8.2471948600000005</v>
      </c>
      <c r="G1257" s="77">
        <v>0</v>
      </c>
      <c r="H1257" s="77">
        <v>0</v>
      </c>
      <c r="I1257" s="77">
        <v>0</v>
      </c>
      <c r="J1257" s="77">
        <v>0</v>
      </c>
      <c r="K1257" s="77">
        <v>16.550072199999999</v>
      </c>
      <c r="L1257" s="77">
        <v>4.3941042299999999</v>
      </c>
      <c r="M1257" s="77">
        <v>3.483E-3</v>
      </c>
      <c r="N1257" s="77">
        <v>0</v>
      </c>
      <c r="O1257" s="77">
        <v>0</v>
      </c>
      <c r="P1257" s="77">
        <v>0</v>
      </c>
      <c r="R1257" s="77"/>
      <c r="S1257" s="77"/>
      <c r="T1257" s="77"/>
      <c r="U1257" s="77"/>
      <c r="V1257" s="77"/>
      <c r="W1257" s="77"/>
      <c r="X1257" s="77"/>
      <c r="Y1257" s="77"/>
      <c r="Z1257" s="77"/>
      <c r="AA1257" s="77"/>
      <c r="AB1257" s="77"/>
      <c r="AC1257" s="77"/>
      <c r="AD1257" s="77"/>
      <c r="AE1257" s="77"/>
      <c r="AF1257" s="77"/>
      <c r="AG1257" s="77"/>
    </row>
    <row r="1258" spans="1:33" x14ac:dyDescent="0.25">
      <c r="A1258" s="77" t="s">
        <v>14</v>
      </c>
      <c r="B1258" s="77">
        <v>41.191877099999999</v>
      </c>
      <c r="C1258" s="77">
        <v>0</v>
      </c>
      <c r="D1258" s="77">
        <v>41.191877099999999</v>
      </c>
      <c r="E1258" s="77">
        <v>8.3423861400000003</v>
      </c>
      <c r="F1258" s="77">
        <v>0.55051914800000001</v>
      </c>
      <c r="G1258" s="77">
        <v>14.1042042</v>
      </c>
      <c r="H1258" s="77">
        <v>6.3009523900000003E-2</v>
      </c>
      <c r="I1258" s="105">
        <v>0</v>
      </c>
      <c r="J1258" s="77">
        <v>0</v>
      </c>
      <c r="K1258" s="77">
        <v>7.7884098100000001</v>
      </c>
      <c r="L1258" s="77">
        <v>10.313661099999999</v>
      </c>
      <c r="M1258" s="77">
        <v>2.96871724E-2</v>
      </c>
      <c r="N1258" s="77">
        <v>0</v>
      </c>
      <c r="O1258" s="77">
        <v>0</v>
      </c>
      <c r="P1258" s="77">
        <v>0</v>
      </c>
      <c r="R1258" s="77"/>
      <c r="S1258" s="77"/>
      <c r="T1258" s="77"/>
      <c r="U1258" s="77"/>
      <c r="V1258" s="77"/>
      <c r="W1258" s="77"/>
      <c r="X1258" s="77"/>
      <c r="Y1258" s="77"/>
      <c r="Z1258" s="105"/>
      <c r="AA1258" s="77"/>
      <c r="AB1258" s="77"/>
      <c r="AC1258" s="77"/>
      <c r="AD1258" s="77"/>
      <c r="AE1258" s="77"/>
      <c r="AF1258" s="77"/>
      <c r="AG1258" s="77"/>
    </row>
    <row r="1259" spans="1:33" x14ac:dyDescent="0.25">
      <c r="A1259" s="77" t="s">
        <v>481</v>
      </c>
      <c r="B1259" s="77"/>
      <c r="C1259" s="77"/>
      <c r="D1259" s="77"/>
      <c r="E1259" s="77"/>
      <c r="F1259" s="77"/>
      <c r="G1259" s="77"/>
      <c r="H1259" s="77"/>
      <c r="I1259" s="77"/>
      <c r="J1259" s="77"/>
      <c r="K1259" s="77"/>
      <c r="L1259" s="77"/>
      <c r="M1259" s="77"/>
      <c r="N1259" s="77"/>
      <c r="O1259" s="77"/>
      <c r="P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7"/>
      <c r="AD1259" s="77"/>
      <c r="AE1259" s="77"/>
      <c r="AF1259" s="77"/>
      <c r="AG1259" s="77"/>
    </row>
    <row r="1260" spans="1:33" x14ac:dyDescent="0.25">
      <c r="A1260" s="77" t="s">
        <v>360</v>
      </c>
      <c r="B1260" s="77" t="s">
        <v>18</v>
      </c>
      <c r="C1260" s="77" t="s">
        <v>19</v>
      </c>
      <c r="D1260" s="77" t="s">
        <v>20</v>
      </c>
      <c r="E1260" s="77" t="s">
        <v>21</v>
      </c>
      <c r="F1260" s="77" t="s">
        <v>22</v>
      </c>
      <c r="G1260" s="77" t="s">
        <v>23</v>
      </c>
      <c r="H1260" s="77" t="s">
        <v>361</v>
      </c>
      <c r="I1260" s="77" t="s">
        <v>25</v>
      </c>
      <c r="J1260" s="77" t="s">
        <v>362</v>
      </c>
      <c r="K1260" s="77" t="s">
        <v>5</v>
      </c>
      <c r="L1260" s="77" t="s">
        <v>6</v>
      </c>
      <c r="M1260" s="77" t="s">
        <v>7</v>
      </c>
      <c r="N1260" s="77" t="s">
        <v>8</v>
      </c>
      <c r="O1260" s="77" t="s">
        <v>9</v>
      </c>
      <c r="P1260" s="77" t="s">
        <v>363</v>
      </c>
      <c r="R1260" s="77"/>
      <c r="S1260" s="77"/>
      <c r="T1260" s="77"/>
      <c r="U1260" s="77"/>
      <c r="V1260" s="77"/>
      <c r="W1260" s="77"/>
      <c r="X1260" s="77"/>
      <c r="Y1260" s="77"/>
      <c r="Z1260" s="77"/>
      <c r="AA1260" s="77"/>
      <c r="AB1260" s="77"/>
      <c r="AC1260" s="77"/>
      <c r="AD1260" s="77"/>
      <c r="AE1260" s="77"/>
      <c r="AF1260" s="77"/>
      <c r="AG1260" s="77"/>
    </row>
    <row r="1261" spans="1:33" x14ac:dyDescent="0.25">
      <c r="A1261" s="77" t="s">
        <v>364</v>
      </c>
      <c r="B1261" s="77" t="s">
        <v>370</v>
      </c>
      <c r="C1261" s="77" t="s">
        <v>370</v>
      </c>
      <c r="D1261" s="77" t="s">
        <v>370</v>
      </c>
      <c r="E1261" s="77" t="s">
        <v>370</v>
      </c>
      <c r="F1261" s="77" t="s">
        <v>370</v>
      </c>
      <c r="G1261" s="77" t="s">
        <v>370</v>
      </c>
      <c r="H1261" s="77" t="s">
        <v>370</v>
      </c>
      <c r="I1261" s="77" t="s">
        <v>370</v>
      </c>
      <c r="J1261" s="77" t="s">
        <v>370</v>
      </c>
      <c r="K1261" s="77" t="s">
        <v>370</v>
      </c>
      <c r="L1261" s="77" t="s">
        <v>370</v>
      </c>
      <c r="M1261" s="77" t="s">
        <v>370</v>
      </c>
      <c r="N1261" s="77" t="s">
        <v>370</v>
      </c>
      <c r="O1261" s="77" t="s">
        <v>370</v>
      </c>
      <c r="P1261" s="77" t="s">
        <v>370</v>
      </c>
      <c r="R1261" s="77"/>
      <c r="S1261" s="77"/>
      <c r="T1261" s="77"/>
      <c r="U1261" s="77"/>
      <c r="V1261" s="77"/>
      <c r="W1261" s="77"/>
      <c r="X1261" s="77"/>
      <c r="Y1261" s="77"/>
      <c r="Z1261" s="77"/>
      <c r="AA1261" s="77"/>
      <c r="AB1261" s="77"/>
      <c r="AC1261" s="77"/>
      <c r="AD1261" s="77"/>
      <c r="AE1261" s="77"/>
      <c r="AF1261" s="77"/>
      <c r="AG1261" s="77"/>
    </row>
    <row r="1262" spans="1:33" x14ac:dyDescent="0.25">
      <c r="A1262" s="77" t="s">
        <v>1</v>
      </c>
      <c r="B1262" s="77">
        <v>0</v>
      </c>
      <c r="C1262" s="77">
        <v>0</v>
      </c>
      <c r="D1262" s="77">
        <v>0</v>
      </c>
      <c r="E1262" s="77">
        <v>0</v>
      </c>
      <c r="F1262" s="77">
        <v>0</v>
      </c>
      <c r="G1262" s="77">
        <v>0</v>
      </c>
      <c r="H1262" s="77">
        <v>0</v>
      </c>
      <c r="I1262" s="77">
        <v>0</v>
      </c>
      <c r="J1262" s="77">
        <v>0</v>
      </c>
      <c r="K1262" s="77">
        <v>0</v>
      </c>
      <c r="L1262" s="77">
        <v>0</v>
      </c>
      <c r="M1262" s="77">
        <v>0</v>
      </c>
      <c r="N1262" s="77">
        <v>0</v>
      </c>
      <c r="O1262" s="77">
        <v>0</v>
      </c>
      <c r="P1262" s="77">
        <v>0</v>
      </c>
      <c r="R1262" s="77"/>
      <c r="S1262" s="77"/>
      <c r="T1262" s="77"/>
      <c r="U1262" s="77"/>
      <c r="V1262" s="77"/>
      <c r="W1262" s="77"/>
      <c r="X1262" s="77"/>
      <c r="Y1262" s="77"/>
      <c r="Z1262" s="77"/>
      <c r="AA1262" s="77"/>
      <c r="AB1262" s="77"/>
      <c r="AC1262" s="77"/>
      <c r="AD1262" s="77"/>
      <c r="AE1262" s="77"/>
      <c r="AF1262" s="77"/>
      <c r="AG1262" s="77"/>
    </row>
    <row r="1263" spans="1:33" x14ac:dyDescent="0.25">
      <c r="A1263" s="77" t="s">
        <v>2</v>
      </c>
      <c r="B1263" s="77">
        <v>4.4933814999999999</v>
      </c>
      <c r="C1263" s="77">
        <v>0</v>
      </c>
      <c r="D1263" s="77">
        <v>4.4933814999999999</v>
      </c>
      <c r="E1263" s="77">
        <v>0</v>
      </c>
      <c r="F1263" s="77">
        <v>0</v>
      </c>
      <c r="G1263" s="77">
        <v>0</v>
      </c>
      <c r="H1263" s="77">
        <v>0</v>
      </c>
      <c r="I1263" s="77">
        <v>0</v>
      </c>
      <c r="J1263" s="77">
        <v>0</v>
      </c>
      <c r="K1263" s="77">
        <v>3.07012149</v>
      </c>
      <c r="L1263" s="77">
        <v>1.4232600099999999</v>
      </c>
      <c r="M1263" s="77">
        <v>0</v>
      </c>
      <c r="N1263" s="77">
        <v>0</v>
      </c>
      <c r="O1263" s="77">
        <v>0</v>
      </c>
      <c r="P1263" s="77">
        <v>0</v>
      </c>
      <c r="R1263" s="77"/>
      <c r="S1263" s="77"/>
      <c r="T1263" s="77"/>
      <c r="U1263" s="77"/>
      <c r="V1263" s="77"/>
      <c r="W1263" s="77"/>
      <c r="X1263" s="77"/>
      <c r="Y1263" s="77"/>
      <c r="Z1263" s="77"/>
      <c r="AA1263" s="77"/>
      <c r="AB1263" s="77"/>
      <c r="AC1263" s="77"/>
      <c r="AD1263" s="77"/>
      <c r="AE1263" s="77"/>
      <c r="AF1263" s="77"/>
      <c r="AG1263" s="77"/>
    </row>
    <row r="1264" spans="1:33" x14ac:dyDescent="0.25">
      <c r="A1264" s="77" t="s">
        <v>3</v>
      </c>
      <c r="B1264" s="77">
        <v>1.22648885</v>
      </c>
      <c r="C1264" s="77">
        <v>0</v>
      </c>
      <c r="D1264" s="77">
        <v>1.22648885</v>
      </c>
      <c r="E1264" s="77">
        <v>1.0681741E-2</v>
      </c>
      <c r="F1264" s="77">
        <v>2.38315715E-4</v>
      </c>
      <c r="G1264" s="77">
        <v>1.1413611500000001E-3</v>
      </c>
      <c r="H1264" s="77">
        <v>0</v>
      </c>
      <c r="I1264" s="77">
        <v>0</v>
      </c>
      <c r="J1264" s="77">
        <v>0</v>
      </c>
      <c r="K1264" s="77">
        <v>0.82976256500000001</v>
      </c>
      <c r="L1264" s="77">
        <v>0.38466486599999999</v>
      </c>
      <c r="M1264" s="77">
        <v>0</v>
      </c>
      <c r="N1264" s="77">
        <v>0</v>
      </c>
      <c r="O1264" s="77">
        <v>0</v>
      </c>
      <c r="P1264" s="77">
        <v>0</v>
      </c>
      <c r="R1264" s="77"/>
      <c r="S1264" s="77"/>
      <c r="T1264" s="77"/>
      <c r="U1264" s="77"/>
      <c r="V1264" s="77"/>
      <c r="W1264" s="77"/>
      <c r="X1264" s="77"/>
      <c r="Y1264" s="77"/>
      <c r="Z1264" s="77"/>
      <c r="AA1264" s="77"/>
      <c r="AB1264" s="77"/>
      <c r="AC1264" s="77"/>
      <c r="AD1264" s="77"/>
      <c r="AE1264" s="77"/>
      <c r="AF1264" s="77"/>
      <c r="AG1264" s="77"/>
    </row>
    <row r="1265" spans="1:33" x14ac:dyDescent="0.25">
      <c r="A1265" s="77" t="s">
        <v>4</v>
      </c>
      <c r="B1265" s="77">
        <v>3.0640449300000001</v>
      </c>
      <c r="C1265" s="77">
        <v>0</v>
      </c>
      <c r="D1265" s="77">
        <v>3.0640449300000001</v>
      </c>
      <c r="E1265" s="77">
        <v>1.4315866399999999</v>
      </c>
      <c r="F1265" s="77">
        <v>0.21387187699999999</v>
      </c>
      <c r="G1265" s="77">
        <v>1.3429660400000001</v>
      </c>
      <c r="H1265" s="77">
        <v>7.4894239400000007E-2</v>
      </c>
      <c r="I1265" s="77">
        <v>0</v>
      </c>
      <c r="J1265" s="77">
        <v>0</v>
      </c>
      <c r="K1265" s="77">
        <v>0</v>
      </c>
      <c r="L1265" s="77">
        <v>0</v>
      </c>
      <c r="M1265" s="77">
        <v>7.2613294999999999E-4</v>
      </c>
      <c r="N1265" s="77">
        <v>0</v>
      </c>
      <c r="O1265" s="77">
        <v>0</v>
      </c>
      <c r="P1265" s="77">
        <v>0</v>
      </c>
      <c r="R1265" s="77"/>
      <c r="S1265" s="77"/>
      <c r="T1265" s="77"/>
      <c r="U1265" s="77"/>
      <c r="V1265" s="77"/>
      <c r="W1265" s="77"/>
      <c r="X1265" s="77"/>
      <c r="Y1265" s="77"/>
      <c r="Z1265" s="77"/>
      <c r="AA1265" s="77"/>
      <c r="AB1265" s="77"/>
      <c r="AC1265" s="77"/>
      <c r="AD1265" s="77"/>
      <c r="AE1265" s="77"/>
      <c r="AF1265" s="77"/>
      <c r="AG1265" s="77"/>
    </row>
    <row r="1266" spans="1:33" x14ac:dyDescent="0.25">
      <c r="A1266" s="77" t="s">
        <v>5</v>
      </c>
      <c r="B1266" s="77">
        <v>3.07012149</v>
      </c>
      <c r="C1266" s="77">
        <v>3.8998840499999998</v>
      </c>
      <c r="D1266" s="77">
        <v>-0.82976256500000001</v>
      </c>
      <c r="E1266" s="77">
        <v>2.1114003100000001</v>
      </c>
      <c r="F1266" s="77">
        <v>0.26590336399999998</v>
      </c>
      <c r="G1266" s="77">
        <v>0.675539204</v>
      </c>
      <c r="H1266" s="77">
        <v>1.7278612799999999E-2</v>
      </c>
      <c r="I1266" s="77">
        <v>0</v>
      </c>
      <c r="J1266" s="77">
        <v>0</v>
      </c>
      <c r="K1266" s="77">
        <v>0</v>
      </c>
      <c r="L1266" s="77">
        <v>0</v>
      </c>
      <c r="M1266" s="77">
        <v>0</v>
      </c>
      <c r="N1266" s="77">
        <v>0</v>
      </c>
      <c r="O1266" s="77">
        <v>0</v>
      </c>
      <c r="P1266" s="77">
        <v>0</v>
      </c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7"/>
      <c r="AD1266" s="77"/>
      <c r="AE1266" s="77"/>
      <c r="AF1266" s="77"/>
      <c r="AG1266" s="77"/>
    </row>
    <row r="1267" spans="1:33" x14ac:dyDescent="0.25">
      <c r="A1267" s="77" t="s">
        <v>6</v>
      </c>
      <c r="B1267" s="77">
        <v>1.4232600099999999</v>
      </c>
      <c r="C1267" s="77">
        <v>1.8079248699999999</v>
      </c>
      <c r="D1267" s="77">
        <v>-0.38466486599999999</v>
      </c>
      <c r="E1267" s="77">
        <v>1.11939872</v>
      </c>
      <c r="F1267" s="77">
        <v>8.3648220600000003E-2</v>
      </c>
      <c r="G1267" s="77">
        <v>0.208992713</v>
      </c>
      <c r="H1267" s="77">
        <v>1.12203544E-2</v>
      </c>
      <c r="I1267" s="77">
        <v>0</v>
      </c>
      <c r="J1267" s="77">
        <v>0</v>
      </c>
      <c r="K1267" s="77">
        <v>0</v>
      </c>
      <c r="L1267" s="77">
        <v>0</v>
      </c>
      <c r="M1267" s="77">
        <v>0</v>
      </c>
      <c r="N1267" s="77">
        <v>0</v>
      </c>
      <c r="O1267" s="77">
        <v>0</v>
      </c>
      <c r="P1267" s="77">
        <v>0</v>
      </c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7"/>
      <c r="AD1267" s="77"/>
      <c r="AE1267" s="77"/>
      <c r="AF1267" s="77"/>
      <c r="AG1267" s="77"/>
    </row>
    <row r="1268" spans="1:33" x14ac:dyDescent="0.25">
      <c r="A1268" s="77" t="s">
        <v>7</v>
      </c>
      <c r="B1268" s="77">
        <v>1.8331703E-3</v>
      </c>
      <c r="C1268" s="77">
        <v>7.2613294999999999E-4</v>
      </c>
      <c r="D1268" s="77">
        <v>1.1070373500000001E-3</v>
      </c>
      <c r="E1268" s="77">
        <v>0</v>
      </c>
      <c r="F1268" s="77">
        <v>9.76527714E-4</v>
      </c>
      <c r="G1268" s="77">
        <v>4.49751645E-4</v>
      </c>
      <c r="H1268" s="77">
        <v>4.06890944E-4</v>
      </c>
      <c r="I1268" s="77">
        <v>0</v>
      </c>
      <c r="J1268" s="77">
        <v>0</v>
      </c>
      <c r="K1268" s="77">
        <v>0</v>
      </c>
      <c r="L1268" s="77">
        <v>0</v>
      </c>
      <c r="M1268" s="77">
        <v>0</v>
      </c>
      <c r="N1268" s="77">
        <v>0</v>
      </c>
      <c r="O1268" s="77">
        <v>0</v>
      </c>
      <c r="P1268" s="77">
        <v>0</v>
      </c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7"/>
      <c r="AD1268" s="77"/>
      <c r="AE1268" s="77"/>
      <c r="AF1268" s="77"/>
      <c r="AG1268" s="77"/>
    </row>
    <row r="1269" spans="1:33" x14ac:dyDescent="0.25">
      <c r="A1269" s="77" t="s">
        <v>8</v>
      </c>
      <c r="B1269" s="77">
        <v>0</v>
      </c>
      <c r="C1269" s="77">
        <v>0</v>
      </c>
      <c r="D1269" s="77">
        <v>0</v>
      </c>
      <c r="E1269" s="77">
        <v>0</v>
      </c>
      <c r="F1269" s="77">
        <v>0</v>
      </c>
      <c r="G1269" s="77">
        <v>0</v>
      </c>
      <c r="H1269" s="77">
        <v>0</v>
      </c>
      <c r="I1269" s="77">
        <v>0</v>
      </c>
      <c r="J1269" s="77">
        <v>0</v>
      </c>
      <c r="K1269" s="77">
        <v>0</v>
      </c>
      <c r="L1269" s="77">
        <v>0</v>
      </c>
      <c r="M1269" s="77">
        <v>0</v>
      </c>
      <c r="N1269" s="77">
        <v>0</v>
      </c>
      <c r="O1269" s="77">
        <v>0</v>
      </c>
      <c r="P1269" s="77">
        <v>0</v>
      </c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7"/>
      <c r="AD1269" s="77"/>
      <c r="AE1269" s="77"/>
      <c r="AF1269" s="77"/>
      <c r="AG1269" s="77"/>
    </row>
    <row r="1270" spans="1:33" x14ac:dyDescent="0.25">
      <c r="A1270" s="77" t="s">
        <v>9</v>
      </c>
      <c r="B1270" s="77">
        <v>0</v>
      </c>
      <c r="C1270" s="77">
        <v>0</v>
      </c>
      <c r="D1270" s="77">
        <v>0</v>
      </c>
      <c r="E1270" s="77">
        <v>0</v>
      </c>
      <c r="F1270" s="77">
        <v>0</v>
      </c>
      <c r="G1270" s="77">
        <v>0</v>
      </c>
      <c r="H1270" s="77">
        <v>0</v>
      </c>
      <c r="I1270" s="77">
        <v>0</v>
      </c>
      <c r="J1270" s="77">
        <v>0</v>
      </c>
      <c r="K1270" s="77">
        <v>0</v>
      </c>
      <c r="L1270" s="77">
        <v>0</v>
      </c>
      <c r="M1270" s="77">
        <v>0</v>
      </c>
      <c r="N1270" s="77">
        <v>0</v>
      </c>
      <c r="O1270" s="77">
        <v>0</v>
      </c>
      <c r="P1270" s="77">
        <v>0</v>
      </c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7"/>
      <c r="AD1270" s="77"/>
      <c r="AE1270" s="77"/>
      <c r="AF1270" s="77"/>
      <c r="AG1270" s="77"/>
    </row>
    <row r="1271" spans="1:33" x14ac:dyDescent="0.25">
      <c r="A1271" s="77" t="s">
        <v>10</v>
      </c>
      <c r="B1271" s="77">
        <v>0</v>
      </c>
      <c r="C1271" s="77">
        <v>0</v>
      </c>
      <c r="D1271" s="77">
        <v>0</v>
      </c>
      <c r="E1271" s="77">
        <v>0</v>
      </c>
      <c r="F1271" s="77">
        <v>0</v>
      </c>
      <c r="G1271" s="77">
        <v>0</v>
      </c>
      <c r="H1271" s="77">
        <v>0</v>
      </c>
      <c r="I1271" s="77">
        <v>0</v>
      </c>
      <c r="J1271" s="77">
        <v>0</v>
      </c>
      <c r="K1271" s="77">
        <v>0</v>
      </c>
      <c r="L1271" s="77">
        <v>0</v>
      </c>
      <c r="M1271" s="77">
        <v>0</v>
      </c>
      <c r="N1271" s="77">
        <v>0</v>
      </c>
      <c r="O1271" s="77">
        <v>0</v>
      </c>
      <c r="P1271" s="77">
        <v>0</v>
      </c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7"/>
      <c r="AD1271" s="77"/>
      <c r="AE1271" s="77"/>
      <c r="AF1271" s="77"/>
      <c r="AG1271" s="77"/>
    </row>
    <row r="1272" spans="1:33" x14ac:dyDescent="0.25">
      <c r="A1272" s="77" t="s">
        <v>11</v>
      </c>
      <c r="B1272" s="77">
        <v>0</v>
      </c>
      <c r="C1272" s="77">
        <v>0</v>
      </c>
      <c r="D1272" s="77">
        <v>0</v>
      </c>
      <c r="E1272" s="77">
        <v>0</v>
      </c>
      <c r="F1272" s="77">
        <v>0</v>
      </c>
      <c r="G1272" s="77">
        <v>0</v>
      </c>
      <c r="H1272" s="77">
        <v>0</v>
      </c>
      <c r="I1272" s="77">
        <v>0</v>
      </c>
      <c r="J1272" s="77">
        <v>0</v>
      </c>
      <c r="K1272" s="77">
        <v>0</v>
      </c>
      <c r="L1272" s="77">
        <v>0</v>
      </c>
      <c r="M1272" s="77">
        <v>0</v>
      </c>
      <c r="N1272" s="77">
        <v>0</v>
      </c>
      <c r="O1272" s="77">
        <v>0</v>
      </c>
      <c r="P1272" s="77">
        <v>0</v>
      </c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7"/>
      <c r="AD1272" s="77"/>
      <c r="AE1272" s="77"/>
      <c r="AF1272" s="77"/>
      <c r="AG1272" s="77"/>
    </row>
    <row r="1273" spans="1:33" x14ac:dyDescent="0.25">
      <c r="A1273" s="77" t="s">
        <v>12</v>
      </c>
      <c r="B1273" s="77">
        <v>0</v>
      </c>
      <c r="C1273" s="77">
        <v>0</v>
      </c>
      <c r="D1273" s="77">
        <v>0</v>
      </c>
      <c r="E1273" s="77">
        <v>0</v>
      </c>
      <c r="F1273" s="77">
        <v>0</v>
      </c>
      <c r="G1273" s="77">
        <v>0</v>
      </c>
      <c r="H1273" s="77">
        <v>0</v>
      </c>
      <c r="I1273" s="77">
        <v>0</v>
      </c>
      <c r="J1273" s="77">
        <v>0</v>
      </c>
      <c r="K1273" s="77">
        <v>0</v>
      </c>
      <c r="L1273" s="77">
        <v>0</v>
      </c>
      <c r="M1273" s="77">
        <v>0</v>
      </c>
      <c r="N1273" s="77">
        <v>0</v>
      </c>
      <c r="O1273" s="77">
        <v>0</v>
      </c>
      <c r="P1273" s="77">
        <v>0</v>
      </c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7"/>
      <c r="AD1273" s="77"/>
      <c r="AE1273" s="77"/>
      <c r="AF1273" s="77"/>
      <c r="AG1273" s="77"/>
    </row>
    <row r="1274" spans="1:33" x14ac:dyDescent="0.25">
      <c r="A1274" s="77" t="s">
        <v>13</v>
      </c>
      <c r="B1274" s="77">
        <v>0</v>
      </c>
      <c r="C1274" s="77">
        <v>0</v>
      </c>
      <c r="D1274" s="77">
        <v>0</v>
      </c>
      <c r="E1274" s="77">
        <v>0</v>
      </c>
      <c r="F1274" s="77">
        <v>0</v>
      </c>
      <c r="G1274" s="77">
        <v>0</v>
      </c>
      <c r="H1274" s="77">
        <v>0</v>
      </c>
      <c r="I1274" s="77">
        <v>0</v>
      </c>
      <c r="J1274" s="77">
        <v>0</v>
      </c>
      <c r="K1274" s="77">
        <v>0</v>
      </c>
      <c r="L1274" s="77">
        <v>0</v>
      </c>
      <c r="M1274" s="77">
        <v>0</v>
      </c>
      <c r="N1274" s="77">
        <v>0</v>
      </c>
      <c r="O1274" s="77">
        <v>0</v>
      </c>
      <c r="P1274" s="77">
        <v>0</v>
      </c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7"/>
      <c r="AD1274" s="77"/>
      <c r="AE1274" s="77"/>
      <c r="AF1274" s="77"/>
      <c r="AG1274" s="77"/>
    </row>
    <row r="1275" spans="1:33" x14ac:dyDescent="0.25">
      <c r="A1275" s="77" t="s">
        <v>14</v>
      </c>
      <c r="B1275" s="77">
        <v>0</v>
      </c>
      <c r="C1275" s="77">
        <v>0</v>
      </c>
      <c r="D1275" s="77">
        <v>0</v>
      </c>
      <c r="E1275" s="77">
        <v>0</v>
      </c>
      <c r="F1275" s="77">
        <v>0</v>
      </c>
      <c r="G1275" s="77">
        <v>0</v>
      </c>
      <c r="H1275" s="77">
        <v>0</v>
      </c>
      <c r="I1275" s="77">
        <v>0</v>
      </c>
      <c r="J1275" s="77">
        <v>0</v>
      </c>
      <c r="K1275" s="77">
        <v>0</v>
      </c>
      <c r="L1275" s="77">
        <v>0</v>
      </c>
      <c r="M1275" s="77">
        <v>0</v>
      </c>
      <c r="N1275" s="77">
        <v>0</v>
      </c>
      <c r="O1275" s="77">
        <v>0</v>
      </c>
      <c r="P1275" s="77">
        <v>0</v>
      </c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7"/>
      <c r="AD1275" s="77"/>
      <c r="AE1275" s="77"/>
      <c r="AF1275" s="77"/>
      <c r="AG1275" s="77"/>
    </row>
    <row r="1276" spans="1:33" x14ac:dyDescent="0.25">
      <c r="A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7"/>
      <c r="AD1276" s="77"/>
      <c r="AE1276" s="77"/>
      <c r="AF1276" s="77"/>
      <c r="AG1276" s="77"/>
    </row>
  </sheetData>
  <pageMargins left="0.7" right="0.7" top="0.75" bottom="0.75" header="0.3" footer="0.3"/>
  <pageSetup paperSize="0" orientation="portrait" horizontalDpi="0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2:DQ130"/>
  <sheetViews>
    <sheetView topLeftCell="BJ100" zoomScale="60" zoomScaleNormal="60" workbookViewId="0">
      <selection activeCell="BT111" sqref="BT111"/>
    </sheetView>
  </sheetViews>
  <sheetFormatPr defaultRowHeight="15" x14ac:dyDescent="0.25"/>
  <cols>
    <col min="1" max="1" width="34.5703125" customWidth="1"/>
    <col min="2" max="2" width="30.7109375" customWidth="1"/>
    <col min="3" max="5" width="8.7109375" bestFit="1" customWidth="1"/>
    <col min="6" max="6" width="9" bestFit="1" customWidth="1"/>
    <col min="7" max="7" width="14.42578125" customWidth="1"/>
    <col min="8" max="8" width="8.7109375" bestFit="1" customWidth="1"/>
    <col min="9" max="9" width="9.85546875" bestFit="1" customWidth="1"/>
    <col min="10" max="10" width="14.85546875" bestFit="1" customWidth="1"/>
    <col min="11" max="11" width="11.85546875" bestFit="1" customWidth="1"/>
    <col min="12" max="13" width="14" bestFit="1" customWidth="1"/>
    <col min="14" max="14" width="8.7109375" bestFit="1" customWidth="1"/>
    <col min="15" max="15" width="10.42578125" bestFit="1" customWidth="1"/>
    <col min="16" max="16" width="9.85546875" bestFit="1" customWidth="1"/>
    <col min="17" max="17" width="9.7109375" bestFit="1" customWidth="1"/>
    <col min="19" max="19" width="31.85546875" customWidth="1"/>
    <col min="20" max="22" width="8.7109375" bestFit="1" customWidth="1"/>
    <col min="23" max="23" width="9" bestFit="1" customWidth="1"/>
    <col min="24" max="24" width="14.42578125" customWidth="1"/>
    <col min="25" max="25" width="8.7109375" bestFit="1" customWidth="1"/>
    <col min="26" max="26" width="9.85546875" bestFit="1" customWidth="1"/>
    <col min="27" max="27" width="14.85546875" bestFit="1" customWidth="1"/>
    <col min="28" max="28" width="11.85546875" bestFit="1" customWidth="1"/>
    <col min="29" max="30" width="14" bestFit="1" customWidth="1"/>
    <col min="31" max="31" width="8.7109375" bestFit="1" customWidth="1"/>
    <col min="32" max="32" width="10.42578125" bestFit="1" customWidth="1"/>
    <col min="33" max="33" width="9.85546875" bestFit="1" customWidth="1"/>
    <col min="34" max="34" width="9.7109375" bestFit="1" customWidth="1"/>
    <col min="35" max="35" width="9.7109375" customWidth="1"/>
    <col min="36" max="36" width="32.85546875" customWidth="1"/>
    <col min="37" max="39" width="8.7109375" bestFit="1" customWidth="1"/>
    <col min="40" max="40" width="9" bestFit="1" customWidth="1"/>
    <col min="41" max="41" width="14.42578125" customWidth="1"/>
    <col min="42" max="42" width="8.7109375" bestFit="1" customWidth="1"/>
    <col min="43" max="43" width="9.85546875" bestFit="1" customWidth="1"/>
    <col min="44" max="44" width="14.85546875" bestFit="1" customWidth="1"/>
    <col min="45" max="45" width="11.85546875" bestFit="1" customWidth="1"/>
    <col min="46" max="47" width="14" bestFit="1" customWidth="1"/>
    <col min="48" max="48" width="8.7109375" bestFit="1" customWidth="1"/>
    <col min="49" max="49" width="10.42578125" bestFit="1" customWidth="1"/>
    <col min="50" max="50" width="9.85546875" bestFit="1" customWidth="1"/>
    <col min="51" max="51" width="9.7109375" bestFit="1" customWidth="1"/>
    <col min="52" max="52" width="9.7109375" customWidth="1"/>
    <col min="53" max="53" width="31.140625" customWidth="1"/>
    <col min="54" max="56" width="8.7109375" bestFit="1" customWidth="1"/>
    <col min="57" max="57" width="9" bestFit="1" customWidth="1"/>
    <col min="58" max="58" width="14.42578125" customWidth="1"/>
    <col min="59" max="59" width="8.7109375" bestFit="1" customWidth="1"/>
    <col min="60" max="60" width="9.85546875" bestFit="1" customWidth="1"/>
    <col min="61" max="61" width="14.85546875" bestFit="1" customWidth="1"/>
    <col min="62" max="62" width="11.85546875" bestFit="1" customWidth="1"/>
    <col min="63" max="64" width="14" bestFit="1" customWidth="1"/>
    <col min="65" max="65" width="8.7109375" bestFit="1" customWidth="1"/>
    <col min="66" max="66" width="10.42578125" bestFit="1" customWidth="1"/>
    <col min="67" max="67" width="9.85546875" bestFit="1" customWidth="1"/>
    <col min="68" max="68" width="9.7109375" bestFit="1" customWidth="1"/>
    <col min="69" max="69" width="9.7109375" customWidth="1"/>
    <col min="70" max="70" width="31.85546875" customWidth="1"/>
    <col min="71" max="73" width="8.7109375" bestFit="1" customWidth="1"/>
    <col min="74" max="74" width="9" bestFit="1" customWidth="1"/>
    <col min="75" max="75" width="14.42578125" customWidth="1"/>
    <col min="76" max="76" width="8.7109375" bestFit="1" customWidth="1"/>
    <col min="77" max="77" width="9.85546875" bestFit="1" customWidth="1"/>
    <col min="78" max="78" width="14.85546875" bestFit="1" customWidth="1"/>
    <col min="79" max="79" width="11.85546875" bestFit="1" customWidth="1"/>
    <col min="80" max="81" width="14" bestFit="1" customWidth="1"/>
    <col min="82" max="82" width="8.7109375" bestFit="1" customWidth="1"/>
    <col min="83" max="83" width="10.42578125" bestFit="1" customWidth="1"/>
    <col min="84" max="84" width="9.85546875" bestFit="1" customWidth="1"/>
    <col min="85" max="85" width="9.7109375" bestFit="1" customWidth="1"/>
  </cols>
  <sheetData>
    <row r="2" spans="1:121" x14ac:dyDescent="0.25">
      <c r="B2" t="s">
        <v>0</v>
      </c>
      <c r="U2">
        <f>Modeloutput!C276</f>
        <v>0</v>
      </c>
      <c r="AL2">
        <f>Modeloutput!C531</f>
        <v>0</v>
      </c>
      <c r="BC2">
        <f>Modeloutput!C786</f>
        <v>0</v>
      </c>
      <c r="BT2">
        <f>Modeloutput!C1041</f>
        <v>0</v>
      </c>
    </row>
    <row r="3" spans="1:121" x14ac:dyDescent="0.25">
      <c r="B3" s="2" t="s">
        <v>15</v>
      </c>
      <c r="U3">
        <f>Modeloutput!C327</f>
        <v>0</v>
      </c>
      <c r="AJ3" s="84"/>
      <c r="AK3" s="84"/>
      <c r="AL3">
        <f>Modeloutput!C582</f>
        <v>0</v>
      </c>
      <c r="BA3" s="84"/>
      <c r="BB3" s="84"/>
      <c r="BC3">
        <f>Modeloutput!C837</f>
        <v>0</v>
      </c>
      <c r="BT3">
        <f>Modeloutput!C1092</f>
        <v>0</v>
      </c>
    </row>
    <row r="4" spans="1:121" x14ac:dyDescent="0.25">
      <c r="B4" s="3" t="s">
        <v>15</v>
      </c>
      <c r="U4">
        <f>Modeloutput!C378</f>
        <v>0</v>
      </c>
      <c r="AL4">
        <f>Modeloutput!C633</f>
        <v>0</v>
      </c>
      <c r="BC4">
        <f>Modeloutput!C888</f>
        <v>0</v>
      </c>
      <c r="BT4">
        <f>Modeloutput!C1143</f>
        <v>0</v>
      </c>
    </row>
    <row r="5" spans="1:121" x14ac:dyDescent="0.25">
      <c r="G5">
        <f>Modeloutput!C786</f>
        <v>0</v>
      </c>
      <c r="U5">
        <f>Modeloutput!C429</f>
        <v>0</v>
      </c>
      <c r="AL5">
        <f>Modeloutput!C684</f>
        <v>0</v>
      </c>
      <c r="BC5">
        <f>Modeloutput!C939</f>
        <v>0</v>
      </c>
      <c r="BT5">
        <f>Modeloutput!C1194</f>
        <v>0</v>
      </c>
    </row>
    <row r="6" spans="1:121" ht="26.25" x14ac:dyDescent="0.4">
      <c r="B6" s="36" t="str">
        <f>ReadMe!C15</f>
        <v>ReferentieUtrecht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6" t="str">
        <f>ReadMe!D15</f>
        <v>Utrecht_Label B</v>
      </c>
      <c r="U6">
        <f>Modeloutput!C480</f>
        <v>0</v>
      </c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6" t="str">
        <f>ReadMe!E15</f>
        <v>Utrecht_Label Aplus</v>
      </c>
      <c r="AK6" s="35"/>
      <c r="AL6">
        <f>Modeloutput!C735</f>
        <v>0</v>
      </c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6" t="str">
        <f>ReadMe!F15</f>
        <v>Utrecht_Label Aplus, met eWP</v>
      </c>
      <c r="BC6" s="35">
        <f>Modeloutput!C990</f>
        <v>0</v>
      </c>
      <c r="BR6" s="36" t="str">
        <f>ReadMe!G15</f>
        <v>Utrecht_Label B_Warmtenetten</v>
      </c>
      <c r="BT6" s="35">
        <f>Modeloutput!C1245</f>
        <v>0</v>
      </c>
      <c r="CI6" s="6"/>
      <c r="CZ6" s="6"/>
      <c r="DQ6" s="6"/>
    </row>
    <row r="7" spans="1:121" ht="21" x14ac:dyDescent="0.35">
      <c r="A7" s="5">
        <v>2010</v>
      </c>
      <c r="R7" s="5">
        <v>2010</v>
      </c>
      <c r="AI7" s="5">
        <v>2010</v>
      </c>
      <c r="AZ7" s="5">
        <v>2010</v>
      </c>
      <c r="BQ7" s="5">
        <v>2010</v>
      </c>
    </row>
    <row r="8" spans="1:121" x14ac:dyDescent="0.25">
      <c r="B8" s="4" t="str">
        <f>$B$6</f>
        <v>ReferentieUtrecht</v>
      </c>
      <c r="S8" s="4" t="str">
        <f>$S$6</f>
        <v>Utrecht_Label B</v>
      </c>
      <c r="T8" s="4"/>
      <c r="AJ8" s="4" t="str">
        <f>$AJ$6</f>
        <v>Utrecht_Label Aplus</v>
      </c>
      <c r="BA8" s="4" t="str">
        <f>BA$6</f>
        <v>Utrecht_Label Aplus, met eWP</v>
      </c>
      <c r="BR8" s="4" t="str">
        <f>BR$6</f>
        <v>Utrecht_Label B_Warmtenetten</v>
      </c>
    </row>
    <row r="9" spans="1:121" x14ac:dyDescent="0.25">
      <c r="C9" s="1" t="s">
        <v>18</v>
      </c>
      <c r="D9" s="1" t="s">
        <v>19</v>
      </c>
      <c r="E9" s="1" t="s">
        <v>20</v>
      </c>
      <c r="F9" s="1" t="s">
        <v>21</v>
      </c>
      <c r="G9" s="1" t="s">
        <v>22</v>
      </c>
      <c r="H9" s="1" t="s">
        <v>23</v>
      </c>
      <c r="I9" s="1" t="s">
        <v>24</v>
      </c>
      <c r="J9" s="1" t="s">
        <v>25</v>
      </c>
      <c r="K9" s="1" t="s">
        <v>26</v>
      </c>
      <c r="L9" s="1" t="s">
        <v>5</v>
      </c>
      <c r="M9" s="1" t="s">
        <v>6</v>
      </c>
      <c r="N9" s="1" t="s">
        <v>7</v>
      </c>
      <c r="O9" s="1" t="s">
        <v>8</v>
      </c>
      <c r="P9" s="1" t="s">
        <v>9</v>
      </c>
      <c r="Q9" s="1" t="s">
        <v>27</v>
      </c>
      <c r="T9" s="1" t="s">
        <v>18</v>
      </c>
      <c r="U9" s="1" t="s">
        <v>19</v>
      </c>
      <c r="V9" s="1" t="s">
        <v>20</v>
      </c>
      <c r="W9" s="1" t="s">
        <v>21</v>
      </c>
      <c r="X9" s="1" t="s">
        <v>22</v>
      </c>
      <c r="Y9" s="1" t="s">
        <v>23</v>
      </c>
      <c r="Z9" s="1" t="s">
        <v>24</v>
      </c>
      <c r="AA9" s="1" t="s">
        <v>25</v>
      </c>
      <c r="AB9" s="1" t="s">
        <v>26</v>
      </c>
      <c r="AC9" s="1" t="s">
        <v>5</v>
      </c>
      <c r="AD9" s="1" t="s">
        <v>6</v>
      </c>
      <c r="AE9" s="1" t="s">
        <v>7</v>
      </c>
      <c r="AF9" s="1" t="s">
        <v>8</v>
      </c>
      <c r="AG9" s="1" t="s">
        <v>9</v>
      </c>
      <c r="AH9" s="1" t="s">
        <v>27</v>
      </c>
      <c r="AK9" s="1" t="s">
        <v>18</v>
      </c>
      <c r="AL9" s="1" t="s">
        <v>19</v>
      </c>
      <c r="AM9" s="1" t="s">
        <v>20</v>
      </c>
      <c r="AN9" s="1" t="s">
        <v>21</v>
      </c>
      <c r="AO9" s="1" t="s">
        <v>22</v>
      </c>
      <c r="AP9" s="1" t="s">
        <v>23</v>
      </c>
      <c r="AQ9" s="1" t="s">
        <v>24</v>
      </c>
      <c r="AR9" s="1" t="s">
        <v>25</v>
      </c>
      <c r="AS9" s="1" t="s">
        <v>26</v>
      </c>
      <c r="AT9" s="1" t="s">
        <v>5</v>
      </c>
      <c r="AU9" s="1" t="s">
        <v>6</v>
      </c>
      <c r="AV9" s="1" t="s">
        <v>7</v>
      </c>
      <c r="AW9" s="1" t="s">
        <v>8</v>
      </c>
      <c r="AX9" s="1" t="s">
        <v>9</v>
      </c>
      <c r="AY9" s="1" t="s">
        <v>27</v>
      </c>
      <c r="BB9" s="1" t="s">
        <v>18</v>
      </c>
      <c r="BC9" s="1" t="s">
        <v>19</v>
      </c>
      <c r="BD9" s="1" t="s">
        <v>20</v>
      </c>
      <c r="BE9" s="1" t="s">
        <v>21</v>
      </c>
      <c r="BF9" s="1" t="s">
        <v>22</v>
      </c>
      <c r="BG9" s="1" t="s">
        <v>23</v>
      </c>
      <c r="BH9" s="1" t="s">
        <v>24</v>
      </c>
      <c r="BI9" s="1" t="s">
        <v>25</v>
      </c>
      <c r="BJ9" s="1" t="s">
        <v>26</v>
      </c>
      <c r="BK9" s="1" t="s">
        <v>5</v>
      </c>
      <c r="BL9" s="1" t="s">
        <v>6</v>
      </c>
      <c r="BM9" s="1" t="s">
        <v>7</v>
      </c>
      <c r="BN9" s="1" t="s">
        <v>8</v>
      </c>
      <c r="BO9" s="1" t="s">
        <v>9</v>
      </c>
      <c r="BP9" s="1" t="s">
        <v>27</v>
      </c>
      <c r="BS9" s="1" t="s">
        <v>18</v>
      </c>
      <c r="BT9" s="1" t="s">
        <v>19</v>
      </c>
      <c r="BU9" s="1" t="s">
        <v>20</v>
      </c>
      <c r="BV9" s="1" t="s">
        <v>21</v>
      </c>
      <c r="BW9" s="1" t="s">
        <v>22</v>
      </c>
      <c r="BX9" s="1" t="s">
        <v>23</v>
      </c>
      <c r="BY9" s="1" t="s">
        <v>24</v>
      </c>
      <c r="BZ9" s="1" t="s">
        <v>25</v>
      </c>
      <c r="CA9" s="1" t="s">
        <v>26</v>
      </c>
      <c r="CB9" s="1" t="s">
        <v>5</v>
      </c>
      <c r="CC9" s="1" t="s">
        <v>6</v>
      </c>
      <c r="CD9" s="1" t="s">
        <v>7</v>
      </c>
      <c r="CE9" s="1" t="s">
        <v>8</v>
      </c>
      <c r="CF9" s="1" t="s">
        <v>9</v>
      </c>
      <c r="CG9" s="1" t="s">
        <v>27</v>
      </c>
    </row>
    <row r="10" spans="1:121" x14ac:dyDescent="0.25">
      <c r="C10" s="1" t="s">
        <v>29</v>
      </c>
      <c r="D10" s="1" t="s">
        <v>29</v>
      </c>
      <c r="E10" s="1" t="s">
        <v>29</v>
      </c>
      <c r="F10" s="1" t="s">
        <v>29</v>
      </c>
      <c r="G10" s="1" t="s">
        <v>29</v>
      </c>
      <c r="H10" s="1" t="s">
        <v>29</v>
      </c>
      <c r="I10" s="1" t="s">
        <v>29</v>
      </c>
      <c r="J10" s="1" t="s">
        <v>29</v>
      </c>
      <c r="K10" s="1" t="s">
        <v>29</v>
      </c>
      <c r="L10" s="1" t="s">
        <v>29</v>
      </c>
      <c r="M10" s="1" t="s">
        <v>29</v>
      </c>
      <c r="N10" s="1" t="s">
        <v>29</v>
      </c>
      <c r="O10" s="1" t="s">
        <v>29</v>
      </c>
      <c r="P10" s="1" t="s">
        <v>29</v>
      </c>
      <c r="Q10" s="1" t="s">
        <v>29</v>
      </c>
      <c r="T10" s="1" t="s">
        <v>29</v>
      </c>
      <c r="U10" s="1" t="s">
        <v>29</v>
      </c>
      <c r="V10" s="1" t="s">
        <v>29</v>
      </c>
      <c r="W10" s="1" t="s">
        <v>29</v>
      </c>
      <c r="X10" s="1" t="s">
        <v>29</v>
      </c>
      <c r="Y10" s="1" t="s">
        <v>29</v>
      </c>
      <c r="Z10" s="1" t="s">
        <v>29</v>
      </c>
      <c r="AA10" s="1" t="s">
        <v>29</v>
      </c>
      <c r="AB10" s="1" t="s">
        <v>29</v>
      </c>
      <c r="AC10" s="1" t="s">
        <v>29</v>
      </c>
      <c r="AD10" s="1" t="s">
        <v>29</v>
      </c>
      <c r="AE10" s="1" t="s">
        <v>29</v>
      </c>
      <c r="AF10" s="1" t="s">
        <v>29</v>
      </c>
      <c r="AG10" s="1" t="s">
        <v>29</v>
      </c>
      <c r="AH10" s="1" t="s">
        <v>29</v>
      </c>
      <c r="AK10" s="1" t="s">
        <v>29</v>
      </c>
      <c r="AL10" s="1" t="s">
        <v>29</v>
      </c>
      <c r="AM10" s="1" t="s">
        <v>29</v>
      </c>
      <c r="AN10" s="1" t="s">
        <v>29</v>
      </c>
      <c r="AO10" s="1" t="s">
        <v>29</v>
      </c>
      <c r="AP10" s="1" t="s">
        <v>29</v>
      </c>
      <c r="AQ10" s="1" t="s">
        <v>29</v>
      </c>
      <c r="AR10" s="1" t="s">
        <v>29</v>
      </c>
      <c r="AS10" s="1" t="s">
        <v>29</v>
      </c>
      <c r="AT10" s="1" t="s">
        <v>29</v>
      </c>
      <c r="AU10" s="1" t="s">
        <v>29</v>
      </c>
      <c r="AV10" s="1" t="s">
        <v>29</v>
      </c>
      <c r="AW10" s="1" t="s">
        <v>29</v>
      </c>
      <c r="AX10" s="1" t="s">
        <v>29</v>
      </c>
      <c r="AY10" s="1" t="s">
        <v>29</v>
      </c>
      <c r="BB10" s="1" t="s">
        <v>29</v>
      </c>
      <c r="BC10" s="1" t="s">
        <v>29</v>
      </c>
      <c r="BD10" s="1" t="s">
        <v>29</v>
      </c>
      <c r="BE10" s="1" t="s">
        <v>29</v>
      </c>
      <c r="BF10" s="1" t="s">
        <v>29</v>
      </c>
      <c r="BG10" s="1" t="s">
        <v>29</v>
      </c>
      <c r="BH10" s="1" t="s">
        <v>29</v>
      </c>
      <c r="BI10" s="1" t="s">
        <v>29</v>
      </c>
      <c r="BJ10" s="1" t="s">
        <v>29</v>
      </c>
      <c r="BK10" s="1" t="s">
        <v>29</v>
      </c>
      <c r="BL10" s="1" t="s">
        <v>29</v>
      </c>
      <c r="BM10" s="1" t="s">
        <v>29</v>
      </c>
      <c r="BN10" s="1" t="s">
        <v>29</v>
      </c>
      <c r="BO10" s="1" t="s">
        <v>29</v>
      </c>
      <c r="BP10" s="1" t="s">
        <v>29</v>
      </c>
      <c r="BS10" s="1" t="s">
        <v>29</v>
      </c>
      <c r="BT10" s="1" t="s">
        <v>29</v>
      </c>
      <c r="BU10" s="1" t="s">
        <v>29</v>
      </c>
      <c r="BV10" s="1" t="s">
        <v>29</v>
      </c>
      <c r="BW10" s="1" t="s">
        <v>29</v>
      </c>
      <c r="BX10" s="1" t="s">
        <v>29</v>
      </c>
      <c r="BY10" s="1" t="s">
        <v>29</v>
      </c>
      <c r="BZ10" s="1" t="s">
        <v>29</v>
      </c>
      <c r="CA10" s="1" t="s">
        <v>29</v>
      </c>
      <c r="CB10" s="1" t="s">
        <v>29</v>
      </c>
      <c r="CC10" s="1" t="s">
        <v>29</v>
      </c>
      <c r="CD10" s="1" t="s">
        <v>29</v>
      </c>
      <c r="CE10" s="1" t="s">
        <v>29</v>
      </c>
      <c r="CF10" s="1" t="s">
        <v>29</v>
      </c>
      <c r="CG10" s="1" t="s">
        <v>29</v>
      </c>
    </row>
    <row r="11" spans="1:121" s="7" customFormat="1" x14ac:dyDescent="0.25">
      <c r="B11" s="7" t="s">
        <v>1</v>
      </c>
      <c r="C11" s="13">
        <f>SUM(F11:Q11)</f>
        <v>0</v>
      </c>
      <c r="D11" s="8">
        <f>Modeloutput!B21</f>
        <v>0</v>
      </c>
      <c r="E11" s="8">
        <f>Modeloutput!D21</f>
        <v>0</v>
      </c>
      <c r="F11" s="8">
        <f>Modeloutput!E21</f>
        <v>0</v>
      </c>
      <c r="G11" s="8">
        <f>Modeloutput!F21</f>
        <v>0</v>
      </c>
      <c r="H11" s="8">
        <f>Modeloutput!G21</f>
        <v>0</v>
      </c>
      <c r="I11" s="8">
        <f>Modeloutput!H21</f>
        <v>0</v>
      </c>
      <c r="J11" s="8">
        <f>Modeloutput!I21</f>
        <v>0</v>
      </c>
      <c r="K11" s="8">
        <f>Modeloutput!J21</f>
        <v>0</v>
      </c>
      <c r="L11" s="8">
        <f>Modeloutput!K21</f>
        <v>0</v>
      </c>
      <c r="M11" s="8">
        <f>Modeloutput!L21</f>
        <v>0</v>
      </c>
      <c r="N11" s="8">
        <f>Modeloutput!M21</f>
        <v>0</v>
      </c>
      <c r="O11" s="8">
        <f>Modeloutput!N21</f>
        <v>0</v>
      </c>
      <c r="P11" s="8">
        <f>Modeloutput!O21</f>
        <v>0</v>
      </c>
      <c r="Q11" s="8">
        <f>Modeloutput!P21</f>
        <v>0</v>
      </c>
      <c r="S11" s="7" t="s">
        <v>1</v>
      </c>
      <c r="T11" s="13">
        <f>SUM(W11:AH11)</f>
        <v>0</v>
      </c>
      <c r="U11" s="8">
        <f>Modeloutput!C276</f>
        <v>0</v>
      </c>
      <c r="V11" s="8">
        <f>Modeloutput!D276</f>
        <v>0</v>
      </c>
      <c r="W11" s="8">
        <f>Modeloutput!E276</f>
        <v>0</v>
      </c>
      <c r="X11" s="8">
        <f>Modeloutput!F276</f>
        <v>0</v>
      </c>
      <c r="Y11" s="8">
        <f>Modeloutput!G276</f>
        <v>0</v>
      </c>
      <c r="Z11" s="8">
        <f>Modeloutput!H276</f>
        <v>0</v>
      </c>
      <c r="AA11" s="8">
        <f>Modeloutput!I276</f>
        <v>0</v>
      </c>
      <c r="AB11" s="8">
        <f>Modeloutput!J276</f>
        <v>0</v>
      </c>
      <c r="AC11" s="8">
        <f>Modeloutput!K276</f>
        <v>0</v>
      </c>
      <c r="AD11" s="8">
        <f>Modeloutput!L276</f>
        <v>0</v>
      </c>
      <c r="AE11" s="8">
        <f>Modeloutput!M276</f>
        <v>0</v>
      </c>
      <c r="AF11" s="8">
        <f>Modeloutput!N276</f>
        <v>0</v>
      </c>
      <c r="AG11" s="8">
        <f>Modeloutput!O276</f>
        <v>0</v>
      </c>
      <c r="AH11" s="8">
        <f>Modeloutput!P276</f>
        <v>0</v>
      </c>
      <c r="AJ11" s="7" t="s">
        <v>1</v>
      </c>
      <c r="AK11" s="13">
        <f>SUM(AN11:AY11)</f>
        <v>0</v>
      </c>
      <c r="AL11" s="8">
        <f>Modeloutput!C531</f>
        <v>0</v>
      </c>
      <c r="AM11" s="8">
        <f>Modeloutput!D531</f>
        <v>0</v>
      </c>
      <c r="AN11" s="8">
        <f>Modeloutput!E531</f>
        <v>0</v>
      </c>
      <c r="AO11" s="8">
        <f>Modeloutput!F531</f>
        <v>0</v>
      </c>
      <c r="AP11" s="8">
        <f>Modeloutput!G531</f>
        <v>0</v>
      </c>
      <c r="AQ11" s="8">
        <f>Modeloutput!H531</f>
        <v>0</v>
      </c>
      <c r="AR11" s="8">
        <f>Modeloutput!I531</f>
        <v>0</v>
      </c>
      <c r="AS11" s="8">
        <f>Modeloutput!J531</f>
        <v>0</v>
      </c>
      <c r="AT11" s="8">
        <f>Modeloutput!K531</f>
        <v>0</v>
      </c>
      <c r="AU11" s="8">
        <f>Modeloutput!L531</f>
        <v>0</v>
      </c>
      <c r="AV11" s="8">
        <f>Modeloutput!M531</f>
        <v>0</v>
      </c>
      <c r="AW11" s="8">
        <f>Modeloutput!N531</f>
        <v>0</v>
      </c>
      <c r="AX11" s="8">
        <f>Modeloutput!O531</f>
        <v>0</v>
      </c>
      <c r="AY11" s="8">
        <f>Modeloutput!P531</f>
        <v>0</v>
      </c>
      <c r="BA11" s="7" t="s">
        <v>1</v>
      </c>
      <c r="BB11" s="13">
        <f>SUM(BE11:BP11)</f>
        <v>0</v>
      </c>
      <c r="BC11" s="8">
        <f>Modeloutput!C786</f>
        <v>0</v>
      </c>
      <c r="BD11" s="8">
        <f>Modeloutput!D786</f>
        <v>0</v>
      </c>
      <c r="BE11" s="8">
        <f>Modeloutput!E786</f>
        <v>0</v>
      </c>
      <c r="BF11" s="8">
        <f>Modeloutput!F786</f>
        <v>0</v>
      </c>
      <c r="BG11" s="8">
        <f>Modeloutput!G786</f>
        <v>0</v>
      </c>
      <c r="BH11" s="8">
        <f>Modeloutput!H786</f>
        <v>0</v>
      </c>
      <c r="BI11" s="8">
        <f>Modeloutput!I786</f>
        <v>0</v>
      </c>
      <c r="BJ11" s="8">
        <f>Modeloutput!J786</f>
        <v>0</v>
      </c>
      <c r="BK11" s="8">
        <f>Modeloutput!K786</f>
        <v>0</v>
      </c>
      <c r="BL11" s="8">
        <f>Modeloutput!L786</f>
        <v>0</v>
      </c>
      <c r="BM11" s="8">
        <f>Modeloutput!M786</f>
        <v>0</v>
      </c>
      <c r="BN11" s="8">
        <f>Modeloutput!N786</f>
        <v>0</v>
      </c>
      <c r="BO11" s="8">
        <f>Modeloutput!O786</f>
        <v>0</v>
      </c>
      <c r="BP11" s="8">
        <f>Modeloutput!P786</f>
        <v>0</v>
      </c>
      <c r="BR11" s="7" t="s">
        <v>1</v>
      </c>
      <c r="BS11" s="13">
        <f>SUM(BV11:CG11)</f>
        <v>0</v>
      </c>
      <c r="BT11" s="8">
        <f>Modeloutput!C1041</f>
        <v>0</v>
      </c>
      <c r="BU11" s="8">
        <f>Modeloutput!D1041</f>
        <v>0</v>
      </c>
      <c r="BV11" s="8">
        <f>Modeloutput!E1041</f>
        <v>0</v>
      </c>
      <c r="BW11" s="8">
        <f>Modeloutput!F1041</f>
        <v>0</v>
      </c>
      <c r="BX11" s="8">
        <f>Modeloutput!G1041</f>
        <v>0</v>
      </c>
      <c r="BY11" s="8">
        <f>Modeloutput!H1041</f>
        <v>0</v>
      </c>
      <c r="BZ11" s="8">
        <f>Modeloutput!I1041</f>
        <v>0</v>
      </c>
      <c r="CA11" s="8">
        <f>Modeloutput!J1041</f>
        <v>0</v>
      </c>
      <c r="CB11" s="8">
        <f>Modeloutput!K1041</f>
        <v>0</v>
      </c>
      <c r="CC11" s="8">
        <f>Modeloutput!L1041</f>
        <v>0</v>
      </c>
      <c r="CD11" s="8">
        <f>Modeloutput!M1041</f>
        <v>0</v>
      </c>
      <c r="CE11" s="8">
        <f>Modeloutput!N1041</f>
        <v>0</v>
      </c>
      <c r="CF11" s="8">
        <f>Modeloutput!O1041</f>
        <v>0</v>
      </c>
      <c r="CG11" s="8">
        <f>Modeloutput!P1041</f>
        <v>0</v>
      </c>
    </row>
    <row r="12" spans="1:121" s="7" customFormat="1" x14ac:dyDescent="0.25">
      <c r="B12" s="7" t="s">
        <v>2</v>
      </c>
      <c r="C12" s="13">
        <f t="shared" ref="C12:C24" si="0">SUM(F12:Q12)</f>
        <v>13.3593265</v>
      </c>
      <c r="D12" s="8">
        <f>Modeloutput!B22</f>
        <v>13.3593265</v>
      </c>
      <c r="E12" s="8">
        <f>Modeloutput!D22</f>
        <v>13.3593265</v>
      </c>
      <c r="F12" s="8">
        <f>Modeloutput!E22</f>
        <v>0</v>
      </c>
      <c r="G12" s="8">
        <f>Modeloutput!F22</f>
        <v>0</v>
      </c>
      <c r="H12" s="8">
        <f>Modeloutput!G22</f>
        <v>0</v>
      </c>
      <c r="I12" s="8">
        <f>Modeloutput!H22</f>
        <v>0</v>
      </c>
      <c r="J12" s="8">
        <f>Modeloutput!I22</f>
        <v>0</v>
      </c>
      <c r="K12" s="8">
        <f>Modeloutput!J22</f>
        <v>0</v>
      </c>
      <c r="L12" s="8">
        <f>Modeloutput!K22</f>
        <v>13.3593265</v>
      </c>
      <c r="M12" s="8">
        <f>Modeloutput!L22</f>
        <v>0</v>
      </c>
      <c r="N12" s="8">
        <f>Modeloutput!M22</f>
        <v>0</v>
      </c>
      <c r="O12" s="8">
        <f>Modeloutput!N22</f>
        <v>0</v>
      </c>
      <c r="P12" s="8">
        <f>Modeloutput!O22</f>
        <v>0</v>
      </c>
      <c r="Q12" s="8">
        <f>Modeloutput!P22</f>
        <v>0</v>
      </c>
      <c r="S12" s="7" t="s">
        <v>2</v>
      </c>
      <c r="T12" s="13">
        <f t="shared" ref="T12:T24" si="1">SUM(W12:AH12)</f>
        <v>13.3593265</v>
      </c>
      <c r="U12" s="8">
        <f>Modeloutput!C277</f>
        <v>0</v>
      </c>
      <c r="V12" s="8">
        <f>Modeloutput!D277</f>
        <v>13.3593265</v>
      </c>
      <c r="W12" s="8">
        <f>Modeloutput!E277</f>
        <v>0</v>
      </c>
      <c r="X12" s="8">
        <f>Modeloutput!F277</f>
        <v>0</v>
      </c>
      <c r="Y12" s="8">
        <f>Modeloutput!G277</f>
        <v>0</v>
      </c>
      <c r="Z12" s="8">
        <f>Modeloutput!H277</f>
        <v>0</v>
      </c>
      <c r="AA12" s="8">
        <f>Modeloutput!I277</f>
        <v>0</v>
      </c>
      <c r="AB12" s="8">
        <f>Modeloutput!J277</f>
        <v>0</v>
      </c>
      <c r="AC12" s="8">
        <f>Modeloutput!K277</f>
        <v>13.3593265</v>
      </c>
      <c r="AD12" s="8">
        <f>Modeloutput!L277</f>
        <v>0</v>
      </c>
      <c r="AE12" s="8">
        <f>Modeloutput!M277</f>
        <v>0</v>
      </c>
      <c r="AF12" s="8">
        <f>Modeloutput!N277</f>
        <v>0</v>
      </c>
      <c r="AG12" s="8">
        <f>Modeloutput!O277</f>
        <v>0</v>
      </c>
      <c r="AH12" s="8">
        <f>Modeloutput!P277</f>
        <v>0</v>
      </c>
      <c r="AJ12" s="7" t="s">
        <v>2</v>
      </c>
      <c r="AK12" s="13">
        <f t="shared" ref="AK12:AK24" si="2">SUM(AN12:AY12)</f>
        <v>13.3593265</v>
      </c>
      <c r="AL12" s="8">
        <f>Modeloutput!C532</f>
        <v>0</v>
      </c>
      <c r="AM12" s="8">
        <f>Modeloutput!D532</f>
        <v>13.3593265</v>
      </c>
      <c r="AN12" s="8">
        <f>Modeloutput!E532</f>
        <v>0</v>
      </c>
      <c r="AO12" s="8">
        <f>Modeloutput!F532</f>
        <v>0</v>
      </c>
      <c r="AP12" s="8">
        <f>Modeloutput!G532</f>
        <v>0</v>
      </c>
      <c r="AQ12" s="8">
        <f>Modeloutput!H532</f>
        <v>0</v>
      </c>
      <c r="AR12" s="8">
        <f>Modeloutput!I532</f>
        <v>0</v>
      </c>
      <c r="AS12" s="8">
        <f>Modeloutput!J532</f>
        <v>0</v>
      </c>
      <c r="AT12" s="8">
        <f>Modeloutput!K532</f>
        <v>13.3593265</v>
      </c>
      <c r="AU12" s="8">
        <f>Modeloutput!L532</f>
        <v>0</v>
      </c>
      <c r="AV12" s="8">
        <f>Modeloutput!M532</f>
        <v>0</v>
      </c>
      <c r="AW12" s="8">
        <f>Modeloutput!N532</f>
        <v>0</v>
      </c>
      <c r="AX12" s="8">
        <f>Modeloutput!O532</f>
        <v>0</v>
      </c>
      <c r="AY12" s="8">
        <f>Modeloutput!P532</f>
        <v>0</v>
      </c>
      <c r="BA12" s="7" t="s">
        <v>2</v>
      </c>
      <c r="BB12" s="13">
        <f t="shared" ref="BB12:BB24" si="3">SUM(BE12:BP12)</f>
        <v>13.3593265</v>
      </c>
      <c r="BC12" s="8">
        <f>Modeloutput!C787</f>
        <v>0</v>
      </c>
      <c r="BD12" s="8">
        <f>Modeloutput!D787</f>
        <v>13.3593265</v>
      </c>
      <c r="BE12" s="8">
        <f>Modeloutput!E787</f>
        <v>0</v>
      </c>
      <c r="BF12" s="8">
        <f>Modeloutput!F787</f>
        <v>0</v>
      </c>
      <c r="BG12" s="8">
        <f>Modeloutput!G787</f>
        <v>0</v>
      </c>
      <c r="BH12" s="8">
        <f>Modeloutput!H787</f>
        <v>0</v>
      </c>
      <c r="BI12" s="8">
        <f>Modeloutput!I787</f>
        <v>0</v>
      </c>
      <c r="BJ12" s="8">
        <f>Modeloutput!J787</f>
        <v>0</v>
      </c>
      <c r="BK12" s="8">
        <f>Modeloutput!K787</f>
        <v>13.3593265</v>
      </c>
      <c r="BL12" s="8">
        <f>Modeloutput!L787</f>
        <v>0</v>
      </c>
      <c r="BM12" s="8">
        <f>Modeloutput!M787</f>
        <v>0</v>
      </c>
      <c r="BN12" s="8">
        <f>Modeloutput!N787</f>
        <v>0</v>
      </c>
      <c r="BO12" s="8">
        <f>Modeloutput!O787</f>
        <v>0</v>
      </c>
      <c r="BP12" s="8">
        <f>Modeloutput!P787</f>
        <v>0</v>
      </c>
      <c r="BR12" s="7" t="s">
        <v>2</v>
      </c>
      <c r="BS12" s="13">
        <f t="shared" ref="BS12:BS24" si="4">SUM(BV12:CG12)</f>
        <v>13.3593265</v>
      </c>
      <c r="BT12" s="8">
        <f>Modeloutput!C1042</f>
        <v>0</v>
      </c>
      <c r="BU12" s="8">
        <f>Modeloutput!D1042</f>
        <v>13.3593265</v>
      </c>
      <c r="BV12" s="8">
        <f>Modeloutput!E1042</f>
        <v>0</v>
      </c>
      <c r="BW12" s="8">
        <f>Modeloutput!F1042</f>
        <v>0</v>
      </c>
      <c r="BX12" s="8">
        <f>Modeloutput!G1042</f>
        <v>0</v>
      </c>
      <c r="BY12" s="8">
        <f>Modeloutput!H1042</f>
        <v>0</v>
      </c>
      <c r="BZ12" s="8">
        <f>Modeloutput!I1042</f>
        <v>0</v>
      </c>
      <c r="CA12" s="8">
        <f>Modeloutput!J1042</f>
        <v>0</v>
      </c>
      <c r="CB12" s="8">
        <f>Modeloutput!K1042</f>
        <v>13.3593265</v>
      </c>
      <c r="CC12" s="8">
        <f>Modeloutput!L1042</f>
        <v>0</v>
      </c>
      <c r="CD12" s="8">
        <f>Modeloutput!M1042</f>
        <v>0</v>
      </c>
      <c r="CE12" s="8">
        <f>Modeloutput!N1042</f>
        <v>0</v>
      </c>
      <c r="CF12" s="8">
        <f>Modeloutput!O1042</f>
        <v>0</v>
      </c>
      <c r="CG12" s="8">
        <f>Modeloutput!P1042</f>
        <v>0</v>
      </c>
    </row>
    <row r="13" spans="1:121" s="7" customFormat="1" x14ac:dyDescent="0.25">
      <c r="B13" s="7" t="s">
        <v>3</v>
      </c>
      <c r="C13" s="13">
        <f>SUM(F13:Q13)</f>
        <v>87.018183080000014</v>
      </c>
      <c r="D13" s="8">
        <f>Modeloutput!B23</f>
        <v>87.018183100000002</v>
      </c>
      <c r="E13" s="8">
        <f>Modeloutput!D23</f>
        <v>87.018183100000002</v>
      </c>
      <c r="F13" s="8">
        <f>Modeloutput!E23</f>
        <v>59.656589599999997</v>
      </c>
      <c r="G13" s="8">
        <f>Modeloutput!F23</f>
        <v>0</v>
      </c>
      <c r="H13" s="8">
        <f>Modeloutput!G23</f>
        <v>20.611833000000001</v>
      </c>
      <c r="I13" s="8">
        <f>Modeloutput!H23</f>
        <v>0</v>
      </c>
      <c r="J13" s="8">
        <f>Modeloutput!I23</f>
        <v>0</v>
      </c>
      <c r="K13" s="8">
        <f>Modeloutput!J23</f>
        <v>0</v>
      </c>
      <c r="L13" s="8">
        <f>Modeloutput!K23</f>
        <v>6.74976048</v>
      </c>
      <c r="M13" s="8">
        <f>Modeloutput!L23</f>
        <v>0</v>
      </c>
      <c r="N13" s="8">
        <f>Modeloutput!M23</f>
        <v>0</v>
      </c>
      <c r="O13" s="8">
        <f>Modeloutput!N23</f>
        <v>0</v>
      </c>
      <c r="P13" s="8">
        <f>Modeloutput!O23</f>
        <v>0</v>
      </c>
      <c r="Q13" s="8">
        <f>Modeloutput!P23</f>
        <v>8.2945916800000002E-15</v>
      </c>
      <c r="S13" s="7" t="s">
        <v>3</v>
      </c>
      <c r="T13" s="13">
        <f t="shared" si="1"/>
        <v>87.018183080000014</v>
      </c>
      <c r="U13" s="8">
        <f>Modeloutput!C278</f>
        <v>0</v>
      </c>
      <c r="V13" s="8">
        <f>Modeloutput!D278</f>
        <v>87.018183100000002</v>
      </c>
      <c r="W13" s="8">
        <f>Modeloutput!E278</f>
        <v>59.656589599999997</v>
      </c>
      <c r="X13" s="8">
        <f>Modeloutput!F278</f>
        <v>0</v>
      </c>
      <c r="Y13" s="8">
        <f>Modeloutput!G278</f>
        <v>20.611833000000001</v>
      </c>
      <c r="Z13" s="8">
        <f>Modeloutput!H278</f>
        <v>0</v>
      </c>
      <c r="AA13" s="8">
        <f>Modeloutput!I278</f>
        <v>0</v>
      </c>
      <c r="AB13" s="8">
        <f>Modeloutput!J278</f>
        <v>0</v>
      </c>
      <c r="AC13" s="8">
        <f>Modeloutput!K278</f>
        <v>6.74976048</v>
      </c>
      <c r="AD13" s="8">
        <f>Modeloutput!L278</f>
        <v>0</v>
      </c>
      <c r="AE13" s="8">
        <f>Modeloutput!M278</f>
        <v>0</v>
      </c>
      <c r="AF13" s="8">
        <f>Modeloutput!N278</f>
        <v>0</v>
      </c>
      <c r="AG13" s="8">
        <f>Modeloutput!O278</f>
        <v>0</v>
      </c>
      <c r="AH13" s="8">
        <f>Modeloutput!P278</f>
        <v>8.2945916800000002E-15</v>
      </c>
      <c r="AJ13" s="7" t="s">
        <v>3</v>
      </c>
      <c r="AK13" s="13">
        <f t="shared" si="2"/>
        <v>87.018183080000014</v>
      </c>
      <c r="AL13" s="8">
        <f>Modeloutput!C533</f>
        <v>0</v>
      </c>
      <c r="AM13" s="8">
        <f>Modeloutput!D533</f>
        <v>87.018183100000002</v>
      </c>
      <c r="AN13" s="8">
        <f>Modeloutput!E533</f>
        <v>59.656589599999997</v>
      </c>
      <c r="AO13" s="8">
        <f>Modeloutput!F533</f>
        <v>0</v>
      </c>
      <c r="AP13" s="8">
        <f>Modeloutput!G533</f>
        <v>20.611833000000001</v>
      </c>
      <c r="AQ13" s="8">
        <f>Modeloutput!H533</f>
        <v>0</v>
      </c>
      <c r="AR13" s="8">
        <f>Modeloutput!I533</f>
        <v>0</v>
      </c>
      <c r="AS13" s="8">
        <f>Modeloutput!J533</f>
        <v>0</v>
      </c>
      <c r="AT13" s="8">
        <f>Modeloutput!K533</f>
        <v>6.74976048</v>
      </c>
      <c r="AU13" s="8">
        <f>Modeloutput!L533</f>
        <v>0</v>
      </c>
      <c r="AV13" s="8">
        <f>Modeloutput!M533</f>
        <v>0</v>
      </c>
      <c r="AW13" s="8">
        <f>Modeloutput!N533</f>
        <v>0</v>
      </c>
      <c r="AX13" s="8">
        <f>Modeloutput!O533</f>
        <v>0</v>
      </c>
      <c r="AY13" s="8">
        <f>Modeloutput!P533</f>
        <v>8.2945916800000002E-15</v>
      </c>
      <c r="BA13" s="7" t="s">
        <v>3</v>
      </c>
      <c r="BB13" s="13">
        <f t="shared" si="3"/>
        <v>87.018183080000014</v>
      </c>
      <c r="BC13" s="8">
        <f>Modeloutput!C788</f>
        <v>0</v>
      </c>
      <c r="BD13" s="8">
        <f>Modeloutput!D788</f>
        <v>87.018183100000002</v>
      </c>
      <c r="BE13" s="8">
        <f>Modeloutput!E788</f>
        <v>59.656589599999997</v>
      </c>
      <c r="BF13" s="8">
        <f>Modeloutput!F788</f>
        <v>0</v>
      </c>
      <c r="BG13" s="8">
        <f>Modeloutput!G788</f>
        <v>20.611833000000001</v>
      </c>
      <c r="BH13" s="8">
        <f>Modeloutput!H788</f>
        <v>0</v>
      </c>
      <c r="BI13" s="8">
        <f>Modeloutput!I788</f>
        <v>0</v>
      </c>
      <c r="BJ13" s="8">
        <f>Modeloutput!J788</f>
        <v>0</v>
      </c>
      <c r="BK13" s="8">
        <f>Modeloutput!K788</f>
        <v>6.74976048</v>
      </c>
      <c r="BL13" s="8">
        <f>Modeloutput!L788</f>
        <v>0</v>
      </c>
      <c r="BM13" s="8">
        <f>Modeloutput!M788</f>
        <v>0</v>
      </c>
      <c r="BN13" s="8">
        <f>Modeloutput!N788</f>
        <v>0</v>
      </c>
      <c r="BO13" s="8">
        <f>Modeloutput!O788</f>
        <v>0</v>
      </c>
      <c r="BP13" s="8">
        <f>Modeloutput!P788</f>
        <v>8.2945916800000002E-15</v>
      </c>
      <c r="BR13" s="7" t="s">
        <v>3</v>
      </c>
      <c r="BS13" s="13">
        <f t="shared" si="4"/>
        <v>87.018183080000014</v>
      </c>
      <c r="BT13" s="8">
        <f>Modeloutput!C1043</f>
        <v>0</v>
      </c>
      <c r="BU13" s="8">
        <f>Modeloutput!D1043</f>
        <v>87.018183100000002</v>
      </c>
      <c r="BV13" s="8">
        <f>Modeloutput!E1043</f>
        <v>59.656589599999997</v>
      </c>
      <c r="BW13" s="8">
        <f>Modeloutput!F1043</f>
        <v>0</v>
      </c>
      <c r="BX13" s="8">
        <f>Modeloutput!G1043</f>
        <v>20.611833000000001</v>
      </c>
      <c r="BY13" s="8">
        <f>Modeloutput!H1043</f>
        <v>0</v>
      </c>
      <c r="BZ13" s="8">
        <f>Modeloutput!I1043</f>
        <v>0</v>
      </c>
      <c r="CA13" s="8">
        <f>Modeloutput!J1043</f>
        <v>0</v>
      </c>
      <c r="CB13" s="8">
        <f>Modeloutput!K1043</f>
        <v>6.74976048</v>
      </c>
      <c r="CC13" s="8">
        <f>Modeloutput!L1043</f>
        <v>0</v>
      </c>
      <c r="CD13" s="8">
        <f>Modeloutput!M1043</f>
        <v>0</v>
      </c>
      <c r="CE13" s="8">
        <f>Modeloutput!N1043</f>
        <v>0</v>
      </c>
      <c r="CF13" s="8">
        <f>Modeloutput!O1043</f>
        <v>0</v>
      </c>
      <c r="CG13" s="8">
        <f>Modeloutput!P1043</f>
        <v>8.2945916800000002E-15</v>
      </c>
    </row>
    <row r="14" spans="1:121" s="7" customFormat="1" x14ac:dyDescent="0.25">
      <c r="B14" s="7" t="s">
        <v>4</v>
      </c>
      <c r="C14" s="13">
        <f t="shared" si="0"/>
        <v>96.063698299999814</v>
      </c>
      <c r="D14" s="8">
        <f>Modeloutput!B24</f>
        <v>96.063698299999999</v>
      </c>
      <c r="E14" s="8">
        <f>Modeloutput!D24</f>
        <v>96.063698299999999</v>
      </c>
      <c r="F14" s="8">
        <f>Modeloutput!E24</f>
        <v>54.747542500000002</v>
      </c>
      <c r="G14" s="8">
        <f>Modeloutput!F24</f>
        <v>0</v>
      </c>
      <c r="H14" s="8">
        <f>Modeloutput!G24</f>
        <v>41.316155799999997</v>
      </c>
      <c r="I14" s="8">
        <f>Modeloutput!H24</f>
        <v>0</v>
      </c>
      <c r="J14" s="8">
        <f>Modeloutput!I24</f>
        <v>0</v>
      </c>
      <c r="K14" s="8">
        <f>Modeloutput!J24</f>
        <v>0</v>
      </c>
      <c r="L14" s="8">
        <f>Modeloutput!K24</f>
        <v>0</v>
      </c>
      <c r="M14" s="8">
        <f>Modeloutput!L24</f>
        <v>0</v>
      </c>
      <c r="N14" s="8">
        <f>Modeloutput!M24</f>
        <v>0</v>
      </c>
      <c r="O14" s="8">
        <f>Modeloutput!N24</f>
        <v>0</v>
      </c>
      <c r="P14" s="8">
        <f>Modeloutput!O24</f>
        <v>0</v>
      </c>
      <c r="Q14" s="8">
        <f>Modeloutput!P24</f>
        <v>-1.90241735E-13</v>
      </c>
      <c r="S14" s="7" t="s">
        <v>4</v>
      </c>
      <c r="T14" s="13">
        <f t="shared" si="1"/>
        <v>96.063698299999814</v>
      </c>
      <c r="U14" s="8">
        <f>Modeloutput!C279</f>
        <v>0</v>
      </c>
      <c r="V14" s="8">
        <f>Modeloutput!D279</f>
        <v>96.063698299999999</v>
      </c>
      <c r="W14" s="8">
        <f>Modeloutput!E279</f>
        <v>54.747542500000002</v>
      </c>
      <c r="X14" s="8">
        <f>Modeloutput!F279</f>
        <v>0</v>
      </c>
      <c r="Y14" s="8">
        <f>Modeloutput!G279</f>
        <v>41.316155799999997</v>
      </c>
      <c r="Z14" s="8">
        <f>Modeloutput!H279</f>
        <v>0</v>
      </c>
      <c r="AA14" s="8">
        <f>Modeloutput!I279</f>
        <v>0</v>
      </c>
      <c r="AB14" s="8">
        <f>Modeloutput!J279</f>
        <v>0</v>
      </c>
      <c r="AC14" s="8">
        <f>Modeloutput!K279</f>
        <v>0</v>
      </c>
      <c r="AD14" s="8">
        <f>Modeloutput!L279</f>
        <v>0</v>
      </c>
      <c r="AE14" s="8">
        <f>Modeloutput!M279</f>
        <v>0</v>
      </c>
      <c r="AF14" s="8">
        <f>Modeloutput!N279</f>
        <v>0</v>
      </c>
      <c r="AG14" s="8">
        <f>Modeloutput!O279</f>
        <v>0</v>
      </c>
      <c r="AH14" s="8">
        <f>Modeloutput!P279</f>
        <v>-1.90241735E-13</v>
      </c>
      <c r="AJ14" s="7" t="s">
        <v>4</v>
      </c>
      <c r="AK14" s="13">
        <f t="shared" si="2"/>
        <v>96.063698299999814</v>
      </c>
      <c r="AL14" s="8">
        <f>Modeloutput!C534</f>
        <v>0</v>
      </c>
      <c r="AM14" s="8">
        <f>Modeloutput!D534</f>
        <v>96.063698299999999</v>
      </c>
      <c r="AN14" s="8">
        <f>Modeloutput!E534</f>
        <v>54.747542500000002</v>
      </c>
      <c r="AO14" s="8">
        <f>Modeloutput!F534</f>
        <v>0</v>
      </c>
      <c r="AP14" s="8">
        <f>Modeloutput!G534</f>
        <v>41.316155799999997</v>
      </c>
      <c r="AQ14" s="8">
        <f>Modeloutput!H534</f>
        <v>0</v>
      </c>
      <c r="AR14" s="8">
        <f>Modeloutput!I534</f>
        <v>0</v>
      </c>
      <c r="AS14" s="8">
        <f>Modeloutput!J534</f>
        <v>0</v>
      </c>
      <c r="AT14" s="8">
        <f>Modeloutput!K534</f>
        <v>0</v>
      </c>
      <c r="AU14" s="8">
        <f>Modeloutput!L534</f>
        <v>0</v>
      </c>
      <c r="AV14" s="8">
        <f>Modeloutput!M534</f>
        <v>0</v>
      </c>
      <c r="AW14" s="8">
        <f>Modeloutput!N534</f>
        <v>0</v>
      </c>
      <c r="AX14" s="8">
        <f>Modeloutput!O534</f>
        <v>0</v>
      </c>
      <c r="AY14" s="8">
        <f>Modeloutput!P534</f>
        <v>-1.90241735E-13</v>
      </c>
      <c r="BA14" s="7" t="s">
        <v>4</v>
      </c>
      <c r="BB14" s="13">
        <f t="shared" si="3"/>
        <v>96.063698299999814</v>
      </c>
      <c r="BC14" s="8">
        <f>Modeloutput!C789</f>
        <v>0</v>
      </c>
      <c r="BD14" s="8">
        <f>Modeloutput!D789</f>
        <v>96.063698299999999</v>
      </c>
      <c r="BE14" s="8">
        <f>Modeloutput!E789</f>
        <v>54.747542500000002</v>
      </c>
      <c r="BF14" s="8">
        <f>Modeloutput!F789</f>
        <v>0</v>
      </c>
      <c r="BG14" s="8">
        <f>Modeloutput!G789</f>
        <v>41.316155799999997</v>
      </c>
      <c r="BH14" s="8">
        <f>Modeloutput!H789</f>
        <v>0</v>
      </c>
      <c r="BI14" s="8">
        <f>Modeloutput!I789</f>
        <v>0</v>
      </c>
      <c r="BJ14" s="8">
        <f>Modeloutput!J789</f>
        <v>0</v>
      </c>
      <c r="BK14" s="8">
        <f>Modeloutput!K789</f>
        <v>0</v>
      </c>
      <c r="BL14" s="8">
        <f>Modeloutput!L789</f>
        <v>0</v>
      </c>
      <c r="BM14" s="8">
        <f>Modeloutput!M789</f>
        <v>0</v>
      </c>
      <c r="BN14" s="8">
        <f>Modeloutput!N789</f>
        <v>0</v>
      </c>
      <c r="BO14" s="8">
        <f>Modeloutput!O789</f>
        <v>0</v>
      </c>
      <c r="BP14" s="8">
        <f>Modeloutput!P789</f>
        <v>-1.90241735E-13</v>
      </c>
      <c r="BR14" s="7" t="s">
        <v>4</v>
      </c>
      <c r="BS14" s="13">
        <f t="shared" si="4"/>
        <v>96.063698299999814</v>
      </c>
      <c r="BT14" s="8">
        <f>Modeloutput!C1044</f>
        <v>0</v>
      </c>
      <c r="BU14" s="8">
        <f>Modeloutput!D1044</f>
        <v>96.063698299999999</v>
      </c>
      <c r="BV14" s="8">
        <f>Modeloutput!E1044</f>
        <v>54.747542500000002</v>
      </c>
      <c r="BW14" s="8">
        <f>Modeloutput!F1044</f>
        <v>0</v>
      </c>
      <c r="BX14" s="8">
        <f>Modeloutput!G1044</f>
        <v>41.316155799999997</v>
      </c>
      <c r="BY14" s="8">
        <f>Modeloutput!H1044</f>
        <v>0</v>
      </c>
      <c r="BZ14" s="8">
        <f>Modeloutput!I1044</f>
        <v>0</v>
      </c>
      <c r="CA14" s="8">
        <f>Modeloutput!J1044</f>
        <v>0</v>
      </c>
      <c r="CB14" s="8">
        <f>Modeloutput!K1044</f>
        <v>0</v>
      </c>
      <c r="CC14" s="8">
        <f>Modeloutput!L1044</f>
        <v>0</v>
      </c>
      <c r="CD14" s="8">
        <f>Modeloutput!M1044</f>
        <v>0</v>
      </c>
      <c r="CE14" s="8">
        <f>Modeloutput!N1044</f>
        <v>0</v>
      </c>
      <c r="CF14" s="8">
        <f>Modeloutput!O1044</f>
        <v>0</v>
      </c>
      <c r="CG14" s="8">
        <f>Modeloutput!P1044</f>
        <v>-1.90241735E-13</v>
      </c>
    </row>
    <row r="15" spans="1:121" s="7" customFormat="1" x14ac:dyDescent="0.25">
      <c r="B15" s="7" t="s">
        <v>5</v>
      </c>
      <c r="C15" s="8">
        <f t="shared" si="0"/>
        <v>60.398002099999999</v>
      </c>
      <c r="D15" s="8">
        <f>Modeloutput!B25</f>
        <v>60.398002099999999</v>
      </c>
      <c r="E15" s="8">
        <f>Modeloutput!D25</f>
        <v>-1.86205252</v>
      </c>
      <c r="F15" s="8">
        <f>Modeloutput!E25</f>
        <v>35.618138299999998</v>
      </c>
      <c r="G15" s="8">
        <f>Modeloutput!F25</f>
        <v>0</v>
      </c>
      <c r="H15" s="8">
        <f>Modeloutput!G25</f>
        <v>24.779863800000001</v>
      </c>
      <c r="I15" s="8">
        <f>Modeloutput!H25</f>
        <v>0</v>
      </c>
      <c r="J15" s="8">
        <f>Modeloutput!I25</f>
        <v>0</v>
      </c>
      <c r="K15" s="8">
        <f>Modeloutput!J25</f>
        <v>0</v>
      </c>
      <c r="L15" s="8">
        <f>Modeloutput!K25</f>
        <v>0</v>
      </c>
      <c r="M15" s="8">
        <f>Modeloutput!L25</f>
        <v>0</v>
      </c>
      <c r="N15" s="8">
        <f>Modeloutput!M25</f>
        <v>0</v>
      </c>
      <c r="O15" s="8">
        <f>Modeloutput!N25</f>
        <v>0</v>
      </c>
      <c r="P15" s="8">
        <f>Modeloutput!O25</f>
        <v>0</v>
      </c>
      <c r="Q15" s="8">
        <f>Modeloutput!P25</f>
        <v>0</v>
      </c>
      <c r="S15" s="7" t="s">
        <v>5</v>
      </c>
      <c r="T15" s="8">
        <f t="shared" si="1"/>
        <v>60.398002099999999</v>
      </c>
      <c r="U15" s="8">
        <f>Modeloutput!C280</f>
        <v>62.260054599999997</v>
      </c>
      <c r="V15" s="8">
        <f>Modeloutput!D280</f>
        <v>-1.86205252</v>
      </c>
      <c r="W15" s="8">
        <f>Modeloutput!E280</f>
        <v>35.618138299999998</v>
      </c>
      <c r="X15" s="8">
        <f>Modeloutput!F280</f>
        <v>0</v>
      </c>
      <c r="Y15" s="8">
        <f>Modeloutput!G280</f>
        <v>24.779863800000001</v>
      </c>
      <c r="Z15" s="8">
        <f>Modeloutput!H280</f>
        <v>0</v>
      </c>
      <c r="AA15" s="8">
        <f>Modeloutput!I280</f>
        <v>0</v>
      </c>
      <c r="AB15" s="8">
        <f>Modeloutput!J280</f>
        <v>0</v>
      </c>
      <c r="AC15" s="8">
        <f>Modeloutput!K280</f>
        <v>0</v>
      </c>
      <c r="AD15" s="8">
        <f>Modeloutput!L280</f>
        <v>0</v>
      </c>
      <c r="AE15" s="8">
        <f>Modeloutput!M280</f>
        <v>0</v>
      </c>
      <c r="AF15" s="8">
        <f>Modeloutput!N280</f>
        <v>0</v>
      </c>
      <c r="AG15" s="8">
        <f>Modeloutput!O280</f>
        <v>0</v>
      </c>
      <c r="AH15" s="8">
        <f>Modeloutput!P280</f>
        <v>0</v>
      </c>
      <c r="AJ15" s="7" t="s">
        <v>5</v>
      </c>
      <c r="AK15" s="8">
        <f t="shared" si="2"/>
        <v>60.398002099999999</v>
      </c>
      <c r="AL15" s="8">
        <f>Modeloutput!C535</f>
        <v>62.260054599999997</v>
      </c>
      <c r="AM15" s="8">
        <f>Modeloutput!D535</f>
        <v>-1.86205252</v>
      </c>
      <c r="AN15" s="8">
        <f>Modeloutput!E535</f>
        <v>35.618138299999998</v>
      </c>
      <c r="AO15" s="8">
        <f>Modeloutput!F535</f>
        <v>0</v>
      </c>
      <c r="AP15" s="8">
        <f>Modeloutput!G535</f>
        <v>24.779863800000001</v>
      </c>
      <c r="AQ15" s="8">
        <f>Modeloutput!H535</f>
        <v>0</v>
      </c>
      <c r="AR15" s="8">
        <f>Modeloutput!I535</f>
        <v>0</v>
      </c>
      <c r="AS15" s="8">
        <f>Modeloutput!J535</f>
        <v>0</v>
      </c>
      <c r="AT15" s="8">
        <f>Modeloutput!K535</f>
        <v>0</v>
      </c>
      <c r="AU15" s="8">
        <f>Modeloutput!L535</f>
        <v>0</v>
      </c>
      <c r="AV15" s="8">
        <f>Modeloutput!M535</f>
        <v>0</v>
      </c>
      <c r="AW15" s="8">
        <f>Modeloutput!N535</f>
        <v>0</v>
      </c>
      <c r="AX15" s="8">
        <f>Modeloutput!O535</f>
        <v>0</v>
      </c>
      <c r="AY15" s="8">
        <f>Modeloutput!P535</f>
        <v>0</v>
      </c>
      <c r="BA15" s="7" t="s">
        <v>5</v>
      </c>
      <c r="BB15" s="8">
        <f t="shared" si="3"/>
        <v>60.398002099999999</v>
      </c>
      <c r="BC15" s="8">
        <f>Modeloutput!C790</f>
        <v>62.260054599999997</v>
      </c>
      <c r="BD15" s="8">
        <f>Modeloutput!D790</f>
        <v>-1.86205252</v>
      </c>
      <c r="BE15" s="8">
        <f>Modeloutput!E790</f>
        <v>35.618138299999998</v>
      </c>
      <c r="BF15" s="8">
        <f>Modeloutput!F790</f>
        <v>0</v>
      </c>
      <c r="BG15" s="8">
        <f>Modeloutput!G790</f>
        <v>24.779863800000001</v>
      </c>
      <c r="BH15" s="8">
        <f>Modeloutput!H790</f>
        <v>0</v>
      </c>
      <c r="BI15" s="8">
        <f>Modeloutput!I790</f>
        <v>0</v>
      </c>
      <c r="BJ15" s="8">
        <f>Modeloutput!J790</f>
        <v>0</v>
      </c>
      <c r="BK15" s="8">
        <f>Modeloutput!K790</f>
        <v>0</v>
      </c>
      <c r="BL15" s="8">
        <f>Modeloutput!L790</f>
        <v>0</v>
      </c>
      <c r="BM15" s="8">
        <f>Modeloutput!M790</f>
        <v>0</v>
      </c>
      <c r="BN15" s="8">
        <f>Modeloutput!N790</f>
        <v>0</v>
      </c>
      <c r="BO15" s="8">
        <f>Modeloutput!O790</f>
        <v>0</v>
      </c>
      <c r="BP15" s="8">
        <f>Modeloutput!P790</f>
        <v>0</v>
      </c>
      <c r="BR15" s="7" t="s">
        <v>5</v>
      </c>
      <c r="BS15" s="8">
        <f t="shared" si="4"/>
        <v>60.398002099999999</v>
      </c>
      <c r="BT15" s="8">
        <f>Modeloutput!C1045</f>
        <v>62.260054599999997</v>
      </c>
      <c r="BU15" s="8">
        <f>Modeloutput!D1045</f>
        <v>-1.86205252</v>
      </c>
      <c r="BV15" s="8">
        <f>Modeloutput!E1045</f>
        <v>35.618138299999998</v>
      </c>
      <c r="BW15" s="8">
        <f>Modeloutput!F1045</f>
        <v>0</v>
      </c>
      <c r="BX15" s="8">
        <f>Modeloutput!G1045</f>
        <v>24.779863800000001</v>
      </c>
      <c r="BY15" s="8">
        <f>Modeloutput!H1045</f>
        <v>0</v>
      </c>
      <c r="BZ15" s="8">
        <f>Modeloutput!I1045</f>
        <v>0</v>
      </c>
      <c r="CA15" s="8">
        <f>Modeloutput!J1045</f>
        <v>0</v>
      </c>
      <c r="CB15" s="8">
        <f>Modeloutput!K1045</f>
        <v>0</v>
      </c>
      <c r="CC15" s="8">
        <f>Modeloutput!L1045</f>
        <v>0</v>
      </c>
      <c r="CD15" s="8">
        <f>Modeloutput!M1045</f>
        <v>0</v>
      </c>
      <c r="CE15" s="8">
        <f>Modeloutput!N1045</f>
        <v>0</v>
      </c>
      <c r="CF15" s="8">
        <f>Modeloutput!O1045</f>
        <v>0</v>
      </c>
      <c r="CG15" s="8">
        <f>Modeloutput!P1045</f>
        <v>0</v>
      </c>
    </row>
    <row r="16" spans="1:121" s="7" customFormat="1" x14ac:dyDescent="0.25">
      <c r="B16" s="7" t="s">
        <v>6</v>
      </c>
      <c r="C16" s="8">
        <f t="shared" si="0"/>
        <v>0</v>
      </c>
      <c r="D16" s="8">
        <f>Modeloutput!B26</f>
        <v>0</v>
      </c>
      <c r="E16" s="8">
        <f>Modeloutput!D26</f>
        <v>0</v>
      </c>
      <c r="F16" s="8">
        <f>Modeloutput!E26</f>
        <v>0</v>
      </c>
      <c r="G16" s="8">
        <f>Modeloutput!F26</f>
        <v>0</v>
      </c>
      <c r="H16" s="8">
        <f>Modeloutput!G26</f>
        <v>0</v>
      </c>
      <c r="I16" s="8">
        <f>Modeloutput!H26</f>
        <v>0</v>
      </c>
      <c r="J16" s="8">
        <f>Modeloutput!I26</f>
        <v>0</v>
      </c>
      <c r="K16" s="8">
        <f>Modeloutput!J26</f>
        <v>0</v>
      </c>
      <c r="L16" s="8">
        <f>Modeloutput!K26</f>
        <v>0</v>
      </c>
      <c r="M16" s="8">
        <f>Modeloutput!L26</f>
        <v>0</v>
      </c>
      <c r="N16" s="8">
        <f>Modeloutput!M26</f>
        <v>0</v>
      </c>
      <c r="O16" s="8">
        <f>Modeloutput!N26</f>
        <v>0</v>
      </c>
      <c r="P16" s="8">
        <f>Modeloutput!O26</f>
        <v>0</v>
      </c>
      <c r="Q16" s="8">
        <f>Modeloutput!P26</f>
        <v>0</v>
      </c>
      <c r="S16" s="7" t="s">
        <v>6</v>
      </c>
      <c r="T16" s="8">
        <f t="shared" si="1"/>
        <v>0</v>
      </c>
      <c r="U16" s="8">
        <f>Modeloutput!C281</f>
        <v>0</v>
      </c>
      <c r="V16" s="8">
        <f>Modeloutput!D281</f>
        <v>0</v>
      </c>
      <c r="W16" s="8">
        <f>Modeloutput!E281</f>
        <v>0</v>
      </c>
      <c r="X16" s="8">
        <f>Modeloutput!F281</f>
        <v>0</v>
      </c>
      <c r="Y16" s="8">
        <f>Modeloutput!G281</f>
        <v>0</v>
      </c>
      <c r="Z16" s="8">
        <f>Modeloutput!H281</f>
        <v>0</v>
      </c>
      <c r="AA16" s="8">
        <f>Modeloutput!I281</f>
        <v>0</v>
      </c>
      <c r="AB16" s="8">
        <f>Modeloutput!J281</f>
        <v>0</v>
      </c>
      <c r="AC16" s="8">
        <f>Modeloutput!K281</f>
        <v>0</v>
      </c>
      <c r="AD16" s="8">
        <f>Modeloutput!L281</f>
        <v>0</v>
      </c>
      <c r="AE16" s="8">
        <f>Modeloutput!M281</f>
        <v>0</v>
      </c>
      <c r="AF16" s="8">
        <f>Modeloutput!N281</f>
        <v>0</v>
      </c>
      <c r="AG16" s="8">
        <f>Modeloutput!O281</f>
        <v>0</v>
      </c>
      <c r="AH16" s="8">
        <f>Modeloutput!P281</f>
        <v>0</v>
      </c>
      <c r="AJ16" s="7" t="s">
        <v>6</v>
      </c>
      <c r="AK16" s="8">
        <f t="shared" si="2"/>
        <v>0</v>
      </c>
      <c r="AL16" s="8">
        <f>Modeloutput!C536</f>
        <v>0</v>
      </c>
      <c r="AM16" s="8">
        <f>Modeloutput!D536</f>
        <v>0</v>
      </c>
      <c r="AN16" s="8">
        <f>Modeloutput!E536</f>
        <v>0</v>
      </c>
      <c r="AO16" s="8">
        <f>Modeloutput!F536</f>
        <v>0</v>
      </c>
      <c r="AP16" s="8">
        <f>Modeloutput!G536</f>
        <v>0</v>
      </c>
      <c r="AQ16" s="8">
        <f>Modeloutput!H536</f>
        <v>0</v>
      </c>
      <c r="AR16" s="8">
        <f>Modeloutput!I536</f>
        <v>0</v>
      </c>
      <c r="AS16" s="8">
        <f>Modeloutput!J536</f>
        <v>0</v>
      </c>
      <c r="AT16" s="8">
        <f>Modeloutput!K536</f>
        <v>0</v>
      </c>
      <c r="AU16" s="8">
        <f>Modeloutput!L536</f>
        <v>0</v>
      </c>
      <c r="AV16" s="8">
        <f>Modeloutput!M536</f>
        <v>0</v>
      </c>
      <c r="AW16" s="8">
        <f>Modeloutput!N536</f>
        <v>0</v>
      </c>
      <c r="AX16" s="8">
        <f>Modeloutput!O536</f>
        <v>0</v>
      </c>
      <c r="AY16" s="8">
        <f>Modeloutput!P536</f>
        <v>0</v>
      </c>
      <c r="BA16" s="7" t="s">
        <v>6</v>
      </c>
      <c r="BB16" s="8">
        <f t="shared" si="3"/>
        <v>0</v>
      </c>
      <c r="BC16" s="8">
        <f>Modeloutput!C791</f>
        <v>0</v>
      </c>
      <c r="BD16" s="8">
        <f>Modeloutput!D791</f>
        <v>0</v>
      </c>
      <c r="BE16" s="8">
        <f>Modeloutput!E791</f>
        <v>0</v>
      </c>
      <c r="BF16" s="8">
        <f>Modeloutput!F791</f>
        <v>0</v>
      </c>
      <c r="BG16" s="8">
        <f>Modeloutput!G791</f>
        <v>0</v>
      </c>
      <c r="BH16" s="8">
        <f>Modeloutput!H791</f>
        <v>0</v>
      </c>
      <c r="BI16" s="8">
        <f>Modeloutput!I791</f>
        <v>0</v>
      </c>
      <c r="BJ16" s="8">
        <f>Modeloutput!J791</f>
        <v>0</v>
      </c>
      <c r="BK16" s="8">
        <f>Modeloutput!K791</f>
        <v>0</v>
      </c>
      <c r="BL16" s="8">
        <f>Modeloutput!L791</f>
        <v>0</v>
      </c>
      <c r="BM16" s="8">
        <f>Modeloutput!M791</f>
        <v>0</v>
      </c>
      <c r="BN16" s="8">
        <f>Modeloutput!N791</f>
        <v>0</v>
      </c>
      <c r="BO16" s="8">
        <f>Modeloutput!O791</f>
        <v>0</v>
      </c>
      <c r="BP16" s="8">
        <f>Modeloutput!P791</f>
        <v>0</v>
      </c>
      <c r="BR16" s="7" t="s">
        <v>6</v>
      </c>
      <c r="BS16" s="8">
        <f t="shared" si="4"/>
        <v>0</v>
      </c>
      <c r="BT16" s="8">
        <f>Modeloutput!C1046</f>
        <v>0</v>
      </c>
      <c r="BU16" s="8">
        <f>Modeloutput!D1046</f>
        <v>0</v>
      </c>
      <c r="BV16" s="8">
        <f>Modeloutput!E1046</f>
        <v>0</v>
      </c>
      <c r="BW16" s="8">
        <f>Modeloutput!F1046</f>
        <v>0</v>
      </c>
      <c r="BX16" s="8">
        <f>Modeloutput!G1046</f>
        <v>0</v>
      </c>
      <c r="BY16" s="8">
        <f>Modeloutput!H1046</f>
        <v>0</v>
      </c>
      <c r="BZ16" s="8">
        <f>Modeloutput!I1046</f>
        <v>0</v>
      </c>
      <c r="CA16" s="8">
        <f>Modeloutput!J1046</f>
        <v>0</v>
      </c>
      <c r="CB16" s="8">
        <f>Modeloutput!K1046</f>
        <v>0</v>
      </c>
      <c r="CC16" s="8">
        <f>Modeloutput!L1046</f>
        <v>0</v>
      </c>
      <c r="CD16" s="8">
        <f>Modeloutput!M1046</f>
        <v>0</v>
      </c>
      <c r="CE16" s="8">
        <f>Modeloutput!N1046</f>
        <v>0</v>
      </c>
      <c r="CF16" s="8">
        <f>Modeloutput!O1046</f>
        <v>0</v>
      </c>
      <c r="CG16" s="8">
        <f>Modeloutput!P1046</f>
        <v>0</v>
      </c>
    </row>
    <row r="17" spans="1:85" s="7" customFormat="1" x14ac:dyDescent="0.25">
      <c r="B17" s="7" t="s">
        <v>7</v>
      </c>
      <c r="C17" s="8">
        <f t="shared" si="0"/>
        <v>0</v>
      </c>
      <c r="D17" s="8">
        <f>Modeloutput!B27</f>
        <v>0</v>
      </c>
      <c r="E17" s="8">
        <f>Modeloutput!D27</f>
        <v>0</v>
      </c>
      <c r="F17" s="8">
        <f>Modeloutput!E27</f>
        <v>0</v>
      </c>
      <c r="G17" s="8">
        <f>Modeloutput!F27</f>
        <v>0</v>
      </c>
      <c r="H17" s="8">
        <f>Modeloutput!G27</f>
        <v>0</v>
      </c>
      <c r="I17" s="8">
        <f>Modeloutput!H27</f>
        <v>0</v>
      </c>
      <c r="J17" s="8">
        <f>Modeloutput!I27</f>
        <v>0</v>
      </c>
      <c r="K17" s="8">
        <f>Modeloutput!J27</f>
        <v>0</v>
      </c>
      <c r="L17" s="8">
        <f>Modeloutput!K27</f>
        <v>0</v>
      </c>
      <c r="M17" s="8">
        <f>Modeloutput!L27</f>
        <v>0</v>
      </c>
      <c r="N17" s="8">
        <f>Modeloutput!M27</f>
        <v>0</v>
      </c>
      <c r="O17" s="8">
        <f>Modeloutput!N27</f>
        <v>0</v>
      </c>
      <c r="P17" s="8">
        <f>Modeloutput!O27</f>
        <v>0</v>
      </c>
      <c r="Q17" s="8">
        <f>Modeloutput!P27</f>
        <v>0</v>
      </c>
      <c r="S17" s="7" t="s">
        <v>7</v>
      </c>
      <c r="T17" s="8">
        <f t="shared" si="1"/>
        <v>0</v>
      </c>
      <c r="U17" s="8">
        <f>Modeloutput!C282</f>
        <v>0</v>
      </c>
      <c r="V17" s="8">
        <f>Modeloutput!D282</f>
        <v>0</v>
      </c>
      <c r="W17" s="8">
        <f>Modeloutput!E282</f>
        <v>0</v>
      </c>
      <c r="X17" s="8">
        <f>Modeloutput!F282</f>
        <v>0</v>
      </c>
      <c r="Y17" s="8">
        <f>Modeloutput!G282</f>
        <v>0</v>
      </c>
      <c r="Z17" s="8">
        <f>Modeloutput!H282</f>
        <v>0</v>
      </c>
      <c r="AA17" s="8">
        <f>Modeloutput!I282</f>
        <v>0</v>
      </c>
      <c r="AB17" s="8">
        <f>Modeloutput!J282</f>
        <v>0</v>
      </c>
      <c r="AC17" s="8">
        <f>Modeloutput!K282</f>
        <v>0</v>
      </c>
      <c r="AD17" s="8">
        <f>Modeloutput!L282</f>
        <v>0</v>
      </c>
      <c r="AE17" s="8">
        <f>Modeloutput!M282</f>
        <v>0</v>
      </c>
      <c r="AF17" s="8">
        <f>Modeloutput!N282</f>
        <v>0</v>
      </c>
      <c r="AG17" s="8">
        <f>Modeloutput!O282</f>
        <v>0</v>
      </c>
      <c r="AH17" s="8">
        <f>Modeloutput!P282</f>
        <v>0</v>
      </c>
      <c r="AJ17" s="7" t="s">
        <v>7</v>
      </c>
      <c r="AK17" s="8">
        <f t="shared" si="2"/>
        <v>0</v>
      </c>
      <c r="AL17" s="8">
        <f>Modeloutput!C537</f>
        <v>0</v>
      </c>
      <c r="AM17" s="8">
        <f>Modeloutput!D537</f>
        <v>0</v>
      </c>
      <c r="AN17" s="8">
        <f>Modeloutput!E537</f>
        <v>0</v>
      </c>
      <c r="AO17" s="8">
        <f>Modeloutput!F537</f>
        <v>0</v>
      </c>
      <c r="AP17" s="8">
        <f>Modeloutput!G537</f>
        <v>0</v>
      </c>
      <c r="AQ17" s="8">
        <f>Modeloutput!H537</f>
        <v>0</v>
      </c>
      <c r="AR17" s="8">
        <f>Modeloutput!I537</f>
        <v>0</v>
      </c>
      <c r="AS17" s="8">
        <f>Modeloutput!J537</f>
        <v>0</v>
      </c>
      <c r="AT17" s="8">
        <f>Modeloutput!K537</f>
        <v>0</v>
      </c>
      <c r="AU17" s="8">
        <f>Modeloutput!L537</f>
        <v>0</v>
      </c>
      <c r="AV17" s="8">
        <f>Modeloutput!M537</f>
        <v>0</v>
      </c>
      <c r="AW17" s="8">
        <f>Modeloutput!N537</f>
        <v>0</v>
      </c>
      <c r="AX17" s="8">
        <f>Modeloutput!O537</f>
        <v>0</v>
      </c>
      <c r="AY17" s="8">
        <f>Modeloutput!P537</f>
        <v>0</v>
      </c>
      <c r="BA17" s="7" t="s">
        <v>7</v>
      </c>
      <c r="BB17" s="8">
        <f t="shared" si="3"/>
        <v>0</v>
      </c>
      <c r="BC17" s="8">
        <f>Modeloutput!C792</f>
        <v>0</v>
      </c>
      <c r="BD17" s="8">
        <f>Modeloutput!D792</f>
        <v>0</v>
      </c>
      <c r="BE17" s="8">
        <f>Modeloutput!E792</f>
        <v>0</v>
      </c>
      <c r="BF17" s="8">
        <f>Modeloutput!F792</f>
        <v>0</v>
      </c>
      <c r="BG17" s="8">
        <f>Modeloutput!G792</f>
        <v>0</v>
      </c>
      <c r="BH17" s="8">
        <f>Modeloutput!H792</f>
        <v>0</v>
      </c>
      <c r="BI17" s="8">
        <f>Modeloutput!I792</f>
        <v>0</v>
      </c>
      <c r="BJ17" s="8">
        <f>Modeloutput!J792</f>
        <v>0</v>
      </c>
      <c r="BK17" s="8">
        <f>Modeloutput!K792</f>
        <v>0</v>
      </c>
      <c r="BL17" s="8">
        <f>Modeloutput!L792</f>
        <v>0</v>
      </c>
      <c r="BM17" s="8">
        <f>Modeloutput!M792</f>
        <v>0</v>
      </c>
      <c r="BN17" s="8">
        <f>Modeloutput!N792</f>
        <v>0</v>
      </c>
      <c r="BO17" s="8">
        <f>Modeloutput!O792</f>
        <v>0</v>
      </c>
      <c r="BP17" s="8">
        <f>Modeloutput!P792</f>
        <v>0</v>
      </c>
      <c r="BR17" s="7" t="s">
        <v>7</v>
      </c>
      <c r="BS17" s="8">
        <f t="shared" si="4"/>
        <v>0</v>
      </c>
      <c r="BT17" s="8">
        <f>Modeloutput!C1047</f>
        <v>0</v>
      </c>
      <c r="BU17" s="8">
        <f>Modeloutput!D1047</f>
        <v>0</v>
      </c>
      <c r="BV17" s="8">
        <f>Modeloutput!E1047</f>
        <v>0</v>
      </c>
      <c r="BW17" s="8">
        <f>Modeloutput!F1047</f>
        <v>0</v>
      </c>
      <c r="BX17" s="8">
        <f>Modeloutput!G1047</f>
        <v>0</v>
      </c>
      <c r="BY17" s="8">
        <f>Modeloutput!H1047</f>
        <v>0</v>
      </c>
      <c r="BZ17" s="8">
        <f>Modeloutput!I1047</f>
        <v>0</v>
      </c>
      <c r="CA17" s="8">
        <f>Modeloutput!J1047</f>
        <v>0</v>
      </c>
      <c r="CB17" s="8">
        <f>Modeloutput!K1047</f>
        <v>0</v>
      </c>
      <c r="CC17" s="8">
        <f>Modeloutput!L1047</f>
        <v>0</v>
      </c>
      <c r="CD17" s="8">
        <f>Modeloutput!M1047</f>
        <v>0</v>
      </c>
      <c r="CE17" s="8">
        <f>Modeloutput!N1047</f>
        <v>0</v>
      </c>
      <c r="CF17" s="8">
        <f>Modeloutput!O1047</f>
        <v>0</v>
      </c>
      <c r="CG17" s="8">
        <f>Modeloutput!P1047</f>
        <v>0</v>
      </c>
    </row>
    <row r="18" spans="1:85" s="7" customFormat="1" x14ac:dyDescent="0.25">
      <c r="B18" s="7" t="s">
        <v>8</v>
      </c>
      <c r="C18" s="8">
        <f t="shared" si="0"/>
        <v>0</v>
      </c>
      <c r="D18" s="8">
        <f>Modeloutput!B28</f>
        <v>0</v>
      </c>
      <c r="E18" s="8">
        <f>Modeloutput!D28</f>
        <v>0</v>
      </c>
      <c r="F18" s="8">
        <f>Modeloutput!E28</f>
        <v>0</v>
      </c>
      <c r="G18" s="8">
        <f>Modeloutput!F28</f>
        <v>0</v>
      </c>
      <c r="H18" s="8">
        <f>Modeloutput!G28</f>
        <v>0</v>
      </c>
      <c r="I18" s="8">
        <f>Modeloutput!H28</f>
        <v>0</v>
      </c>
      <c r="J18" s="8">
        <f>Modeloutput!I28</f>
        <v>0</v>
      </c>
      <c r="K18" s="8">
        <f>Modeloutput!J28</f>
        <v>0</v>
      </c>
      <c r="L18" s="8">
        <f>Modeloutput!K28</f>
        <v>0</v>
      </c>
      <c r="M18" s="8">
        <f>Modeloutput!L28</f>
        <v>0</v>
      </c>
      <c r="N18" s="8">
        <f>Modeloutput!M28</f>
        <v>0</v>
      </c>
      <c r="O18" s="8">
        <f>Modeloutput!N28</f>
        <v>0</v>
      </c>
      <c r="P18" s="8">
        <f>Modeloutput!O28</f>
        <v>0</v>
      </c>
      <c r="Q18" s="8">
        <f>Modeloutput!P28</f>
        <v>0</v>
      </c>
      <c r="S18" s="7" t="s">
        <v>8</v>
      </c>
      <c r="T18" s="8">
        <f t="shared" si="1"/>
        <v>0</v>
      </c>
      <c r="U18" s="8">
        <f>Modeloutput!C283</f>
        <v>0</v>
      </c>
      <c r="V18" s="8">
        <f>Modeloutput!D283</f>
        <v>0</v>
      </c>
      <c r="W18" s="8">
        <f>Modeloutput!E283</f>
        <v>0</v>
      </c>
      <c r="X18" s="8">
        <f>Modeloutput!F283</f>
        <v>0</v>
      </c>
      <c r="Y18" s="8">
        <f>Modeloutput!G283</f>
        <v>0</v>
      </c>
      <c r="Z18" s="8">
        <f>Modeloutput!H283</f>
        <v>0</v>
      </c>
      <c r="AA18" s="8">
        <f>Modeloutput!I283</f>
        <v>0</v>
      </c>
      <c r="AB18" s="8">
        <f>Modeloutput!J283</f>
        <v>0</v>
      </c>
      <c r="AC18" s="8">
        <f>Modeloutput!K283</f>
        <v>0</v>
      </c>
      <c r="AD18" s="8">
        <f>Modeloutput!L283</f>
        <v>0</v>
      </c>
      <c r="AE18" s="8">
        <f>Modeloutput!M283</f>
        <v>0</v>
      </c>
      <c r="AF18" s="8">
        <f>Modeloutput!N283</f>
        <v>0</v>
      </c>
      <c r="AG18" s="8">
        <f>Modeloutput!O283</f>
        <v>0</v>
      </c>
      <c r="AH18" s="8">
        <f>Modeloutput!P283</f>
        <v>0</v>
      </c>
      <c r="AJ18" s="7" t="s">
        <v>8</v>
      </c>
      <c r="AK18" s="8">
        <f t="shared" si="2"/>
        <v>0</v>
      </c>
      <c r="AL18" s="8">
        <f>Modeloutput!C538</f>
        <v>0</v>
      </c>
      <c r="AM18" s="8">
        <f>Modeloutput!D538</f>
        <v>0</v>
      </c>
      <c r="AN18" s="8">
        <f>Modeloutput!E538</f>
        <v>0</v>
      </c>
      <c r="AO18" s="8">
        <f>Modeloutput!F538</f>
        <v>0</v>
      </c>
      <c r="AP18" s="8">
        <f>Modeloutput!G538</f>
        <v>0</v>
      </c>
      <c r="AQ18" s="8">
        <f>Modeloutput!H538</f>
        <v>0</v>
      </c>
      <c r="AR18" s="8">
        <f>Modeloutput!I538</f>
        <v>0</v>
      </c>
      <c r="AS18" s="8">
        <f>Modeloutput!J538</f>
        <v>0</v>
      </c>
      <c r="AT18" s="8">
        <f>Modeloutput!K538</f>
        <v>0</v>
      </c>
      <c r="AU18" s="8">
        <f>Modeloutput!L538</f>
        <v>0</v>
      </c>
      <c r="AV18" s="8">
        <f>Modeloutput!M538</f>
        <v>0</v>
      </c>
      <c r="AW18" s="8">
        <f>Modeloutput!N538</f>
        <v>0</v>
      </c>
      <c r="AX18" s="8">
        <f>Modeloutput!O538</f>
        <v>0</v>
      </c>
      <c r="AY18" s="8">
        <f>Modeloutput!P538</f>
        <v>0</v>
      </c>
      <c r="BA18" s="7" t="s">
        <v>8</v>
      </c>
      <c r="BB18" s="8">
        <f t="shared" si="3"/>
        <v>0</v>
      </c>
      <c r="BC18" s="8">
        <f>Modeloutput!C793</f>
        <v>0</v>
      </c>
      <c r="BD18" s="8">
        <f>Modeloutput!D793</f>
        <v>0</v>
      </c>
      <c r="BE18" s="8">
        <f>Modeloutput!E793</f>
        <v>0</v>
      </c>
      <c r="BF18" s="8">
        <f>Modeloutput!F793</f>
        <v>0</v>
      </c>
      <c r="BG18" s="8">
        <f>Modeloutput!G793</f>
        <v>0</v>
      </c>
      <c r="BH18" s="8">
        <f>Modeloutput!H793</f>
        <v>0</v>
      </c>
      <c r="BI18" s="8">
        <f>Modeloutput!I793</f>
        <v>0</v>
      </c>
      <c r="BJ18" s="8">
        <f>Modeloutput!J793</f>
        <v>0</v>
      </c>
      <c r="BK18" s="8">
        <f>Modeloutput!K793</f>
        <v>0</v>
      </c>
      <c r="BL18" s="8">
        <f>Modeloutput!L793</f>
        <v>0</v>
      </c>
      <c r="BM18" s="8">
        <f>Modeloutput!M793</f>
        <v>0</v>
      </c>
      <c r="BN18" s="8">
        <f>Modeloutput!N793</f>
        <v>0</v>
      </c>
      <c r="BO18" s="8">
        <f>Modeloutput!O793</f>
        <v>0</v>
      </c>
      <c r="BP18" s="8">
        <f>Modeloutput!P793</f>
        <v>0</v>
      </c>
      <c r="BR18" s="7" t="s">
        <v>8</v>
      </c>
      <c r="BS18" s="8">
        <f t="shared" si="4"/>
        <v>0</v>
      </c>
      <c r="BT18" s="8">
        <f>Modeloutput!C1048</f>
        <v>0</v>
      </c>
      <c r="BU18" s="8">
        <f>Modeloutput!D1048</f>
        <v>0</v>
      </c>
      <c r="BV18" s="8">
        <f>Modeloutput!E1048</f>
        <v>0</v>
      </c>
      <c r="BW18" s="8">
        <f>Modeloutput!F1048</f>
        <v>0</v>
      </c>
      <c r="BX18" s="8">
        <f>Modeloutput!G1048</f>
        <v>0</v>
      </c>
      <c r="BY18" s="8">
        <f>Modeloutput!H1048</f>
        <v>0</v>
      </c>
      <c r="BZ18" s="8">
        <f>Modeloutput!I1048</f>
        <v>0</v>
      </c>
      <c r="CA18" s="8">
        <f>Modeloutput!J1048</f>
        <v>0</v>
      </c>
      <c r="CB18" s="8">
        <f>Modeloutput!K1048</f>
        <v>0</v>
      </c>
      <c r="CC18" s="8">
        <f>Modeloutput!L1048</f>
        <v>0</v>
      </c>
      <c r="CD18" s="8">
        <f>Modeloutput!M1048</f>
        <v>0</v>
      </c>
      <c r="CE18" s="8">
        <f>Modeloutput!N1048</f>
        <v>0</v>
      </c>
      <c r="CF18" s="8">
        <f>Modeloutput!O1048</f>
        <v>0</v>
      </c>
      <c r="CG18" s="8">
        <f>Modeloutput!P1048</f>
        <v>0</v>
      </c>
    </row>
    <row r="19" spans="1:85" s="7" customFormat="1" x14ac:dyDescent="0.25">
      <c r="B19" s="7" t="s">
        <v>9</v>
      </c>
      <c r="C19" s="8">
        <f t="shared" si="0"/>
        <v>0</v>
      </c>
      <c r="D19" s="8">
        <f>Modeloutput!B29</f>
        <v>0</v>
      </c>
      <c r="E19" s="8">
        <f>Modeloutput!D29</f>
        <v>0</v>
      </c>
      <c r="F19" s="8">
        <f>Modeloutput!E29</f>
        <v>0</v>
      </c>
      <c r="G19" s="8">
        <f>Modeloutput!F29</f>
        <v>0</v>
      </c>
      <c r="H19" s="8">
        <f>Modeloutput!G29</f>
        <v>0</v>
      </c>
      <c r="I19" s="8">
        <f>Modeloutput!H29</f>
        <v>0</v>
      </c>
      <c r="J19" s="8">
        <f>Modeloutput!I29</f>
        <v>0</v>
      </c>
      <c r="K19" s="8">
        <f>Modeloutput!J29</f>
        <v>0</v>
      </c>
      <c r="L19" s="8">
        <f>Modeloutput!K29</f>
        <v>0</v>
      </c>
      <c r="M19" s="8">
        <f>Modeloutput!L29</f>
        <v>0</v>
      </c>
      <c r="N19" s="8">
        <f>Modeloutput!M29</f>
        <v>0</v>
      </c>
      <c r="O19" s="8">
        <f>Modeloutput!N29</f>
        <v>0</v>
      </c>
      <c r="P19" s="8">
        <f>Modeloutput!O29</f>
        <v>0</v>
      </c>
      <c r="Q19" s="8">
        <f>Modeloutput!P29</f>
        <v>0</v>
      </c>
      <c r="S19" s="7" t="s">
        <v>9</v>
      </c>
      <c r="T19" s="8">
        <f t="shared" si="1"/>
        <v>0</v>
      </c>
      <c r="U19" s="8">
        <f>Modeloutput!C284</f>
        <v>0</v>
      </c>
      <c r="V19" s="8">
        <f>Modeloutput!D284</f>
        <v>0</v>
      </c>
      <c r="W19" s="8">
        <f>Modeloutput!E284</f>
        <v>0</v>
      </c>
      <c r="X19" s="8">
        <f>Modeloutput!F284</f>
        <v>0</v>
      </c>
      <c r="Y19" s="8">
        <f>Modeloutput!G284</f>
        <v>0</v>
      </c>
      <c r="Z19" s="8">
        <f>Modeloutput!H284</f>
        <v>0</v>
      </c>
      <c r="AA19" s="8">
        <f>Modeloutput!I284</f>
        <v>0</v>
      </c>
      <c r="AB19" s="8">
        <f>Modeloutput!J284</f>
        <v>0</v>
      </c>
      <c r="AC19" s="8">
        <f>Modeloutput!K284</f>
        <v>0</v>
      </c>
      <c r="AD19" s="8">
        <f>Modeloutput!L284</f>
        <v>0</v>
      </c>
      <c r="AE19" s="8">
        <f>Modeloutput!M284</f>
        <v>0</v>
      </c>
      <c r="AF19" s="8">
        <f>Modeloutput!N284</f>
        <v>0</v>
      </c>
      <c r="AG19" s="8">
        <f>Modeloutput!O284</f>
        <v>0</v>
      </c>
      <c r="AH19" s="8">
        <f>Modeloutput!P284</f>
        <v>0</v>
      </c>
      <c r="AJ19" s="7" t="s">
        <v>9</v>
      </c>
      <c r="AK19" s="8">
        <f t="shared" si="2"/>
        <v>0</v>
      </c>
      <c r="AL19" s="8">
        <f>Modeloutput!C539</f>
        <v>0</v>
      </c>
      <c r="AM19" s="8">
        <f>Modeloutput!D539</f>
        <v>0</v>
      </c>
      <c r="AN19" s="8">
        <f>Modeloutput!E539</f>
        <v>0</v>
      </c>
      <c r="AO19" s="8">
        <f>Modeloutput!F539</f>
        <v>0</v>
      </c>
      <c r="AP19" s="8">
        <f>Modeloutput!G539</f>
        <v>0</v>
      </c>
      <c r="AQ19" s="8">
        <f>Modeloutput!H539</f>
        <v>0</v>
      </c>
      <c r="AR19" s="8">
        <f>Modeloutput!I539</f>
        <v>0</v>
      </c>
      <c r="AS19" s="8">
        <f>Modeloutput!J539</f>
        <v>0</v>
      </c>
      <c r="AT19" s="8">
        <f>Modeloutput!K539</f>
        <v>0</v>
      </c>
      <c r="AU19" s="8">
        <f>Modeloutput!L539</f>
        <v>0</v>
      </c>
      <c r="AV19" s="8">
        <f>Modeloutput!M539</f>
        <v>0</v>
      </c>
      <c r="AW19" s="8">
        <f>Modeloutput!N539</f>
        <v>0</v>
      </c>
      <c r="AX19" s="8">
        <f>Modeloutput!O539</f>
        <v>0</v>
      </c>
      <c r="AY19" s="8">
        <f>Modeloutput!P539</f>
        <v>0</v>
      </c>
      <c r="BA19" s="7" t="s">
        <v>9</v>
      </c>
      <c r="BB19" s="8">
        <f t="shared" si="3"/>
        <v>0</v>
      </c>
      <c r="BC19" s="8">
        <f>Modeloutput!C794</f>
        <v>0</v>
      </c>
      <c r="BD19" s="8">
        <f>Modeloutput!D794</f>
        <v>0</v>
      </c>
      <c r="BE19" s="8">
        <f>Modeloutput!E794</f>
        <v>0</v>
      </c>
      <c r="BF19" s="8">
        <f>Modeloutput!F794</f>
        <v>0</v>
      </c>
      <c r="BG19" s="8">
        <f>Modeloutput!G794</f>
        <v>0</v>
      </c>
      <c r="BH19" s="8">
        <f>Modeloutput!H794</f>
        <v>0</v>
      </c>
      <c r="BI19" s="8">
        <f>Modeloutput!I794</f>
        <v>0</v>
      </c>
      <c r="BJ19" s="8">
        <f>Modeloutput!J794</f>
        <v>0</v>
      </c>
      <c r="BK19" s="8">
        <f>Modeloutput!K794</f>
        <v>0</v>
      </c>
      <c r="BL19" s="8">
        <f>Modeloutput!L794</f>
        <v>0</v>
      </c>
      <c r="BM19" s="8">
        <f>Modeloutput!M794</f>
        <v>0</v>
      </c>
      <c r="BN19" s="8">
        <f>Modeloutput!N794</f>
        <v>0</v>
      </c>
      <c r="BO19" s="8">
        <f>Modeloutput!O794</f>
        <v>0</v>
      </c>
      <c r="BP19" s="8">
        <f>Modeloutput!P794</f>
        <v>0</v>
      </c>
      <c r="BR19" s="7" t="s">
        <v>9</v>
      </c>
      <c r="BS19" s="8">
        <f t="shared" si="4"/>
        <v>0</v>
      </c>
      <c r="BT19" s="8">
        <f>Modeloutput!C1049</f>
        <v>0</v>
      </c>
      <c r="BU19" s="8">
        <f>Modeloutput!D1049</f>
        <v>0</v>
      </c>
      <c r="BV19" s="8">
        <f>Modeloutput!E1049</f>
        <v>0</v>
      </c>
      <c r="BW19" s="8">
        <f>Modeloutput!F1049</f>
        <v>0</v>
      </c>
      <c r="BX19" s="8">
        <f>Modeloutput!G1049</f>
        <v>0</v>
      </c>
      <c r="BY19" s="8">
        <f>Modeloutput!H1049</f>
        <v>0</v>
      </c>
      <c r="BZ19" s="8">
        <f>Modeloutput!I1049</f>
        <v>0</v>
      </c>
      <c r="CA19" s="8">
        <f>Modeloutput!J1049</f>
        <v>0</v>
      </c>
      <c r="CB19" s="8">
        <f>Modeloutput!K1049</f>
        <v>0</v>
      </c>
      <c r="CC19" s="8">
        <f>Modeloutput!L1049</f>
        <v>0</v>
      </c>
      <c r="CD19" s="8">
        <f>Modeloutput!M1049</f>
        <v>0</v>
      </c>
      <c r="CE19" s="8">
        <f>Modeloutput!N1049</f>
        <v>0</v>
      </c>
      <c r="CF19" s="8">
        <f>Modeloutput!O1049</f>
        <v>0</v>
      </c>
      <c r="CG19" s="8">
        <f>Modeloutput!P1049</f>
        <v>0</v>
      </c>
    </row>
    <row r="20" spans="1:85" s="7" customFormat="1" x14ac:dyDescent="0.25">
      <c r="B20" s="7" t="s">
        <v>10</v>
      </c>
      <c r="C20" s="13">
        <f t="shared" si="0"/>
        <v>27.476899100000001</v>
      </c>
      <c r="D20" s="8">
        <f>Modeloutput!B30</f>
        <v>27.476899100000001</v>
      </c>
      <c r="E20" s="8">
        <f>Modeloutput!D30</f>
        <v>27.476899100000001</v>
      </c>
      <c r="F20" s="8">
        <f>Modeloutput!E30</f>
        <v>0</v>
      </c>
      <c r="G20" s="8">
        <f>Modeloutput!F30</f>
        <v>0</v>
      </c>
      <c r="H20" s="8">
        <f>Modeloutput!G30</f>
        <v>0</v>
      </c>
      <c r="I20" s="8">
        <f>Modeloutput!H30</f>
        <v>0</v>
      </c>
      <c r="J20" s="8">
        <f>Modeloutput!I30</f>
        <v>0</v>
      </c>
      <c r="K20" s="8">
        <f>Modeloutput!J30</f>
        <v>0</v>
      </c>
      <c r="L20" s="8">
        <f>Modeloutput!K30</f>
        <v>27.476899100000001</v>
      </c>
      <c r="M20" s="8">
        <f>Modeloutput!L30</f>
        <v>0</v>
      </c>
      <c r="N20" s="8">
        <f>Modeloutput!M30</f>
        <v>0</v>
      </c>
      <c r="O20" s="8">
        <f>Modeloutput!N30</f>
        <v>0</v>
      </c>
      <c r="P20" s="8">
        <f>Modeloutput!O30</f>
        <v>0</v>
      </c>
      <c r="Q20" s="8">
        <f>Modeloutput!P30</f>
        <v>0</v>
      </c>
      <c r="S20" s="7" t="s">
        <v>10</v>
      </c>
      <c r="T20" s="13">
        <f t="shared" si="1"/>
        <v>27.476899100000001</v>
      </c>
      <c r="U20" s="8">
        <f>Modeloutput!C285</f>
        <v>0</v>
      </c>
      <c r="V20" s="8">
        <f>Modeloutput!D285</f>
        <v>27.476899100000001</v>
      </c>
      <c r="W20" s="8">
        <f>Modeloutput!E285</f>
        <v>0</v>
      </c>
      <c r="X20" s="8">
        <f>Modeloutput!F285</f>
        <v>0</v>
      </c>
      <c r="Y20" s="8">
        <f>Modeloutput!G285</f>
        <v>0</v>
      </c>
      <c r="Z20" s="8">
        <f>Modeloutput!H285</f>
        <v>0</v>
      </c>
      <c r="AA20" s="8">
        <f>Modeloutput!I285</f>
        <v>0</v>
      </c>
      <c r="AB20" s="8">
        <f>Modeloutput!J285</f>
        <v>0</v>
      </c>
      <c r="AC20" s="8">
        <f>Modeloutput!K285</f>
        <v>27.476899100000001</v>
      </c>
      <c r="AD20" s="8">
        <f>Modeloutput!L285</f>
        <v>0</v>
      </c>
      <c r="AE20" s="8">
        <f>Modeloutput!M285</f>
        <v>0</v>
      </c>
      <c r="AF20" s="8">
        <f>Modeloutput!N285</f>
        <v>0</v>
      </c>
      <c r="AG20" s="8">
        <f>Modeloutput!O285</f>
        <v>0</v>
      </c>
      <c r="AH20" s="8">
        <f>Modeloutput!P285</f>
        <v>0</v>
      </c>
      <c r="AJ20" s="7" t="s">
        <v>10</v>
      </c>
      <c r="AK20" s="13">
        <f t="shared" si="2"/>
        <v>27.476899100000001</v>
      </c>
      <c r="AL20" s="8">
        <f>Modeloutput!C540</f>
        <v>0</v>
      </c>
      <c r="AM20" s="8">
        <f>Modeloutput!D540</f>
        <v>27.476899100000001</v>
      </c>
      <c r="AN20" s="8">
        <f>Modeloutput!E540</f>
        <v>0</v>
      </c>
      <c r="AO20" s="8">
        <f>Modeloutput!F540</f>
        <v>0</v>
      </c>
      <c r="AP20" s="8">
        <f>Modeloutput!G540</f>
        <v>0</v>
      </c>
      <c r="AQ20" s="8">
        <f>Modeloutput!H540</f>
        <v>0</v>
      </c>
      <c r="AR20" s="8">
        <f>Modeloutput!I540</f>
        <v>0</v>
      </c>
      <c r="AS20" s="8">
        <f>Modeloutput!J540</f>
        <v>0</v>
      </c>
      <c r="AT20" s="8">
        <f>Modeloutput!K540</f>
        <v>27.476899100000001</v>
      </c>
      <c r="AU20" s="8">
        <f>Modeloutput!L540</f>
        <v>0</v>
      </c>
      <c r="AV20" s="8">
        <f>Modeloutput!M540</f>
        <v>0</v>
      </c>
      <c r="AW20" s="8">
        <f>Modeloutput!N540</f>
        <v>0</v>
      </c>
      <c r="AX20" s="8">
        <f>Modeloutput!O540</f>
        <v>0</v>
      </c>
      <c r="AY20" s="8">
        <f>Modeloutput!P540</f>
        <v>0</v>
      </c>
      <c r="BA20" s="7" t="s">
        <v>10</v>
      </c>
      <c r="BB20" s="13">
        <f t="shared" si="3"/>
        <v>27.476899100000001</v>
      </c>
      <c r="BC20" s="8">
        <f>Modeloutput!C795</f>
        <v>0</v>
      </c>
      <c r="BD20" s="8">
        <f>Modeloutput!D795</f>
        <v>27.476899100000001</v>
      </c>
      <c r="BE20" s="8">
        <f>Modeloutput!E795</f>
        <v>0</v>
      </c>
      <c r="BF20" s="8">
        <f>Modeloutput!F795</f>
        <v>0</v>
      </c>
      <c r="BG20" s="8">
        <f>Modeloutput!G795</f>
        <v>0</v>
      </c>
      <c r="BH20" s="8">
        <f>Modeloutput!H795</f>
        <v>0</v>
      </c>
      <c r="BI20" s="8">
        <f>Modeloutput!I795</f>
        <v>0</v>
      </c>
      <c r="BJ20" s="8">
        <f>Modeloutput!J795</f>
        <v>0</v>
      </c>
      <c r="BK20" s="8">
        <f>Modeloutput!K795</f>
        <v>27.476899100000001</v>
      </c>
      <c r="BL20" s="8">
        <f>Modeloutput!L795</f>
        <v>0</v>
      </c>
      <c r="BM20" s="8">
        <f>Modeloutput!M795</f>
        <v>0</v>
      </c>
      <c r="BN20" s="8">
        <f>Modeloutput!N795</f>
        <v>0</v>
      </c>
      <c r="BO20" s="8">
        <f>Modeloutput!O795</f>
        <v>0</v>
      </c>
      <c r="BP20" s="8">
        <f>Modeloutput!P795</f>
        <v>0</v>
      </c>
      <c r="BR20" s="7" t="s">
        <v>10</v>
      </c>
      <c r="BS20" s="13">
        <f t="shared" si="4"/>
        <v>27.476899100000001</v>
      </c>
      <c r="BT20" s="8">
        <f>Modeloutput!C1050</f>
        <v>0</v>
      </c>
      <c r="BU20" s="8">
        <f>Modeloutput!D1050</f>
        <v>27.476899100000001</v>
      </c>
      <c r="BV20" s="8">
        <f>Modeloutput!E1050</f>
        <v>0</v>
      </c>
      <c r="BW20" s="8">
        <f>Modeloutput!F1050</f>
        <v>0</v>
      </c>
      <c r="BX20" s="8">
        <f>Modeloutput!G1050</f>
        <v>0</v>
      </c>
      <c r="BY20" s="8">
        <f>Modeloutput!H1050</f>
        <v>0</v>
      </c>
      <c r="BZ20" s="8">
        <f>Modeloutput!I1050</f>
        <v>0</v>
      </c>
      <c r="CA20" s="8">
        <f>Modeloutput!J1050</f>
        <v>0</v>
      </c>
      <c r="CB20" s="8">
        <f>Modeloutput!K1050</f>
        <v>27.476899100000001</v>
      </c>
      <c r="CC20" s="8">
        <f>Modeloutput!L1050</f>
        <v>0</v>
      </c>
      <c r="CD20" s="8">
        <f>Modeloutput!M1050</f>
        <v>0</v>
      </c>
      <c r="CE20" s="8">
        <f>Modeloutput!N1050</f>
        <v>0</v>
      </c>
      <c r="CF20" s="8">
        <f>Modeloutput!O1050</f>
        <v>0</v>
      </c>
      <c r="CG20" s="8">
        <f>Modeloutput!P1050</f>
        <v>0</v>
      </c>
    </row>
    <row r="21" spans="1:85" s="7" customFormat="1" x14ac:dyDescent="0.25">
      <c r="B21" s="7" t="s">
        <v>11</v>
      </c>
      <c r="C21" s="13">
        <f t="shared" si="0"/>
        <v>1.550319067</v>
      </c>
      <c r="D21" s="8">
        <f>Modeloutput!B31</f>
        <v>1.55031907</v>
      </c>
      <c r="E21" s="8">
        <f>Modeloutput!D31</f>
        <v>1.55031907</v>
      </c>
      <c r="F21" s="8">
        <f>Modeloutput!E31</f>
        <v>0.80236760600000001</v>
      </c>
      <c r="G21" s="8">
        <f>Modeloutput!F31</f>
        <v>0</v>
      </c>
      <c r="H21" s="8">
        <f>Modeloutput!G31</f>
        <v>0.74795146099999998</v>
      </c>
      <c r="I21" s="8">
        <f>Modeloutput!H31</f>
        <v>0</v>
      </c>
      <c r="J21" s="8">
        <f>Modeloutput!I31</f>
        <v>0</v>
      </c>
      <c r="K21" s="8">
        <f>Modeloutput!J31</f>
        <v>0</v>
      </c>
      <c r="L21" s="8">
        <f>Modeloutput!K31</f>
        <v>0</v>
      </c>
      <c r="M21" s="8">
        <f>Modeloutput!L31</f>
        <v>0</v>
      </c>
      <c r="N21" s="8">
        <f>Modeloutput!M31</f>
        <v>0</v>
      </c>
      <c r="O21" s="8">
        <f>Modeloutput!N31</f>
        <v>0</v>
      </c>
      <c r="P21" s="8">
        <f>Modeloutput!O31</f>
        <v>0</v>
      </c>
      <c r="Q21" s="8">
        <f>Modeloutput!P31</f>
        <v>0</v>
      </c>
      <c r="S21" s="7" t="s">
        <v>11</v>
      </c>
      <c r="T21" s="13">
        <f t="shared" si="1"/>
        <v>1.550319067</v>
      </c>
      <c r="U21" s="8">
        <f>Modeloutput!C286</f>
        <v>0</v>
      </c>
      <c r="V21" s="8">
        <f>Modeloutput!D286</f>
        <v>1.55031907</v>
      </c>
      <c r="W21" s="8">
        <f>Modeloutput!E286</f>
        <v>0.80236760600000001</v>
      </c>
      <c r="X21" s="8">
        <f>Modeloutput!F286</f>
        <v>0</v>
      </c>
      <c r="Y21" s="8">
        <f>Modeloutput!G286</f>
        <v>0.74795146099999998</v>
      </c>
      <c r="Z21" s="8">
        <f>Modeloutput!H286</f>
        <v>0</v>
      </c>
      <c r="AA21" s="8">
        <f>Modeloutput!I286</f>
        <v>0</v>
      </c>
      <c r="AB21" s="8">
        <f>Modeloutput!J286</f>
        <v>0</v>
      </c>
      <c r="AC21" s="8">
        <f>Modeloutput!K286</f>
        <v>0</v>
      </c>
      <c r="AD21" s="8">
        <f>Modeloutput!L286</f>
        <v>0</v>
      </c>
      <c r="AE21" s="8">
        <f>Modeloutput!M286</f>
        <v>0</v>
      </c>
      <c r="AF21" s="8">
        <f>Modeloutput!N286</f>
        <v>0</v>
      </c>
      <c r="AG21" s="8">
        <f>Modeloutput!O286</f>
        <v>0</v>
      </c>
      <c r="AH21" s="8">
        <f>Modeloutput!P286</f>
        <v>0</v>
      </c>
      <c r="AJ21" s="7" t="s">
        <v>11</v>
      </c>
      <c r="AK21" s="13">
        <f t="shared" si="2"/>
        <v>1.550319067</v>
      </c>
      <c r="AL21" s="8">
        <f>Modeloutput!C541</f>
        <v>0</v>
      </c>
      <c r="AM21" s="8">
        <f>Modeloutput!D541</f>
        <v>1.55031907</v>
      </c>
      <c r="AN21" s="8">
        <f>Modeloutput!E541</f>
        <v>0.80236760600000001</v>
      </c>
      <c r="AO21" s="8">
        <f>Modeloutput!F541</f>
        <v>0</v>
      </c>
      <c r="AP21" s="8">
        <f>Modeloutput!G541</f>
        <v>0.74795146099999998</v>
      </c>
      <c r="AQ21" s="8">
        <f>Modeloutput!H541</f>
        <v>0</v>
      </c>
      <c r="AR21" s="8">
        <f>Modeloutput!I541</f>
        <v>0</v>
      </c>
      <c r="AS21" s="8">
        <f>Modeloutput!J541</f>
        <v>0</v>
      </c>
      <c r="AT21" s="8">
        <f>Modeloutput!K541</f>
        <v>0</v>
      </c>
      <c r="AU21" s="8">
        <f>Modeloutput!L541</f>
        <v>0</v>
      </c>
      <c r="AV21" s="8">
        <f>Modeloutput!M541</f>
        <v>0</v>
      </c>
      <c r="AW21" s="8">
        <f>Modeloutput!N541</f>
        <v>0</v>
      </c>
      <c r="AX21" s="8">
        <f>Modeloutput!O541</f>
        <v>0</v>
      </c>
      <c r="AY21" s="8">
        <f>Modeloutput!P541</f>
        <v>0</v>
      </c>
      <c r="BA21" s="7" t="s">
        <v>11</v>
      </c>
      <c r="BB21" s="13">
        <f t="shared" si="3"/>
        <v>1.550319067</v>
      </c>
      <c r="BC21" s="8">
        <f>Modeloutput!C796</f>
        <v>0</v>
      </c>
      <c r="BD21" s="8">
        <f>Modeloutput!D796</f>
        <v>1.55031907</v>
      </c>
      <c r="BE21" s="8">
        <f>Modeloutput!E796</f>
        <v>0.80236760600000001</v>
      </c>
      <c r="BF21" s="8">
        <f>Modeloutput!F796</f>
        <v>0</v>
      </c>
      <c r="BG21" s="8">
        <f>Modeloutput!G796</f>
        <v>0.74795146099999998</v>
      </c>
      <c r="BH21" s="8">
        <f>Modeloutput!H796</f>
        <v>0</v>
      </c>
      <c r="BI21" s="8">
        <f>Modeloutput!I796</f>
        <v>0</v>
      </c>
      <c r="BJ21" s="8">
        <f>Modeloutput!J796</f>
        <v>0</v>
      </c>
      <c r="BK21" s="8">
        <f>Modeloutput!K796</f>
        <v>0</v>
      </c>
      <c r="BL21" s="8">
        <f>Modeloutput!L796</f>
        <v>0</v>
      </c>
      <c r="BM21" s="8">
        <f>Modeloutput!M796</f>
        <v>0</v>
      </c>
      <c r="BN21" s="8">
        <f>Modeloutput!N796</f>
        <v>0</v>
      </c>
      <c r="BO21" s="8">
        <f>Modeloutput!O796</f>
        <v>0</v>
      </c>
      <c r="BP21" s="8">
        <f>Modeloutput!P796</f>
        <v>0</v>
      </c>
      <c r="BR21" s="7" t="s">
        <v>11</v>
      </c>
      <c r="BS21" s="13">
        <f t="shared" si="4"/>
        <v>1.550319067</v>
      </c>
      <c r="BT21" s="8">
        <f>Modeloutput!C1051</f>
        <v>0</v>
      </c>
      <c r="BU21" s="8">
        <f>Modeloutput!D1051</f>
        <v>1.55031907</v>
      </c>
      <c r="BV21" s="8">
        <f>Modeloutput!E1051</f>
        <v>0.80236760600000001</v>
      </c>
      <c r="BW21" s="8">
        <f>Modeloutput!F1051</f>
        <v>0</v>
      </c>
      <c r="BX21" s="8">
        <f>Modeloutput!G1051</f>
        <v>0.74795146099999998</v>
      </c>
      <c r="BY21" s="8">
        <f>Modeloutput!H1051</f>
        <v>0</v>
      </c>
      <c r="BZ21" s="8">
        <f>Modeloutput!I1051</f>
        <v>0</v>
      </c>
      <c r="CA21" s="8">
        <f>Modeloutput!J1051</f>
        <v>0</v>
      </c>
      <c r="CB21" s="8">
        <f>Modeloutput!K1051</f>
        <v>0</v>
      </c>
      <c r="CC21" s="8">
        <f>Modeloutput!L1051</f>
        <v>0</v>
      </c>
      <c r="CD21" s="8">
        <f>Modeloutput!M1051</f>
        <v>0</v>
      </c>
      <c r="CE21" s="8">
        <f>Modeloutput!N1051</f>
        <v>0</v>
      </c>
      <c r="CF21" s="8">
        <f>Modeloutput!O1051</f>
        <v>0</v>
      </c>
      <c r="CG21" s="8">
        <f>Modeloutput!P1051</f>
        <v>0</v>
      </c>
    </row>
    <row r="22" spans="1:85" s="7" customFormat="1" x14ac:dyDescent="0.25">
      <c r="B22" s="7" t="s">
        <v>12</v>
      </c>
      <c r="C22" s="14">
        <f t="shared" si="0"/>
        <v>77.380985680000009</v>
      </c>
      <c r="D22" s="8">
        <f>Modeloutput!B32</f>
        <v>77.380985600000002</v>
      </c>
      <c r="E22" s="8">
        <f>Modeloutput!D32</f>
        <v>77.380985600000002</v>
      </c>
      <c r="F22" s="8">
        <f>Modeloutput!E32</f>
        <v>62.626249000000001</v>
      </c>
      <c r="G22" s="8">
        <f>Modeloutput!F32</f>
        <v>0</v>
      </c>
      <c r="H22" s="8">
        <f>Modeloutput!G32</f>
        <v>12.2235765</v>
      </c>
      <c r="I22" s="8">
        <f>Modeloutput!H32</f>
        <v>0</v>
      </c>
      <c r="J22" s="8">
        <f>Modeloutput!I32</f>
        <v>0</v>
      </c>
      <c r="K22" s="8">
        <f>Modeloutput!J32</f>
        <v>0</v>
      </c>
      <c r="L22" s="8">
        <f>Modeloutput!K32</f>
        <v>2.5311601800000001</v>
      </c>
      <c r="M22" s="8">
        <f>Modeloutput!L32</f>
        <v>0</v>
      </c>
      <c r="N22" s="8">
        <f>Modeloutput!M32</f>
        <v>0</v>
      </c>
      <c r="O22" s="8">
        <f>Modeloutput!N32</f>
        <v>0</v>
      </c>
      <c r="P22" s="8">
        <f>Modeloutput!O32</f>
        <v>0</v>
      </c>
      <c r="Q22" s="8">
        <f>Modeloutput!P32</f>
        <v>0</v>
      </c>
      <c r="S22" s="7" t="s">
        <v>12</v>
      </c>
      <c r="T22" s="14">
        <f t="shared" si="1"/>
        <v>77.380985680000009</v>
      </c>
      <c r="U22" s="8">
        <f>Modeloutput!C287</f>
        <v>-1.8194714400000001E-13</v>
      </c>
      <c r="V22" s="8">
        <f>Modeloutput!D287</f>
        <v>77.380985600000002</v>
      </c>
      <c r="W22" s="8">
        <f>Modeloutput!E287</f>
        <v>62.626249000000001</v>
      </c>
      <c r="X22" s="8">
        <f>Modeloutput!F287</f>
        <v>0</v>
      </c>
      <c r="Y22" s="8">
        <f>Modeloutput!G287</f>
        <v>12.2235765</v>
      </c>
      <c r="Z22" s="8">
        <f>Modeloutput!H287</f>
        <v>0</v>
      </c>
      <c r="AA22" s="8">
        <f>Modeloutput!I287</f>
        <v>0</v>
      </c>
      <c r="AB22" s="8">
        <f>Modeloutput!J287</f>
        <v>0</v>
      </c>
      <c r="AC22" s="8">
        <f>Modeloutput!K287</f>
        <v>2.5311601800000001</v>
      </c>
      <c r="AD22" s="8">
        <f>Modeloutput!L287</f>
        <v>0</v>
      </c>
      <c r="AE22" s="8">
        <f>Modeloutput!M287</f>
        <v>0</v>
      </c>
      <c r="AF22" s="8">
        <f>Modeloutput!N287</f>
        <v>0</v>
      </c>
      <c r="AG22" s="8">
        <f>Modeloutput!O287</f>
        <v>0</v>
      </c>
      <c r="AH22" s="8">
        <f>Modeloutput!P287</f>
        <v>0</v>
      </c>
      <c r="AJ22" s="7" t="s">
        <v>12</v>
      </c>
      <c r="AK22" s="14">
        <f t="shared" si="2"/>
        <v>77.380985680000009</v>
      </c>
      <c r="AL22" s="8">
        <f>Modeloutput!C542</f>
        <v>-1.8194714400000001E-13</v>
      </c>
      <c r="AM22" s="8">
        <f>Modeloutput!D542</f>
        <v>77.380985600000002</v>
      </c>
      <c r="AN22" s="8">
        <f>Modeloutput!E542</f>
        <v>62.626249000000001</v>
      </c>
      <c r="AO22" s="8">
        <f>Modeloutput!F542</f>
        <v>0</v>
      </c>
      <c r="AP22" s="8">
        <f>Modeloutput!G542</f>
        <v>12.2235765</v>
      </c>
      <c r="AQ22" s="8">
        <f>Modeloutput!H542</f>
        <v>0</v>
      </c>
      <c r="AR22" s="8">
        <f>Modeloutput!I542</f>
        <v>0</v>
      </c>
      <c r="AS22" s="8">
        <f>Modeloutput!J542</f>
        <v>0</v>
      </c>
      <c r="AT22" s="8">
        <f>Modeloutput!K542</f>
        <v>2.5311601800000001</v>
      </c>
      <c r="AU22" s="8">
        <f>Modeloutput!L542</f>
        <v>0</v>
      </c>
      <c r="AV22" s="8">
        <f>Modeloutput!M542</f>
        <v>0</v>
      </c>
      <c r="AW22" s="8">
        <f>Modeloutput!N542</f>
        <v>0</v>
      </c>
      <c r="AX22" s="8">
        <f>Modeloutput!O542</f>
        <v>0</v>
      </c>
      <c r="AY22" s="8">
        <f>Modeloutput!P542</f>
        <v>0</v>
      </c>
      <c r="BA22" s="7" t="s">
        <v>12</v>
      </c>
      <c r="BB22" s="14">
        <f t="shared" si="3"/>
        <v>77.380985680000009</v>
      </c>
      <c r="BC22" s="8">
        <f>Modeloutput!C797</f>
        <v>-1.8194714400000001E-13</v>
      </c>
      <c r="BD22" s="8">
        <f>Modeloutput!D797</f>
        <v>77.380985600000002</v>
      </c>
      <c r="BE22" s="8">
        <f>Modeloutput!E797</f>
        <v>62.626249000000001</v>
      </c>
      <c r="BF22" s="8">
        <f>Modeloutput!F797</f>
        <v>0</v>
      </c>
      <c r="BG22" s="8">
        <f>Modeloutput!G797</f>
        <v>12.2235765</v>
      </c>
      <c r="BH22" s="8">
        <f>Modeloutput!H797</f>
        <v>0</v>
      </c>
      <c r="BI22" s="8">
        <f>Modeloutput!I797</f>
        <v>0</v>
      </c>
      <c r="BJ22" s="8">
        <f>Modeloutput!J797</f>
        <v>0</v>
      </c>
      <c r="BK22" s="8">
        <f>Modeloutput!K797</f>
        <v>2.5311601800000001</v>
      </c>
      <c r="BL22" s="8">
        <f>Modeloutput!L797</f>
        <v>0</v>
      </c>
      <c r="BM22" s="8">
        <f>Modeloutput!M797</f>
        <v>0</v>
      </c>
      <c r="BN22" s="8">
        <f>Modeloutput!N797</f>
        <v>0</v>
      </c>
      <c r="BO22" s="8">
        <f>Modeloutput!O797</f>
        <v>0</v>
      </c>
      <c r="BP22" s="8">
        <f>Modeloutput!P797</f>
        <v>0</v>
      </c>
      <c r="BR22" s="7" t="s">
        <v>12</v>
      </c>
      <c r="BS22" s="14">
        <f t="shared" si="4"/>
        <v>77.380985680000009</v>
      </c>
      <c r="BT22" s="8">
        <f>Modeloutput!C1052</f>
        <v>-1.8194714400000001E-13</v>
      </c>
      <c r="BU22" s="8">
        <f>Modeloutput!D1052</f>
        <v>77.380985600000002</v>
      </c>
      <c r="BV22" s="8">
        <f>Modeloutput!E1052</f>
        <v>62.626249000000001</v>
      </c>
      <c r="BW22" s="8">
        <f>Modeloutput!F1052</f>
        <v>0</v>
      </c>
      <c r="BX22" s="8">
        <f>Modeloutput!G1052</f>
        <v>12.2235765</v>
      </c>
      <c r="BY22" s="8">
        <f>Modeloutput!H1052</f>
        <v>0</v>
      </c>
      <c r="BZ22" s="8">
        <f>Modeloutput!I1052</f>
        <v>0</v>
      </c>
      <c r="CA22" s="8">
        <f>Modeloutput!J1052</f>
        <v>0</v>
      </c>
      <c r="CB22" s="8">
        <f>Modeloutput!K1052</f>
        <v>2.5311601800000001</v>
      </c>
      <c r="CC22" s="8">
        <f>Modeloutput!L1052</f>
        <v>0</v>
      </c>
      <c r="CD22" s="8">
        <f>Modeloutput!M1052</f>
        <v>0</v>
      </c>
      <c r="CE22" s="8">
        <f>Modeloutput!N1052</f>
        <v>0</v>
      </c>
      <c r="CF22" s="8">
        <f>Modeloutput!O1052</f>
        <v>0</v>
      </c>
      <c r="CG22" s="8">
        <f>Modeloutput!P1052</f>
        <v>0</v>
      </c>
    </row>
    <row r="23" spans="1:85" s="7" customFormat="1" x14ac:dyDescent="0.25">
      <c r="B23" s="7" t="s">
        <v>13</v>
      </c>
      <c r="C23" s="14">
        <f t="shared" si="0"/>
        <v>52.698576800000005</v>
      </c>
      <c r="D23" s="8">
        <f>Modeloutput!B33</f>
        <v>52.698576899999999</v>
      </c>
      <c r="E23" s="8">
        <f>Modeloutput!D33</f>
        <v>52.698576899999999</v>
      </c>
      <c r="F23" s="8">
        <f>Modeloutput!E33</f>
        <v>40.555668500000003</v>
      </c>
      <c r="G23" s="8">
        <f>Modeloutput!F33</f>
        <v>0</v>
      </c>
      <c r="H23" s="8">
        <f>Modeloutput!G33</f>
        <v>0</v>
      </c>
      <c r="I23" s="8">
        <f>Modeloutput!H33</f>
        <v>0</v>
      </c>
      <c r="J23" s="8">
        <f>Modeloutput!I33</f>
        <v>0</v>
      </c>
      <c r="K23" s="8">
        <f>Modeloutput!J33</f>
        <v>0</v>
      </c>
      <c r="L23" s="8">
        <f>Modeloutput!K33</f>
        <v>12.1429083</v>
      </c>
      <c r="M23" s="8">
        <f>Modeloutput!L33</f>
        <v>0</v>
      </c>
      <c r="N23" s="8">
        <f>Modeloutput!M33</f>
        <v>0</v>
      </c>
      <c r="O23" s="8">
        <f>Modeloutput!N33</f>
        <v>0</v>
      </c>
      <c r="P23" s="8">
        <f>Modeloutput!O33</f>
        <v>0</v>
      </c>
      <c r="Q23" s="8">
        <f>Modeloutput!P33</f>
        <v>0</v>
      </c>
      <c r="S23" s="7" t="s">
        <v>13</v>
      </c>
      <c r="T23" s="14">
        <f t="shared" si="1"/>
        <v>52.698576800000005</v>
      </c>
      <c r="U23" s="8">
        <f>Modeloutput!C288</f>
        <v>0</v>
      </c>
      <c r="V23" s="8">
        <f>Modeloutput!D288</f>
        <v>52.698576899999999</v>
      </c>
      <c r="W23" s="8">
        <f>Modeloutput!E288</f>
        <v>40.555668500000003</v>
      </c>
      <c r="X23" s="8">
        <f>Modeloutput!F288</f>
        <v>0</v>
      </c>
      <c r="Y23" s="8">
        <f>Modeloutput!G288</f>
        <v>0</v>
      </c>
      <c r="Z23" s="8">
        <f>Modeloutput!H288</f>
        <v>0</v>
      </c>
      <c r="AA23" s="8">
        <f>Modeloutput!I288</f>
        <v>0</v>
      </c>
      <c r="AB23" s="8">
        <f>Modeloutput!J288</f>
        <v>0</v>
      </c>
      <c r="AC23" s="8">
        <f>Modeloutput!K288</f>
        <v>12.1429083</v>
      </c>
      <c r="AD23" s="8">
        <f>Modeloutput!L288</f>
        <v>0</v>
      </c>
      <c r="AE23" s="8">
        <f>Modeloutput!M288</f>
        <v>0</v>
      </c>
      <c r="AF23" s="8">
        <f>Modeloutput!N288</f>
        <v>0</v>
      </c>
      <c r="AG23" s="8">
        <f>Modeloutput!O288</f>
        <v>0</v>
      </c>
      <c r="AH23" s="8">
        <f>Modeloutput!P288</f>
        <v>0</v>
      </c>
      <c r="AJ23" s="7" t="s">
        <v>13</v>
      </c>
      <c r="AK23" s="14">
        <f t="shared" si="2"/>
        <v>52.698576800000005</v>
      </c>
      <c r="AL23" s="8">
        <f>Modeloutput!C543</f>
        <v>0</v>
      </c>
      <c r="AM23" s="8">
        <f>Modeloutput!D543</f>
        <v>52.698576899999999</v>
      </c>
      <c r="AN23" s="8">
        <f>Modeloutput!E543</f>
        <v>40.555668500000003</v>
      </c>
      <c r="AO23" s="8">
        <f>Modeloutput!F543</f>
        <v>0</v>
      </c>
      <c r="AP23" s="8">
        <f>Modeloutput!G543</f>
        <v>0</v>
      </c>
      <c r="AQ23" s="8">
        <f>Modeloutput!H543</f>
        <v>0</v>
      </c>
      <c r="AR23" s="8">
        <f>Modeloutput!I543</f>
        <v>0</v>
      </c>
      <c r="AS23" s="8">
        <f>Modeloutput!J543</f>
        <v>0</v>
      </c>
      <c r="AT23" s="8">
        <f>Modeloutput!K543</f>
        <v>12.1429083</v>
      </c>
      <c r="AU23" s="8">
        <f>Modeloutput!L543</f>
        <v>0</v>
      </c>
      <c r="AV23" s="8">
        <f>Modeloutput!M543</f>
        <v>0</v>
      </c>
      <c r="AW23" s="8">
        <f>Modeloutput!N543</f>
        <v>0</v>
      </c>
      <c r="AX23" s="8">
        <f>Modeloutput!O543</f>
        <v>0</v>
      </c>
      <c r="AY23" s="8">
        <f>Modeloutput!P543</f>
        <v>0</v>
      </c>
      <c r="BA23" s="7" t="s">
        <v>13</v>
      </c>
      <c r="BB23" s="14">
        <f t="shared" si="3"/>
        <v>52.698576800000005</v>
      </c>
      <c r="BC23" s="8">
        <f>Modeloutput!C798</f>
        <v>0</v>
      </c>
      <c r="BD23" s="8">
        <f>Modeloutput!D798</f>
        <v>52.698576899999999</v>
      </c>
      <c r="BE23" s="8">
        <f>Modeloutput!E798</f>
        <v>40.555668500000003</v>
      </c>
      <c r="BF23" s="8">
        <f>Modeloutput!F798</f>
        <v>0</v>
      </c>
      <c r="BG23" s="8">
        <f>Modeloutput!G798</f>
        <v>0</v>
      </c>
      <c r="BH23" s="8">
        <f>Modeloutput!H798</f>
        <v>0</v>
      </c>
      <c r="BI23" s="8">
        <f>Modeloutput!I798</f>
        <v>0</v>
      </c>
      <c r="BJ23" s="8">
        <f>Modeloutput!J798</f>
        <v>0</v>
      </c>
      <c r="BK23" s="8">
        <f>Modeloutput!K798</f>
        <v>12.1429083</v>
      </c>
      <c r="BL23" s="8">
        <f>Modeloutput!L798</f>
        <v>0</v>
      </c>
      <c r="BM23" s="8">
        <f>Modeloutput!M798</f>
        <v>0</v>
      </c>
      <c r="BN23" s="8">
        <f>Modeloutput!N798</f>
        <v>0</v>
      </c>
      <c r="BO23" s="8">
        <f>Modeloutput!O798</f>
        <v>0</v>
      </c>
      <c r="BP23" s="8">
        <f>Modeloutput!P798</f>
        <v>0</v>
      </c>
      <c r="BR23" s="7" t="s">
        <v>13</v>
      </c>
      <c r="BS23" s="14">
        <f t="shared" si="4"/>
        <v>52.698576800000005</v>
      </c>
      <c r="BT23" s="8">
        <f>Modeloutput!C1053</f>
        <v>0</v>
      </c>
      <c r="BU23" s="8">
        <f>Modeloutput!D1053</f>
        <v>52.698576899999999</v>
      </c>
      <c r="BV23" s="8">
        <f>Modeloutput!E1053</f>
        <v>40.555668500000003</v>
      </c>
      <c r="BW23" s="8">
        <f>Modeloutput!F1053</f>
        <v>0</v>
      </c>
      <c r="BX23" s="8">
        <f>Modeloutput!G1053</f>
        <v>0</v>
      </c>
      <c r="BY23" s="8">
        <f>Modeloutput!H1053</f>
        <v>0</v>
      </c>
      <c r="BZ23" s="8">
        <f>Modeloutput!I1053</f>
        <v>0</v>
      </c>
      <c r="CA23" s="8">
        <f>Modeloutput!J1053</f>
        <v>0</v>
      </c>
      <c r="CB23" s="8">
        <f>Modeloutput!K1053</f>
        <v>12.1429083</v>
      </c>
      <c r="CC23" s="8">
        <f>Modeloutput!L1053</f>
        <v>0</v>
      </c>
      <c r="CD23" s="8">
        <f>Modeloutput!M1053</f>
        <v>0</v>
      </c>
      <c r="CE23" s="8">
        <f>Modeloutput!N1053</f>
        <v>0</v>
      </c>
      <c r="CF23" s="8">
        <f>Modeloutput!O1053</f>
        <v>0</v>
      </c>
      <c r="CG23" s="8">
        <f>Modeloutput!P1053</f>
        <v>0</v>
      </c>
    </row>
    <row r="24" spans="1:85" s="7" customFormat="1" x14ac:dyDescent="0.25">
      <c r="B24" s="7" t="s">
        <v>14</v>
      </c>
      <c r="C24" s="22">
        <f t="shared" si="0"/>
        <v>-1.1101365089999999E-13</v>
      </c>
      <c r="D24" s="8">
        <f>Modeloutput!B34</f>
        <v>-1.11013651E-13</v>
      </c>
      <c r="E24" s="8">
        <f>Modeloutput!D34</f>
        <v>-1.11013651E-13</v>
      </c>
      <c r="F24" s="8">
        <f>Modeloutput!E34</f>
        <v>-8.8661909099999998E-14</v>
      </c>
      <c r="G24" s="8">
        <f>Modeloutput!F34</f>
        <v>0</v>
      </c>
      <c r="H24" s="8">
        <f>Modeloutput!G34</f>
        <v>-2.2351741799999999E-14</v>
      </c>
      <c r="I24" s="8">
        <f>Modeloutput!H34</f>
        <v>0</v>
      </c>
      <c r="J24" s="8">
        <f>Modeloutput!I34</f>
        <v>0</v>
      </c>
      <c r="K24" s="8">
        <f>Modeloutput!J34</f>
        <v>0</v>
      </c>
      <c r="L24" s="8">
        <f>Modeloutput!K34</f>
        <v>0</v>
      </c>
      <c r="M24" s="8">
        <f>Modeloutput!L34</f>
        <v>0</v>
      </c>
      <c r="N24" s="8">
        <f>Modeloutput!M34</f>
        <v>0</v>
      </c>
      <c r="O24" s="8">
        <f>Modeloutput!N34</f>
        <v>0</v>
      </c>
      <c r="P24" s="8">
        <f>Modeloutput!O34</f>
        <v>0</v>
      </c>
      <c r="Q24" s="8">
        <f>Modeloutput!P34</f>
        <v>0</v>
      </c>
      <c r="S24" s="7" t="s">
        <v>14</v>
      </c>
      <c r="T24" s="22">
        <f t="shared" si="1"/>
        <v>-1.1101365089999999E-13</v>
      </c>
      <c r="U24" s="8">
        <f>Modeloutput!C289</f>
        <v>0</v>
      </c>
      <c r="V24" s="8">
        <f>Modeloutput!D289</f>
        <v>-1.11013651E-13</v>
      </c>
      <c r="W24" s="8">
        <f>Modeloutput!E289</f>
        <v>-8.8661909099999998E-14</v>
      </c>
      <c r="X24" s="8">
        <f>Modeloutput!F289</f>
        <v>0</v>
      </c>
      <c r="Y24" s="8">
        <f>Modeloutput!G289</f>
        <v>-2.2351741799999999E-14</v>
      </c>
      <c r="Z24" s="8">
        <f>Modeloutput!H289</f>
        <v>0</v>
      </c>
      <c r="AA24" s="8">
        <f>Modeloutput!I289</f>
        <v>0</v>
      </c>
      <c r="AB24" s="8">
        <f>Modeloutput!J289</f>
        <v>0</v>
      </c>
      <c r="AC24" s="8">
        <f>Modeloutput!K289</f>
        <v>0</v>
      </c>
      <c r="AD24" s="8">
        <f>Modeloutput!L289</f>
        <v>0</v>
      </c>
      <c r="AE24" s="8">
        <f>Modeloutput!M289</f>
        <v>0</v>
      </c>
      <c r="AF24" s="8">
        <f>Modeloutput!N289</f>
        <v>0</v>
      </c>
      <c r="AG24" s="8">
        <f>Modeloutput!O289</f>
        <v>0</v>
      </c>
      <c r="AH24" s="8">
        <f>Modeloutput!P289</f>
        <v>0</v>
      </c>
      <c r="AJ24" s="7" t="s">
        <v>14</v>
      </c>
      <c r="AK24" s="22">
        <f t="shared" si="2"/>
        <v>-1.1101365089999999E-13</v>
      </c>
      <c r="AL24" s="8">
        <f>Modeloutput!C544</f>
        <v>0</v>
      </c>
      <c r="AM24" s="8">
        <f>Modeloutput!D544</f>
        <v>-1.11013651E-13</v>
      </c>
      <c r="AN24" s="8">
        <f>Modeloutput!E544</f>
        <v>-8.8661909099999998E-14</v>
      </c>
      <c r="AO24" s="8">
        <f>Modeloutput!F544</f>
        <v>0</v>
      </c>
      <c r="AP24" s="8">
        <f>Modeloutput!G544</f>
        <v>-2.2351741799999999E-14</v>
      </c>
      <c r="AQ24" s="8">
        <f>Modeloutput!H544</f>
        <v>0</v>
      </c>
      <c r="AR24" s="8">
        <f>Modeloutput!I544</f>
        <v>0</v>
      </c>
      <c r="AS24" s="8">
        <f>Modeloutput!J544</f>
        <v>0</v>
      </c>
      <c r="AT24" s="8">
        <f>Modeloutput!K544</f>
        <v>0</v>
      </c>
      <c r="AU24" s="8">
        <f>Modeloutput!L544</f>
        <v>0</v>
      </c>
      <c r="AV24" s="8">
        <f>Modeloutput!M544</f>
        <v>0</v>
      </c>
      <c r="AW24" s="8">
        <f>Modeloutput!N544</f>
        <v>0</v>
      </c>
      <c r="AX24" s="8">
        <f>Modeloutput!O544</f>
        <v>0</v>
      </c>
      <c r="AY24" s="8">
        <f>Modeloutput!P544</f>
        <v>0</v>
      </c>
      <c r="BA24" s="7" t="s">
        <v>14</v>
      </c>
      <c r="BB24" s="22">
        <f t="shared" si="3"/>
        <v>-1.1101365089999999E-13</v>
      </c>
      <c r="BC24" s="8">
        <f>Modeloutput!C799</f>
        <v>0</v>
      </c>
      <c r="BD24" s="8">
        <f>Modeloutput!D799</f>
        <v>-1.11013651E-13</v>
      </c>
      <c r="BE24" s="8">
        <f>Modeloutput!E799</f>
        <v>-8.8661909099999998E-14</v>
      </c>
      <c r="BF24" s="8">
        <f>Modeloutput!F799</f>
        <v>0</v>
      </c>
      <c r="BG24" s="8">
        <f>Modeloutput!G799</f>
        <v>-2.2351741799999999E-14</v>
      </c>
      <c r="BH24" s="8">
        <f>Modeloutput!H799</f>
        <v>0</v>
      </c>
      <c r="BI24" s="8">
        <f>Modeloutput!I799</f>
        <v>0</v>
      </c>
      <c r="BJ24" s="8">
        <f>Modeloutput!J799</f>
        <v>0</v>
      </c>
      <c r="BK24" s="8">
        <f>Modeloutput!K799</f>
        <v>0</v>
      </c>
      <c r="BL24" s="8">
        <f>Modeloutput!L799</f>
        <v>0</v>
      </c>
      <c r="BM24" s="8">
        <f>Modeloutput!M799</f>
        <v>0</v>
      </c>
      <c r="BN24" s="8">
        <f>Modeloutput!N799</f>
        <v>0</v>
      </c>
      <c r="BO24" s="8">
        <f>Modeloutput!O799</f>
        <v>0</v>
      </c>
      <c r="BP24" s="8">
        <f>Modeloutput!P799</f>
        <v>0</v>
      </c>
      <c r="BR24" s="7" t="s">
        <v>14</v>
      </c>
      <c r="BS24" s="22">
        <f t="shared" si="4"/>
        <v>-1.1101365089999999E-13</v>
      </c>
      <c r="BT24" s="8">
        <f>Modeloutput!C1054</f>
        <v>0</v>
      </c>
      <c r="BU24" s="8">
        <f>Modeloutput!D1054</f>
        <v>-1.11013651E-13</v>
      </c>
      <c r="BV24" s="8">
        <f>Modeloutput!E1054</f>
        <v>-8.8661909099999998E-14</v>
      </c>
      <c r="BW24" s="8">
        <f>Modeloutput!F1054</f>
        <v>0</v>
      </c>
      <c r="BX24" s="8">
        <f>Modeloutput!G1054</f>
        <v>-2.2351741799999999E-14</v>
      </c>
      <c r="BY24" s="8">
        <f>Modeloutput!H1054</f>
        <v>0</v>
      </c>
      <c r="BZ24" s="8">
        <f>Modeloutput!I1054</f>
        <v>0</v>
      </c>
      <c r="CA24" s="8">
        <f>Modeloutput!J1054</f>
        <v>0</v>
      </c>
      <c r="CB24" s="8">
        <f>Modeloutput!K1054</f>
        <v>0</v>
      </c>
      <c r="CC24" s="8">
        <f>Modeloutput!L1054</f>
        <v>0</v>
      </c>
      <c r="CD24" s="8">
        <f>Modeloutput!M1054</f>
        <v>0</v>
      </c>
      <c r="CE24" s="8">
        <f>Modeloutput!N1054</f>
        <v>0</v>
      </c>
      <c r="CF24" s="8">
        <f>Modeloutput!O1054</f>
        <v>0</v>
      </c>
      <c r="CG24" s="8">
        <f>Modeloutput!P1054</f>
        <v>0</v>
      </c>
    </row>
    <row r="25" spans="1:85" s="7" customFormat="1" x14ac:dyDescent="0.25">
      <c r="B25" s="28" t="s">
        <v>18</v>
      </c>
      <c r="C25" s="29">
        <f t="shared" ref="C25:Q25" si="5">SUM(C11:C24)</f>
        <v>415.94599062699973</v>
      </c>
      <c r="D25" s="29">
        <f t="shared" si="5"/>
        <v>415.94599066999984</v>
      </c>
      <c r="E25" s="29">
        <f t="shared" si="5"/>
        <v>353.68593604999984</v>
      </c>
      <c r="F25" s="29">
        <f t="shared" si="5"/>
        <v>254.0065555059999</v>
      </c>
      <c r="G25" s="29">
        <f t="shared" si="5"/>
        <v>0</v>
      </c>
      <c r="H25" s="29">
        <f t="shared" si="5"/>
        <v>99.679380560999959</v>
      </c>
      <c r="I25" s="29">
        <f t="shared" si="5"/>
        <v>0</v>
      </c>
      <c r="J25" s="29">
        <f t="shared" si="5"/>
        <v>0</v>
      </c>
      <c r="K25" s="29">
        <f t="shared" si="5"/>
        <v>0</v>
      </c>
      <c r="L25" s="29">
        <f t="shared" si="5"/>
        <v>62.26005456</v>
      </c>
      <c r="M25" s="29">
        <f t="shared" si="5"/>
        <v>0</v>
      </c>
      <c r="N25" s="29">
        <f t="shared" si="5"/>
        <v>0</v>
      </c>
      <c r="O25" s="29">
        <f t="shared" si="5"/>
        <v>0</v>
      </c>
      <c r="P25" s="29">
        <f t="shared" si="5"/>
        <v>0</v>
      </c>
      <c r="Q25" s="29">
        <f t="shared" si="5"/>
        <v>-1.8194714332000001E-13</v>
      </c>
      <c r="S25" s="28" t="s">
        <v>18</v>
      </c>
      <c r="T25" s="29">
        <f t="shared" ref="T25:AH25" si="6">SUM(T11:T24)</f>
        <v>415.94599062699973</v>
      </c>
      <c r="U25" s="29">
        <f t="shared" si="6"/>
        <v>62.260054599999812</v>
      </c>
      <c r="V25" s="29">
        <f t="shared" si="6"/>
        <v>353.68593604999984</v>
      </c>
      <c r="W25" s="29">
        <f t="shared" si="6"/>
        <v>254.0065555059999</v>
      </c>
      <c r="X25" s="29">
        <f t="shared" si="6"/>
        <v>0</v>
      </c>
      <c r="Y25" s="29">
        <f t="shared" si="6"/>
        <v>99.679380560999959</v>
      </c>
      <c r="Z25" s="29">
        <f t="shared" si="6"/>
        <v>0</v>
      </c>
      <c r="AA25" s="29">
        <f t="shared" si="6"/>
        <v>0</v>
      </c>
      <c r="AB25" s="29">
        <f t="shared" si="6"/>
        <v>0</v>
      </c>
      <c r="AC25" s="29">
        <f t="shared" si="6"/>
        <v>62.26005456</v>
      </c>
      <c r="AD25" s="29">
        <f t="shared" si="6"/>
        <v>0</v>
      </c>
      <c r="AE25" s="29">
        <f t="shared" si="6"/>
        <v>0</v>
      </c>
      <c r="AF25" s="29">
        <f t="shared" si="6"/>
        <v>0</v>
      </c>
      <c r="AG25" s="29">
        <f t="shared" si="6"/>
        <v>0</v>
      </c>
      <c r="AH25" s="29">
        <f t="shared" si="6"/>
        <v>-1.8194714332000001E-13</v>
      </c>
      <c r="AJ25" s="28" t="s">
        <v>18</v>
      </c>
      <c r="AK25" s="29">
        <f t="shared" ref="AK25:AY25" si="7">SUM(AK11:AK24)</f>
        <v>415.94599062699973</v>
      </c>
      <c r="AL25" s="29">
        <f t="shared" si="7"/>
        <v>62.260054599999812</v>
      </c>
      <c r="AM25" s="29">
        <f t="shared" si="7"/>
        <v>353.68593604999984</v>
      </c>
      <c r="AN25" s="29">
        <f t="shared" si="7"/>
        <v>254.0065555059999</v>
      </c>
      <c r="AO25" s="29">
        <f t="shared" si="7"/>
        <v>0</v>
      </c>
      <c r="AP25" s="29">
        <f t="shared" si="7"/>
        <v>99.679380560999959</v>
      </c>
      <c r="AQ25" s="29">
        <f t="shared" si="7"/>
        <v>0</v>
      </c>
      <c r="AR25" s="29">
        <f t="shared" si="7"/>
        <v>0</v>
      </c>
      <c r="AS25" s="29">
        <f t="shared" si="7"/>
        <v>0</v>
      </c>
      <c r="AT25" s="29">
        <f t="shared" si="7"/>
        <v>62.26005456</v>
      </c>
      <c r="AU25" s="29">
        <f t="shared" si="7"/>
        <v>0</v>
      </c>
      <c r="AV25" s="29">
        <f t="shared" si="7"/>
        <v>0</v>
      </c>
      <c r="AW25" s="29">
        <f t="shared" si="7"/>
        <v>0</v>
      </c>
      <c r="AX25" s="29">
        <f t="shared" si="7"/>
        <v>0</v>
      </c>
      <c r="AY25" s="29">
        <f t="shared" si="7"/>
        <v>-1.8194714332000001E-13</v>
      </c>
      <c r="BA25" s="28" t="s">
        <v>18</v>
      </c>
      <c r="BB25" s="29">
        <f>SUM(BB11:BB24)</f>
        <v>415.94599062699973</v>
      </c>
      <c r="BC25" s="29">
        <f t="shared" ref="BC25:BP25" si="8">SUM(BC11:BC24)</f>
        <v>62.260054599999812</v>
      </c>
      <c r="BD25" s="29">
        <f t="shared" si="8"/>
        <v>353.68593604999984</v>
      </c>
      <c r="BE25" s="29">
        <f t="shared" si="8"/>
        <v>254.0065555059999</v>
      </c>
      <c r="BF25" s="29">
        <f t="shared" si="8"/>
        <v>0</v>
      </c>
      <c r="BG25" s="29">
        <f t="shared" si="8"/>
        <v>99.679380560999959</v>
      </c>
      <c r="BH25" s="29">
        <f t="shared" si="8"/>
        <v>0</v>
      </c>
      <c r="BI25" s="29">
        <f t="shared" si="8"/>
        <v>0</v>
      </c>
      <c r="BJ25" s="29">
        <f t="shared" si="8"/>
        <v>0</v>
      </c>
      <c r="BK25" s="29">
        <f t="shared" si="8"/>
        <v>62.26005456</v>
      </c>
      <c r="BL25" s="29">
        <f t="shared" si="8"/>
        <v>0</v>
      </c>
      <c r="BM25" s="29">
        <f t="shared" si="8"/>
        <v>0</v>
      </c>
      <c r="BN25" s="29">
        <f t="shared" si="8"/>
        <v>0</v>
      </c>
      <c r="BO25" s="29">
        <f t="shared" si="8"/>
        <v>0</v>
      </c>
      <c r="BP25" s="29">
        <f t="shared" si="8"/>
        <v>-1.8194714332000001E-13</v>
      </c>
      <c r="BR25" s="28" t="s">
        <v>18</v>
      </c>
      <c r="BS25" s="29">
        <f t="shared" ref="BS25:CG25" si="9">SUM(BS11:BS24)</f>
        <v>415.94599062699973</v>
      </c>
      <c r="BT25" s="29">
        <f t="shared" si="9"/>
        <v>62.260054599999812</v>
      </c>
      <c r="BU25" s="29">
        <f t="shared" si="9"/>
        <v>353.68593604999984</v>
      </c>
      <c r="BV25" s="29">
        <f t="shared" si="9"/>
        <v>254.0065555059999</v>
      </c>
      <c r="BW25" s="29">
        <f t="shared" si="9"/>
        <v>0</v>
      </c>
      <c r="BX25" s="29">
        <f t="shared" si="9"/>
        <v>99.679380560999959</v>
      </c>
      <c r="BY25" s="29">
        <f t="shared" si="9"/>
        <v>0</v>
      </c>
      <c r="BZ25" s="29">
        <f t="shared" si="9"/>
        <v>0</v>
      </c>
      <c r="CA25" s="29">
        <f t="shared" si="9"/>
        <v>0</v>
      </c>
      <c r="CB25" s="29">
        <f t="shared" si="9"/>
        <v>62.26005456</v>
      </c>
      <c r="CC25" s="29">
        <f t="shared" si="9"/>
        <v>0</v>
      </c>
      <c r="CD25" s="29">
        <f t="shared" si="9"/>
        <v>0</v>
      </c>
      <c r="CE25" s="29">
        <f t="shared" si="9"/>
        <v>0</v>
      </c>
      <c r="CF25" s="29">
        <f t="shared" si="9"/>
        <v>0</v>
      </c>
      <c r="CG25" s="29">
        <f t="shared" si="9"/>
        <v>-1.8194714332000001E-13</v>
      </c>
    </row>
    <row r="26" spans="1:85" s="7" customFormat="1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BA26" s="30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</row>
    <row r="27" spans="1:85" s="7" customFormat="1" x14ac:dyDescent="0.25">
      <c r="B27" s="11" t="s">
        <v>34</v>
      </c>
      <c r="C27" s="16">
        <f>SUM(Cost_Flow!C11:C14)+SUM(Cost_Flow!C20:C21)</f>
        <v>225.46842604699981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S27" s="11" t="s">
        <v>34</v>
      </c>
      <c r="T27" s="16">
        <f>SUM(Cost_Flow!T11:T14)+SUM(Cost_Flow!T20:T21)</f>
        <v>225.46842604699981</v>
      </c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J27" s="11" t="s">
        <v>34</v>
      </c>
      <c r="AK27" s="16">
        <f>SUM(Cost_Flow!AK11:AK14)+SUM(Cost_Flow!AK20:AK21)</f>
        <v>225.46842604699981</v>
      </c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BA27" s="11" t="s">
        <v>34</v>
      </c>
      <c r="BB27" s="16">
        <f>SUM(Cost_Flow!BB11:BB14)+SUM(Cost_Flow!BB20:BB21)</f>
        <v>225.46842604699981</v>
      </c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R27" s="11" t="s">
        <v>34</v>
      </c>
      <c r="BS27" s="16">
        <f>SUM(Cost_Flow!BS11:BS14)+SUM(Cost_Flow!BS20:BS21)</f>
        <v>225.46842604699981</v>
      </c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</row>
    <row r="28" spans="1:85" s="7" customFormat="1" x14ac:dyDescent="0.25">
      <c r="B28" s="17" t="s">
        <v>36</v>
      </c>
      <c r="C28" s="18">
        <f>Cost_Flow!C22+Cost_Flow!C23</f>
        <v>130.07956248000002</v>
      </c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S28" s="17" t="s">
        <v>36</v>
      </c>
      <c r="T28" s="18">
        <f>Cost_Flow!T22+Cost_Flow!T23</f>
        <v>130.07956248000002</v>
      </c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J28" s="17" t="s">
        <v>36</v>
      </c>
      <c r="AK28" s="18">
        <f>Cost_Flow!AK22+Cost_Flow!AK23</f>
        <v>130.07956248000002</v>
      </c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BA28" s="17" t="s">
        <v>36</v>
      </c>
      <c r="BB28" s="18">
        <f>Cost_Flow!BB22+Cost_Flow!BB23</f>
        <v>130.07956248000002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R28" s="17" t="s">
        <v>36</v>
      </c>
      <c r="BS28" s="18">
        <f>Cost_Flow!BS22+Cost_Flow!BS23</f>
        <v>130.07956248000002</v>
      </c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</row>
    <row r="29" spans="1:85" s="7" customFormat="1" x14ac:dyDescent="0.25">
      <c r="B29" s="20" t="s">
        <v>35</v>
      </c>
      <c r="C29" s="19">
        <f>SUM(Cost_Flow!E15:E19)</f>
        <v>-1.86205252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S29" s="20" t="s">
        <v>35</v>
      </c>
      <c r="T29" s="19">
        <f>SUM(Cost_Flow!V15:V19)</f>
        <v>-1.86205252</v>
      </c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J29" s="20" t="s">
        <v>35</v>
      </c>
      <c r="AK29" s="19">
        <f>SUM(Cost_Flow!AM15:AM19)</f>
        <v>-1.86205252</v>
      </c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BA29" s="20" t="s">
        <v>35</v>
      </c>
      <c r="BB29" s="19">
        <f>SUM(Cost_Flow!BD15:BD19)</f>
        <v>-1.86205252</v>
      </c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R29" s="20" t="s">
        <v>35</v>
      </c>
      <c r="BS29" s="19">
        <f>SUM(Cost_Flow!BU15:BU19)</f>
        <v>-1.86205252</v>
      </c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</row>
    <row r="30" spans="1:85" s="7" customFormat="1" x14ac:dyDescent="0.25">
      <c r="B30" s="21" t="s">
        <v>37</v>
      </c>
      <c r="C30" s="23">
        <f>Cost_Flow!C24</f>
        <v>-1.1101365089999999E-13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S30" s="21" t="s">
        <v>37</v>
      </c>
      <c r="T30" s="23">
        <f>Cost_Flow!T24</f>
        <v>-1.1101365089999999E-13</v>
      </c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J30" s="21" t="s">
        <v>37</v>
      </c>
      <c r="AK30" s="23">
        <f>Cost_Flow!AK24</f>
        <v>-1.1101365089999999E-13</v>
      </c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BA30" s="21" t="s">
        <v>37</v>
      </c>
      <c r="BB30" s="23">
        <f>Cost_Flow!BB24</f>
        <v>-1.1101365089999999E-13</v>
      </c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R30" s="21" t="s">
        <v>37</v>
      </c>
      <c r="BS30" s="23">
        <f>Cost_Flow!BS24</f>
        <v>-1.1101365089999999E-13</v>
      </c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</row>
    <row r="32" spans="1:85" ht="21" x14ac:dyDescent="0.35">
      <c r="A32" s="5">
        <v>2020</v>
      </c>
      <c r="R32" s="5">
        <v>2020</v>
      </c>
      <c r="AI32" s="5">
        <v>2020</v>
      </c>
      <c r="AZ32" s="5">
        <v>2020</v>
      </c>
      <c r="BQ32" s="5">
        <v>2020</v>
      </c>
    </row>
    <row r="33" spans="1:85" x14ac:dyDescent="0.25">
      <c r="B33" s="4" t="str">
        <f>$B$6</f>
        <v>ReferentieUtrecht</v>
      </c>
      <c r="S33" s="4" t="str">
        <f>$S$6</f>
        <v>Utrecht_Label B</v>
      </c>
      <c r="AJ33" s="4" t="str">
        <f>$AJ$6</f>
        <v>Utrecht_Label Aplus</v>
      </c>
      <c r="BA33" s="4" t="str">
        <f>BA$6</f>
        <v>Utrecht_Label Aplus, met eWP</v>
      </c>
      <c r="BR33" s="4" t="str">
        <f>BR$6</f>
        <v>Utrecht_Label B_Warmtenetten</v>
      </c>
    </row>
    <row r="34" spans="1:85" x14ac:dyDescent="0.25">
      <c r="C34" s="1" t="s">
        <v>18</v>
      </c>
      <c r="D34" s="1" t="s">
        <v>19</v>
      </c>
      <c r="E34" s="1" t="s">
        <v>20</v>
      </c>
      <c r="F34" s="1" t="s">
        <v>21</v>
      </c>
      <c r="G34" s="1" t="s">
        <v>22</v>
      </c>
      <c r="H34" s="1" t="s">
        <v>23</v>
      </c>
      <c r="I34" s="1" t="s">
        <v>24</v>
      </c>
      <c r="J34" s="1" t="s">
        <v>25</v>
      </c>
      <c r="K34" s="1" t="s">
        <v>26</v>
      </c>
      <c r="L34" s="1" t="s">
        <v>5</v>
      </c>
      <c r="M34" s="1" t="s">
        <v>6</v>
      </c>
      <c r="N34" s="1" t="s">
        <v>7</v>
      </c>
      <c r="O34" s="1" t="s">
        <v>8</v>
      </c>
      <c r="P34" s="1" t="s">
        <v>9</v>
      </c>
      <c r="Q34" s="1" t="s">
        <v>27</v>
      </c>
      <c r="T34" s="1" t="s">
        <v>18</v>
      </c>
      <c r="U34" s="1" t="s">
        <v>19</v>
      </c>
      <c r="V34" s="1" t="s">
        <v>20</v>
      </c>
      <c r="W34" s="1" t="s">
        <v>21</v>
      </c>
      <c r="X34" s="1" t="s">
        <v>22</v>
      </c>
      <c r="Y34" s="1" t="s">
        <v>23</v>
      </c>
      <c r="Z34" s="1" t="s">
        <v>24</v>
      </c>
      <c r="AA34" s="1" t="s">
        <v>25</v>
      </c>
      <c r="AB34" s="1" t="s">
        <v>26</v>
      </c>
      <c r="AC34" s="1" t="s">
        <v>5</v>
      </c>
      <c r="AD34" s="1" t="s">
        <v>6</v>
      </c>
      <c r="AE34" s="1" t="s">
        <v>7</v>
      </c>
      <c r="AF34" s="1" t="s">
        <v>8</v>
      </c>
      <c r="AG34" s="1" t="s">
        <v>9</v>
      </c>
      <c r="AH34" s="1" t="s">
        <v>27</v>
      </c>
      <c r="AK34" s="1" t="s">
        <v>18</v>
      </c>
      <c r="AL34" s="1" t="s">
        <v>19</v>
      </c>
      <c r="AM34" s="1" t="s">
        <v>20</v>
      </c>
      <c r="AN34" s="1" t="s">
        <v>21</v>
      </c>
      <c r="AO34" s="1" t="s">
        <v>22</v>
      </c>
      <c r="AP34" s="1" t="s">
        <v>23</v>
      </c>
      <c r="AQ34" s="1" t="s">
        <v>24</v>
      </c>
      <c r="AR34" s="1" t="s">
        <v>25</v>
      </c>
      <c r="AS34" s="1" t="s">
        <v>26</v>
      </c>
      <c r="AT34" s="1" t="s">
        <v>5</v>
      </c>
      <c r="AU34" s="1" t="s">
        <v>6</v>
      </c>
      <c r="AV34" s="1" t="s">
        <v>7</v>
      </c>
      <c r="AW34" s="1" t="s">
        <v>8</v>
      </c>
      <c r="AX34" s="1" t="s">
        <v>9</v>
      </c>
      <c r="AY34" s="1" t="s">
        <v>27</v>
      </c>
      <c r="BB34" s="1" t="s">
        <v>18</v>
      </c>
      <c r="BC34" s="1" t="s">
        <v>19</v>
      </c>
      <c r="BD34" s="1" t="s">
        <v>20</v>
      </c>
      <c r="BE34" s="1" t="s">
        <v>21</v>
      </c>
      <c r="BF34" s="1" t="s">
        <v>22</v>
      </c>
      <c r="BG34" s="1" t="s">
        <v>23</v>
      </c>
      <c r="BH34" s="1" t="s">
        <v>24</v>
      </c>
      <c r="BI34" s="1" t="s">
        <v>25</v>
      </c>
      <c r="BJ34" s="1" t="s">
        <v>26</v>
      </c>
      <c r="BK34" s="1" t="s">
        <v>5</v>
      </c>
      <c r="BL34" s="1" t="s">
        <v>6</v>
      </c>
      <c r="BM34" s="1" t="s">
        <v>7</v>
      </c>
      <c r="BN34" s="1" t="s">
        <v>8</v>
      </c>
      <c r="BO34" s="1" t="s">
        <v>9</v>
      </c>
      <c r="BP34" s="1" t="s">
        <v>27</v>
      </c>
      <c r="BS34" s="1" t="s">
        <v>18</v>
      </c>
      <c r="BT34" s="1" t="s">
        <v>19</v>
      </c>
      <c r="BU34" s="1" t="s">
        <v>20</v>
      </c>
      <c r="BV34" s="1" t="s">
        <v>21</v>
      </c>
      <c r="BW34" s="1" t="s">
        <v>22</v>
      </c>
      <c r="BX34" s="1" t="s">
        <v>23</v>
      </c>
      <c r="BY34" s="1" t="s">
        <v>24</v>
      </c>
      <c r="BZ34" s="1" t="s">
        <v>25</v>
      </c>
      <c r="CA34" s="1" t="s">
        <v>26</v>
      </c>
      <c r="CB34" s="1" t="s">
        <v>5</v>
      </c>
      <c r="CC34" s="1" t="s">
        <v>6</v>
      </c>
      <c r="CD34" s="1" t="s">
        <v>7</v>
      </c>
      <c r="CE34" s="1" t="s">
        <v>8</v>
      </c>
      <c r="CF34" s="1" t="s">
        <v>9</v>
      </c>
      <c r="CG34" s="1" t="s">
        <v>27</v>
      </c>
    </row>
    <row r="35" spans="1:85" x14ac:dyDescent="0.25">
      <c r="C35" s="1" t="s">
        <v>29</v>
      </c>
      <c r="D35" s="1" t="s">
        <v>29</v>
      </c>
      <c r="E35" s="1" t="s">
        <v>29</v>
      </c>
      <c r="F35" s="1" t="s">
        <v>29</v>
      </c>
      <c r="G35" s="1" t="s">
        <v>29</v>
      </c>
      <c r="H35" s="1" t="s">
        <v>29</v>
      </c>
      <c r="I35" s="1" t="s">
        <v>29</v>
      </c>
      <c r="J35" s="1" t="s">
        <v>29</v>
      </c>
      <c r="K35" s="1" t="s">
        <v>29</v>
      </c>
      <c r="L35" s="1" t="s">
        <v>29</v>
      </c>
      <c r="M35" s="1" t="s">
        <v>29</v>
      </c>
      <c r="N35" s="1" t="s">
        <v>29</v>
      </c>
      <c r="O35" s="1" t="s">
        <v>29</v>
      </c>
      <c r="P35" s="1" t="s">
        <v>29</v>
      </c>
      <c r="Q35" s="1" t="s">
        <v>29</v>
      </c>
      <c r="T35" s="1" t="s">
        <v>29</v>
      </c>
      <c r="U35" s="1" t="s">
        <v>29</v>
      </c>
      <c r="V35" s="1" t="s">
        <v>29</v>
      </c>
      <c r="W35" s="1" t="s">
        <v>29</v>
      </c>
      <c r="X35" s="1" t="s">
        <v>29</v>
      </c>
      <c r="Y35" s="1" t="s">
        <v>29</v>
      </c>
      <c r="Z35" s="1" t="s">
        <v>29</v>
      </c>
      <c r="AA35" s="1" t="s">
        <v>29</v>
      </c>
      <c r="AB35" s="1" t="s">
        <v>29</v>
      </c>
      <c r="AC35" s="1" t="s">
        <v>29</v>
      </c>
      <c r="AD35" s="1" t="s">
        <v>29</v>
      </c>
      <c r="AE35" s="1" t="s">
        <v>29</v>
      </c>
      <c r="AF35" s="1" t="s">
        <v>29</v>
      </c>
      <c r="AG35" s="1" t="s">
        <v>29</v>
      </c>
      <c r="AH35" s="1" t="s">
        <v>29</v>
      </c>
      <c r="AK35" s="1" t="s">
        <v>29</v>
      </c>
      <c r="AL35" s="1" t="s">
        <v>29</v>
      </c>
      <c r="AM35" s="1" t="s">
        <v>29</v>
      </c>
      <c r="AN35" s="1" t="s">
        <v>29</v>
      </c>
      <c r="AO35" s="1" t="s">
        <v>29</v>
      </c>
      <c r="AP35" s="1" t="s">
        <v>29</v>
      </c>
      <c r="AQ35" s="1" t="s">
        <v>29</v>
      </c>
      <c r="AR35" s="1" t="s">
        <v>29</v>
      </c>
      <c r="AS35" s="1" t="s">
        <v>29</v>
      </c>
      <c r="AT35" s="1" t="s">
        <v>29</v>
      </c>
      <c r="AU35" s="1" t="s">
        <v>29</v>
      </c>
      <c r="AV35" s="1" t="s">
        <v>29</v>
      </c>
      <c r="AW35" s="1" t="s">
        <v>29</v>
      </c>
      <c r="AX35" s="1" t="s">
        <v>29</v>
      </c>
      <c r="AY35" s="1" t="s">
        <v>29</v>
      </c>
      <c r="BB35" s="1" t="s">
        <v>29</v>
      </c>
      <c r="BC35" s="1" t="s">
        <v>29</v>
      </c>
      <c r="BD35" s="1" t="s">
        <v>29</v>
      </c>
      <c r="BE35" s="1" t="s">
        <v>29</v>
      </c>
      <c r="BF35" s="1" t="s">
        <v>29</v>
      </c>
      <c r="BG35" s="1" t="s">
        <v>29</v>
      </c>
      <c r="BH35" s="1" t="s">
        <v>29</v>
      </c>
      <c r="BI35" s="1" t="s">
        <v>29</v>
      </c>
      <c r="BJ35" s="1" t="s">
        <v>29</v>
      </c>
      <c r="BK35" s="1" t="s">
        <v>29</v>
      </c>
      <c r="BL35" s="1" t="s">
        <v>29</v>
      </c>
      <c r="BM35" s="1" t="s">
        <v>29</v>
      </c>
      <c r="BN35" s="1" t="s">
        <v>29</v>
      </c>
      <c r="BO35" s="1" t="s">
        <v>29</v>
      </c>
      <c r="BP35" s="1" t="s">
        <v>29</v>
      </c>
      <c r="BS35" s="1" t="s">
        <v>29</v>
      </c>
      <c r="BT35" s="1" t="s">
        <v>29</v>
      </c>
      <c r="BU35" s="1" t="s">
        <v>29</v>
      </c>
      <c r="BV35" s="1" t="s">
        <v>29</v>
      </c>
      <c r="BW35" s="1" t="s">
        <v>29</v>
      </c>
      <c r="BX35" s="1" t="s">
        <v>29</v>
      </c>
      <c r="BY35" s="1" t="s">
        <v>29</v>
      </c>
      <c r="BZ35" s="1" t="s">
        <v>29</v>
      </c>
      <c r="CA35" s="1" t="s">
        <v>29</v>
      </c>
      <c r="CB35" s="1" t="s">
        <v>29</v>
      </c>
      <c r="CC35" s="1" t="s">
        <v>29</v>
      </c>
      <c r="CD35" s="1" t="s">
        <v>29</v>
      </c>
      <c r="CE35" s="1" t="s">
        <v>29</v>
      </c>
      <c r="CF35" s="1" t="s">
        <v>29</v>
      </c>
      <c r="CG35" s="1" t="s">
        <v>29</v>
      </c>
    </row>
    <row r="36" spans="1:85" s="7" customFormat="1" x14ac:dyDescent="0.25">
      <c r="B36" s="7" t="s">
        <v>1</v>
      </c>
      <c r="C36" s="13">
        <f>SUM(F36:Q36)</f>
        <v>4.4510906995399999</v>
      </c>
      <c r="D36" s="8">
        <f>Modeloutput!C72</f>
        <v>0</v>
      </c>
      <c r="E36" s="8">
        <f>Modeloutput!D72</f>
        <v>4.4510907</v>
      </c>
      <c r="F36" s="8">
        <f>Modeloutput!E72</f>
        <v>1.17176467</v>
      </c>
      <c r="G36" s="8">
        <f>Modeloutput!F72</f>
        <v>0</v>
      </c>
      <c r="H36" s="8">
        <f>Modeloutput!G72</f>
        <v>4.0399195399999999E-3</v>
      </c>
      <c r="I36" s="8">
        <f>Modeloutput!H72</f>
        <v>0</v>
      </c>
      <c r="J36" s="8">
        <f>Modeloutput!I72</f>
        <v>0</v>
      </c>
      <c r="K36" s="8">
        <f>Modeloutput!J72</f>
        <v>0</v>
      </c>
      <c r="L36" s="8">
        <f>Modeloutput!K72</f>
        <v>0</v>
      </c>
      <c r="M36" s="8">
        <f>Modeloutput!L72</f>
        <v>0</v>
      </c>
      <c r="N36" s="8">
        <f>Modeloutput!M72</f>
        <v>3.2752861100000001</v>
      </c>
      <c r="O36" s="8">
        <f>Modeloutput!N72</f>
        <v>0</v>
      </c>
      <c r="P36" s="8">
        <f>Modeloutput!O72</f>
        <v>0</v>
      </c>
      <c r="Q36" s="8">
        <f>Modeloutput!P72</f>
        <v>0</v>
      </c>
      <c r="S36" s="7" t="s">
        <v>1</v>
      </c>
      <c r="T36" s="13">
        <f>SUM(W36:AH36)</f>
        <v>63.627456430000002</v>
      </c>
      <c r="U36" s="8">
        <f>Modeloutput!C327</f>
        <v>0</v>
      </c>
      <c r="V36" s="8">
        <f>Modeloutput!D327</f>
        <v>63.627456500000001</v>
      </c>
      <c r="W36" s="8">
        <f>Modeloutput!E327</f>
        <v>35.699894</v>
      </c>
      <c r="X36" s="8">
        <f>Modeloutput!F327</f>
        <v>0</v>
      </c>
      <c r="Y36" s="8">
        <f>Modeloutput!G327</f>
        <v>24.6858124</v>
      </c>
      <c r="Z36" s="8">
        <f>Modeloutput!H327</f>
        <v>0</v>
      </c>
      <c r="AA36" s="8">
        <f>Modeloutput!I327</f>
        <v>0</v>
      </c>
      <c r="AB36" s="8">
        <f>Modeloutput!J327</f>
        <v>0</v>
      </c>
      <c r="AC36" s="8">
        <f>Modeloutput!K327</f>
        <v>0</v>
      </c>
      <c r="AD36" s="8">
        <f>Modeloutput!L327</f>
        <v>0</v>
      </c>
      <c r="AE36" s="8">
        <f>Modeloutput!M327</f>
        <v>3.2417500299999999</v>
      </c>
      <c r="AF36" s="8">
        <f>Modeloutput!N327</f>
        <v>0</v>
      </c>
      <c r="AG36" s="8">
        <f>Modeloutput!O327</f>
        <v>0</v>
      </c>
      <c r="AH36" s="8">
        <f>Modeloutput!P327</f>
        <v>0</v>
      </c>
      <c r="AJ36" s="7" t="s">
        <v>1</v>
      </c>
      <c r="AK36" s="13">
        <f>SUM(AN36:AY36)</f>
        <v>161.06259460000001</v>
      </c>
      <c r="AL36" s="8">
        <f>Modeloutput!C582</f>
        <v>0</v>
      </c>
      <c r="AM36" s="8">
        <f>Modeloutput!D582</f>
        <v>161.06259499999999</v>
      </c>
      <c r="AN36" s="8">
        <f>Modeloutput!E582</f>
        <v>69.634953499999995</v>
      </c>
      <c r="AO36" s="8">
        <f>Modeloutput!F582</f>
        <v>0</v>
      </c>
      <c r="AP36" s="8">
        <f>Modeloutput!G582</f>
        <v>45.6777522</v>
      </c>
      <c r="AQ36" s="8">
        <f>Modeloutput!H582</f>
        <v>0</v>
      </c>
      <c r="AR36" s="8">
        <f>Modeloutput!I582</f>
        <v>0</v>
      </c>
      <c r="AS36" s="8">
        <f>Modeloutput!J582</f>
        <v>0</v>
      </c>
      <c r="AT36" s="8">
        <f>Modeloutput!K582</f>
        <v>0</v>
      </c>
      <c r="AU36" s="8">
        <f>Modeloutput!L582</f>
        <v>0</v>
      </c>
      <c r="AV36" s="8">
        <f>Modeloutput!M582</f>
        <v>45.749888900000002</v>
      </c>
      <c r="AW36" s="8">
        <f>Modeloutput!N582</f>
        <v>0</v>
      </c>
      <c r="AX36" s="8">
        <f>Modeloutput!O582</f>
        <v>0</v>
      </c>
      <c r="AY36" s="8">
        <f>Modeloutput!P582</f>
        <v>0</v>
      </c>
      <c r="BA36" s="7" t="s">
        <v>1</v>
      </c>
      <c r="BB36" s="13">
        <f>SUM(BE36:BP36)</f>
        <v>78.072618300000002</v>
      </c>
      <c r="BC36" s="8">
        <f>Modeloutput!C837</f>
        <v>0</v>
      </c>
      <c r="BD36" s="8">
        <f>Modeloutput!D837</f>
        <v>78.072618300000002</v>
      </c>
      <c r="BE36" s="8">
        <f>Modeloutput!E837</f>
        <v>49.716267100000003</v>
      </c>
      <c r="BF36" s="8">
        <f>Modeloutput!F837</f>
        <v>0</v>
      </c>
      <c r="BG36" s="8">
        <f>Modeloutput!G837</f>
        <v>28.356351199999999</v>
      </c>
      <c r="BH36" s="8">
        <f>Modeloutput!H837</f>
        <v>0</v>
      </c>
      <c r="BI36" s="8">
        <f>Modeloutput!I837</f>
        <v>0</v>
      </c>
      <c r="BJ36" s="8">
        <f>Modeloutput!J837</f>
        <v>0</v>
      </c>
      <c r="BK36" s="8">
        <f>Modeloutput!K837</f>
        <v>0</v>
      </c>
      <c r="BL36" s="8">
        <f>Modeloutput!L837</f>
        <v>0</v>
      </c>
      <c r="BM36" s="8">
        <f>Modeloutput!M837</f>
        <v>0</v>
      </c>
      <c r="BN36" s="8">
        <f>Modeloutput!N837</f>
        <v>0</v>
      </c>
      <c r="BO36" s="8">
        <f>Modeloutput!O837</f>
        <v>0</v>
      </c>
      <c r="BP36" s="8">
        <f>Modeloutput!P837</f>
        <v>0</v>
      </c>
      <c r="BR36" s="7" t="s">
        <v>1</v>
      </c>
      <c r="BS36" s="13">
        <f>SUM(BV36:CG36)</f>
        <v>128.39632579500002</v>
      </c>
      <c r="BT36" s="8">
        <f>Modeloutput!C1092</f>
        <v>0</v>
      </c>
      <c r="BU36" s="8">
        <f>Modeloutput!D1092</f>
        <v>128.39632599999999</v>
      </c>
      <c r="BV36" s="8">
        <f>Modeloutput!E1092</f>
        <v>35.699894</v>
      </c>
      <c r="BW36" s="8">
        <f>Modeloutput!F1092</f>
        <v>0</v>
      </c>
      <c r="BX36" s="8">
        <f>Modeloutput!G1092</f>
        <v>24.6858124</v>
      </c>
      <c r="BY36" s="8">
        <f>Modeloutput!H1092</f>
        <v>0</v>
      </c>
      <c r="BZ36" s="8">
        <f>Modeloutput!I1092</f>
        <v>0</v>
      </c>
      <c r="CA36" s="8">
        <f>Modeloutput!J1092</f>
        <v>0</v>
      </c>
      <c r="CB36" s="8">
        <f>Modeloutput!K1092</f>
        <v>29.729580800000001</v>
      </c>
      <c r="CC36" s="8">
        <f>Modeloutput!L1092</f>
        <v>38.233194400000002</v>
      </c>
      <c r="CD36" s="8">
        <f>Modeloutput!M1092</f>
        <v>4.7844194999999999E-2</v>
      </c>
      <c r="CE36" s="8">
        <f>Modeloutput!N1092</f>
        <v>0</v>
      </c>
      <c r="CF36" s="8">
        <f>Modeloutput!O1092</f>
        <v>0</v>
      </c>
      <c r="CG36" s="8">
        <f>Modeloutput!P1092</f>
        <v>0</v>
      </c>
    </row>
    <row r="37" spans="1:85" s="7" customFormat="1" x14ac:dyDescent="0.25">
      <c r="B37" s="7" t="s">
        <v>2</v>
      </c>
      <c r="C37" s="13">
        <f t="shared" ref="C37:C49" si="10">SUM(F37:Q37)</f>
        <v>13.074101263720001</v>
      </c>
      <c r="D37" s="8">
        <f>Modeloutput!C73</f>
        <v>0</v>
      </c>
      <c r="E37" s="8">
        <f>Modeloutput!D73</f>
        <v>13.074101300000001</v>
      </c>
      <c r="F37" s="8">
        <f>Modeloutput!E73</f>
        <v>0</v>
      </c>
      <c r="G37" s="8">
        <f>Modeloutput!F73</f>
        <v>0</v>
      </c>
      <c r="H37" s="8">
        <f>Modeloutput!G73</f>
        <v>1.7513637200000001E-3</v>
      </c>
      <c r="I37" s="8">
        <f>Modeloutput!H73</f>
        <v>0</v>
      </c>
      <c r="J37" s="8">
        <f>Modeloutput!I73</f>
        <v>0</v>
      </c>
      <c r="K37" s="8">
        <f>Modeloutput!J73</f>
        <v>0</v>
      </c>
      <c r="L37" s="8">
        <f>Modeloutput!K73</f>
        <v>13.072349900000001</v>
      </c>
      <c r="M37" s="8">
        <f>Modeloutput!L73</f>
        <v>0</v>
      </c>
      <c r="N37" s="8">
        <f>Modeloutput!M73</f>
        <v>0</v>
      </c>
      <c r="O37" s="8">
        <f>Modeloutput!N73</f>
        <v>0</v>
      </c>
      <c r="P37" s="8">
        <f>Modeloutput!O73</f>
        <v>0</v>
      </c>
      <c r="Q37" s="8">
        <f>Modeloutput!P73</f>
        <v>0</v>
      </c>
      <c r="S37" s="7" t="s">
        <v>2</v>
      </c>
      <c r="T37" s="13">
        <f t="shared" ref="T37:T49" si="11">SUM(W37:AH37)</f>
        <v>9.3460234399999997</v>
      </c>
      <c r="U37" s="8">
        <f>Modeloutput!C328</f>
        <v>0</v>
      </c>
      <c r="V37" s="8">
        <f>Modeloutput!D328</f>
        <v>9.3460234399999997</v>
      </c>
      <c r="W37" s="8">
        <f>Modeloutput!E328</f>
        <v>0</v>
      </c>
      <c r="X37" s="8">
        <f>Modeloutput!F328</f>
        <v>0</v>
      </c>
      <c r="Y37" s="8">
        <f>Modeloutput!G328</f>
        <v>0</v>
      </c>
      <c r="Z37" s="8">
        <f>Modeloutput!H328</f>
        <v>0</v>
      </c>
      <c r="AA37" s="8">
        <f>Modeloutput!I328</f>
        <v>0</v>
      </c>
      <c r="AB37" s="8">
        <f>Modeloutput!J328</f>
        <v>0</v>
      </c>
      <c r="AC37" s="8">
        <f>Modeloutput!K328</f>
        <v>9.3460234399999997</v>
      </c>
      <c r="AD37" s="8">
        <f>Modeloutput!L328</f>
        <v>0</v>
      </c>
      <c r="AE37" s="8">
        <f>Modeloutput!M328</f>
        <v>0</v>
      </c>
      <c r="AF37" s="8">
        <f>Modeloutput!N328</f>
        <v>0</v>
      </c>
      <c r="AG37" s="8">
        <f>Modeloutput!O328</f>
        <v>0</v>
      </c>
      <c r="AH37" s="8">
        <f>Modeloutput!P328</f>
        <v>0</v>
      </c>
      <c r="AJ37" s="7" t="s">
        <v>2</v>
      </c>
      <c r="AK37" s="13">
        <f t="shared" ref="AK37:AK49" si="12">SUM(AN37:AY37)</f>
        <v>6.5266473500000002</v>
      </c>
      <c r="AL37" s="8">
        <f>Modeloutput!C583</f>
        <v>0</v>
      </c>
      <c r="AM37" s="8">
        <f>Modeloutput!D583</f>
        <v>6.5266473500000002</v>
      </c>
      <c r="AN37" s="8">
        <f>Modeloutput!E583</f>
        <v>0</v>
      </c>
      <c r="AO37" s="8">
        <f>Modeloutput!F583</f>
        <v>0</v>
      </c>
      <c r="AP37" s="8">
        <f>Modeloutput!G583</f>
        <v>0</v>
      </c>
      <c r="AQ37" s="8">
        <f>Modeloutput!H583</f>
        <v>0</v>
      </c>
      <c r="AR37" s="8">
        <f>Modeloutput!I583</f>
        <v>0</v>
      </c>
      <c r="AS37" s="8">
        <f>Modeloutput!J583</f>
        <v>0</v>
      </c>
      <c r="AT37" s="8">
        <f>Modeloutput!K583</f>
        <v>6.5266473500000002</v>
      </c>
      <c r="AU37" s="8">
        <f>Modeloutput!L583</f>
        <v>0</v>
      </c>
      <c r="AV37" s="8">
        <f>Modeloutput!M583</f>
        <v>0</v>
      </c>
      <c r="AW37" s="8">
        <f>Modeloutput!N583</f>
        <v>0</v>
      </c>
      <c r="AX37" s="8">
        <f>Modeloutput!O583</f>
        <v>0</v>
      </c>
      <c r="AY37" s="8">
        <f>Modeloutput!P583</f>
        <v>0</v>
      </c>
      <c r="BA37" s="7" t="s">
        <v>2</v>
      </c>
      <c r="BB37" s="13">
        <f t="shared" ref="BB37:BB49" si="13">SUM(BE37:BP37)</f>
        <v>102.874131164</v>
      </c>
      <c r="BC37" s="8">
        <f>Modeloutput!C838</f>
        <v>0</v>
      </c>
      <c r="BD37" s="8">
        <f>Modeloutput!D838</f>
        <v>102.87413100000001</v>
      </c>
      <c r="BE37" s="8">
        <f>Modeloutput!E838</f>
        <v>73.207235900000001</v>
      </c>
      <c r="BF37" s="8">
        <f>Modeloutput!F838</f>
        <v>2.8018811399999999</v>
      </c>
      <c r="BG37" s="8">
        <f>Modeloutput!G838</f>
        <v>13.3982686</v>
      </c>
      <c r="BH37" s="8">
        <f>Modeloutput!H838</f>
        <v>0.28110612400000001</v>
      </c>
      <c r="BI37" s="8">
        <f>Modeloutput!I838</f>
        <v>0</v>
      </c>
      <c r="BJ37" s="8">
        <f>Modeloutput!J838</f>
        <v>0</v>
      </c>
      <c r="BK37" s="8">
        <f>Modeloutput!K838</f>
        <v>13.185639399999999</v>
      </c>
      <c r="BL37" s="8">
        <f>Modeloutput!L838</f>
        <v>0</v>
      </c>
      <c r="BM37" s="8">
        <f>Modeloutput!M838</f>
        <v>0</v>
      </c>
      <c r="BN37" s="8">
        <f>Modeloutput!N838</f>
        <v>0</v>
      </c>
      <c r="BO37" s="8">
        <f>Modeloutput!O838</f>
        <v>0</v>
      </c>
      <c r="BP37" s="8">
        <f>Modeloutput!P838</f>
        <v>0</v>
      </c>
      <c r="BR37" s="7" t="s">
        <v>2</v>
      </c>
      <c r="BS37" s="13">
        <f t="shared" ref="BS37:BS49" si="14">SUM(BV37:CG37)</f>
        <v>18.152814895838002</v>
      </c>
      <c r="BT37" s="8">
        <f>Modeloutput!C1093</f>
        <v>0</v>
      </c>
      <c r="BU37" s="8">
        <f>Modeloutput!D1093</f>
        <v>18.152814899999999</v>
      </c>
      <c r="BV37" s="8">
        <f>Modeloutput!E1093</f>
        <v>0</v>
      </c>
      <c r="BW37" s="8">
        <f>Modeloutput!F1093</f>
        <v>0</v>
      </c>
      <c r="BX37" s="8">
        <f>Modeloutput!G1093</f>
        <v>0</v>
      </c>
      <c r="BY37" s="8">
        <f>Modeloutput!H1093</f>
        <v>0</v>
      </c>
      <c r="BZ37" s="8">
        <f>Modeloutput!I1093</f>
        <v>0</v>
      </c>
      <c r="CA37" s="8">
        <f>Modeloutput!J1093</f>
        <v>0</v>
      </c>
      <c r="CB37" s="8">
        <f>Modeloutput!K1093</f>
        <v>18.152668500000001</v>
      </c>
      <c r="CC37" s="8">
        <f>Modeloutput!L1093</f>
        <v>1.46395838E-4</v>
      </c>
      <c r="CD37" s="8">
        <f>Modeloutput!M1093</f>
        <v>0</v>
      </c>
      <c r="CE37" s="8">
        <f>Modeloutput!N1093</f>
        <v>0</v>
      </c>
      <c r="CF37" s="8">
        <f>Modeloutput!O1093</f>
        <v>0</v>
      </c>
      <c r="CG37" s="8">
        <f>Modeloutput!P1093</f>
        <v>0</v>
      </c>
    </row>
    <row r="38" spans="1:85" s="7" customFormat="1" x14ac:dyDescent="0.25">
      <c r="B38" s="7" t="s">
        <v>3</v>
      </c>
      <c r="C38" s="13">
        <f t="shared" si="10"/>
        <v>78.862482826299996</v>
      </c>
      <c r="D38" s="8">
        <f>Modeloutput!C74</f>
        <v>0</v>
      </c>
      <c r="E38" s="8">
        <f>Modeloutput!D74</f>
        <v>78.862482900000003</v>
      </c>
      <c r="F38" s="8">
        <f>Modeloutput!E74</f>
        <v>50.983680800000002</v>
      </c>
      <c r="G38" s="8">
        <f>Modeloutput!F74</f>
        <v>0.182653972</v>
      </c>
      <c r="H38" s="8">
        <f>Modeloutput!G74</f>
        <v>17.094205800000001</v>
      </c>
      <c r="I38" s="8">
        <f>Modeloutput!H74</f>
        <v>4.3661204299999999E-2</v>
      </c>
      <c r="J38" s="8">
        <f>Modeloutput!I74</f>
        <v>0</v>
      </c>
      <c r="K38" s="8">
        <f>Modeloutput!J74</f>
        <v>0</v>
      </c>
      <c r="L38" s="8">
        <f>Modeloutput!K74</f>
        <v>6.4336752300000004</v>
      </c>
      <c r="M38" s="8">
        <f>Modeloutput!L74</f>
        <v>0</v>
      </c>
      <c r="N38" s="8">
        <f>Modeloutput!M74</f>
        <v>0</v>
      </c>
      <c r="O38" s="8">
        <f>Modeloutput!N74</f>
        <v>0</v>
      </c>
      <c r="P38" s="8">
        <f>Modeloutput!O74</f>
        <v>0</v>
      </c>
      <c r="Q38" s="8">
        <f>Modeloutput!P74</f>
        <v>4.1246058200000002</v>
      </c>
      <c r="S38" s="7" t="s">
        <v>3</v>
      </c>
      <c r="T38" s="13">
        <f t="shared" si="11"/>
        <v>71.065970825299999</v>
      </c>
      <c r="U38" s="8">
        <f>Modeloutput!C329</f>
        <v>0</v>
      </c>
      <c r="V38" s="8">
        <f>Modeloutput!D329</f>
        <v>71.065970899999996</v>
      </c>
      <c r="W38" s="8">
        <f>Modeloutput!E329</f>
        <v>45.364222300000002</v>
      </c>
      <c r="X38" s="8">
        <f>Modeloutput!F329</f>
        <v>0.21152312100000001</v>
      </c>
      <c r="Y38" s="8">
        <f>Modeloutput!G329</f>
        <v>12.464607600000001</v>
      </c>
      <c r="Z38" s="8">
        <f>Modeloutput!H329</f>
        <v>4.3661204299999999E-2</v>
      </c>
      <c r="AA38" s="8">
        <f>Modeloutput!I329</f>
        <v>0</v>
      </c>
      <c r="AB38" s="8">
        <f>Modeloutput!J329</f>
        <v>0</v>
      </c>
      <c r="AC38" s="8">
        <f>Modeloutput!K329</f>
        <v>4.7113632799999996</v>
      </c>
      <c r="AD38" s="8">
        <f>Modeloutput!L329</f>
        <v>0</v>
      </c>
      <c r="AE38" s="8">
        <f>Modeloutput!M329</f>
        <v>0</v>
      </c>
      <c r="AF38" s="8">
        <f>Modeloutput!N329</f>
        <v>0</v>
      </c>
      <c r="AG38" s="8">
        <f>Modeloutput!O329</f>
        <v>0</v>
      </c>
      <c r="AH38" s="8">
        <f>Modeloutput!P329</f>
        <v>8.2705933199999997</v>
      </c>
      <c r="AJ38" s="7" t="s">
        <v>3</v>
      </c>
      <c r="AK38" s="13">
        <f t="shared" si="12"/>
        <v>51.922755021299999</v>
      </c>
      <c r="AL38" s="8">
        <f>Modeloutput!C584</f>
        <v>0</v>
      </c>
      <c r="AM38" s="8">
        <f>Modeloutput!D584</f>
        <v>51.922755000000002</v>
      </c>
      <c r="AN38" s="8">
        <f>Modeloutput!E584</f>
        <v>8.2967351899999997</v>
      </c>
      <c r="AO38" s="8">
        <f>Modeloutput!F584</f>
        <v>0.14153078699999999</v>
      </c>
      <c r="AP38" s="8">
        <f>Modeloutput!G584</f>
        <v>5.4786161099999999</v>
      </c>
      <c r="AQ38" s="8">
        <f>Modeloutput!H584</f>
        <v>4.3661204299999999E-2</v>
      </c>
      <c r="AR38" s="8">
        <f>Modeloutput!I584</f>
        <v>0</v>
      </c>
      <c r="AS38" s="8">
        <f>Modeloutput!J584</f>
        <v>0</v>
      </c>
      <c r="AT38" s="8">
        <f>Modeloutput!K584</f>
        <v>3.2655472300000001</v>
      </c>
      <c r="AU38" s="8">
        <f>Modeloutput!L584</f>
        <v>0</v>
      </c>
      <c r="AV38" s="8">
        <f>Modeloutput!M584</f>
        <v>0</v>
      </c>
      <c r="AW38" s="8">
        <f>Modeloutput!N584</f>
        <v>0</v>
      </c>
      <c r="AX38" s="8">
        <f>Modeloutput!O584</f>
        <v>0</v>
      </c>
      <c r="AY38" s="8">
        <f>Modeloutput!P584</f>
        <v>34.696664499999997</v>
      </c>
      <c r="BA38" s="7" t="s">
        <v>3</v>
      </c>
      <c r="BB38" s="13">
        <f t="shared" si="13"/>
        <v>41.461163150000004</v>
      </c>
      <c r="BC38" s="8">
        <f>Modeloutput!C839</f>
        <v>0</v>
      </c>
      <c r="BD38" s="8">
        <f>Modeloutput!D839</f>
        <v>41.4611631</v>
      </c>
      <c r="BE38" s="8">
        <f>Modeloutput!E839</f>
        <v>0</v>
      </c>
      <c r="BF38" s="8">
        <f>Modeloutput!F839</f>
        <v>0</v>
      </c>
      <c r="BG38" s="8">
        <f>Modeloutput!G839</f>
        <v>0</v>
      </c>
      <c r="BH38" s="8">
        <f>Modeloutput!H839</f>
        <v>0</v>
      </c>
      <c r="BI38" s="8">
        <f>Modeloutput!I839</f>
        <v>0</v>
      </c>
      <c r="BJ38" s="8">
        <f>Modeloutput!J839</f>
        <v>0</v>
      </c>
      <c r="BK38" s="8">
        <f>Modeloutput!K839</f>
        <v>6.4861230499999998</v>
      </c>
      <c r="BL38" s="8">
        <f>Modeloutput!L839</f>
        <v>0</v>
      </c>
      <c r="BM38" s="8">
        <f>Modeloutput!M839</f>
        <v>0</v>
      </c>
      <c r="BN38" s="8">
        <f>Modeloutput!N839</f>
        <v>0</v>
      </c>
      <c r="BO38" s="8">
        <f>Modeloutput!O839</f>
        <v>0</v>
      </c>
      <c r="BP38" s="8">
        <f>Modeloutput!P839</f>
        <v>34.975040100000001</v>
      </c>
      <c r="BR38" s="7" t="s">
        <v>3</v>
      </c>
      <c r="BS38" s="13">
        <f t="shared" si="14"/>
        <v>48.901401750090002</v>
      </c>
      <c r="BT38" s="8">
        <f>Modeloutput!C1094</f>
        <v>0</v>
      </c>
      <c r="BU38" s="8">
        <f>Modeloutput!D1094</f>
        <v>48.901401700000001</v>
      </c>
      <c r="BV38" s="8">
        <f>Modeloutput!E1094</f>
        <v>0.17655686900000001</v>
      </c>
      <c r="BW38" s="8">
        <f>Modeloutput!F1094</f>
        <v>5.52921729E-3</v>
      </c>
      <c r="BX38" s="8">
        <f>Modeloutput!G1094</f>
        <v>2.6498143799999999E-2</v>
      </c>
      <c r="BY38" s="8">
        <f>Modeloutput!H1094</f>
        <v>0</v>
      </c>
      <c r="BZ38" s="8">
        <f>Modeloutput!I1094</f>
        <v>0</v>
      </c>
      <c r="CA38" s="8">
        <f>Modeloutput!J1094</f>
        <v>0</v>
      </c>
      <c r="CB38" s="8">
        <f>Modeloutput!K1094</f>
        <v>9.3804146999999993</v>
      </c>
      <c r="CC38" s="8">
        <f>Modeloutput!L1094</f>
        <v>4.3439111199999996</v>
      </c>
      <c r="CD38" s="8">
        <f>Modeloutput!M1094</f>
        <v>0</v>
      </c>
      <c r="CE38" s="8">
        <f>Modeloutput!N1094</f>
        <v>0</v>
      </c>
      <c r="CF38" s="8">
        <f>Modeloutput!O1094</f>
        <v>0</v>
      </c>
      <c r="CG38" s="8">
        <f>Modeloutput!P1094</f>
        <v>34.968491700000001</v>
      </c>
    </row>
    <row r="39" spans="1:85" s="7" customFormat="1" x14ac:dyDescent="0.25">
      <c r="B39" s="7" t="s">
        <v>4</v>
      </c>
      <c r="C39" s="13">
        <f t="shared" si="10"/>
        <v>114.71806061000001</v>
      </c>
      <c r="D39" s="8">
        <f>Modeloutput!C75</f>
        <v>0</v>
      </c>
      <c r="E39" s="8">
        <f>Modeloutput!D75</f>
        <v>114.71806100000001</v>
      </c>
      <c r="F39" s="8">
        <f>Modeloutput!E75</f>
        <v>60.2235662</v>
      </c>
      <c r="G39" s="8">
        <f>Modeloutput!F75</f>
        <v>9.8747818499999997</v>
      </c>
      <c r="H39" s="8">
        <f>Modeloutput!G75</f>
        <v>46.679473399999999</v>
      </c>
      <c r="I39" s="8">
        <f>Modeloutput!H75</f>
        <v>2.0765736700000001</v>
      </c>
      <c r="J39" s="8">
        <f>Modeloutput!I75</f>
        <v>0</v>
      </c>
      <c r="K39" s="8">
        <f>Modeloutput!J75</f>
        <v>0</v>
      </c>
      <c r="L39" s="8">
        <f>Modeloutput!K75</f>
        <v>0</v>
      </c>
      <c r="M39" s="8">
        <f>Modeloutput!L75</f>
        <v>0</v>
      </c>
      <c r="N39" s="8">
        <f>Modeloutput!M75</f>
        <v>1.9846660899999999</v>
      </c>
      <c r="O39" s="8">
        <f>Modeloutput!N75</f>
        <v>0</v>
      </c>
      <c r="P39" s="8">
        <f>Modeloutput!O75</f>
        <v>0</v>
      </c>
      <c r="Q39" s="8">
        <f>Modeloutput!P75</f>
        <v>-6.1210006000000003</v>
      </c>
      <c r="S39" s="7" t="s">
        <v>4</v>
      </c>
      <c r="T39" s="13">
        <f t="shared" si="11"/>
        <v>114.70551308000002</v>
      </c>
      <c r="U39" s="8">
        <f>Modeloutput!C330</f>
        <v>0</v>
      </c>
      <c r="V39" s="8">
        <f>Modeloutput!D330</f>
        <v>114.705513</v>
      </c>
      <c r="W39" s="8">
        <f>Modeloutput!E330</f>
        <v>60.2235662</v>
      </c>
      <c r="X39" s="8">
        <f>Modeloutput!F330</f>
        <v>9.8747818499999997</v>
      </c>
      <c r="Y39" s="8">
        <f>Modeloutput!G330</f>
        <v>46.678914200000001</v>
      </c>
      <c r="Z39" s="8">
        <f>Modeloutput!H330</f>
        <v>2.0765736700000001</v>
      </c>
      <c r="AA39" s="8">
        <f>Modeloutput!I330</f>
        <v>0</v>
      </c>
      <c r="AB39" s="8">
        <f>Modeloutput!J330</f>
        <v>0</v>
      </c>
      <c r="AC39" s="8">
        <f>Modeloutput!K330</f>
        <v>0</v>
      </c>
      <c r="AD39" s="8">
        <f>Modeloutput!L330</f>
        <v>0</v>
      </c>
      <c r="AE39" s="8">
        <f>Modeloutput!M330</f>
        <v>1.9725165600000001</v>
      </c>
      <c r="AF39" s="8">
        <f>Modeloutput!N330</f>
        <v>0</v>
      </c>
      <c r="AG39" s="8">
        <f>Modeloutput!O330</f>
        <v>0</v>
      </c>
      <c r="AH39" s="8">
        <f>Modeloutput!P330</f>
        <v>-6.1208394000000004</v>
      </c>
      <c r="AJ39" s="7" t="s">
        <v>4</v>
      </c>
      <c r="AK39" s="13">
        <f t="shared" si="12"/>
        <v>124.68065072999998</v>
      </c>
      <c r="AL39" s="8">
        <f>Modeloutput!C585</f>
        <v>0</v>
      </c>
      <c r="AM39" s="8">
        <f>Modeloutput!D585</f>
        <v>124.680651</v>
      </c>
      <c r="AN39" s="8">
        <f>Modeloutput!E585</f>
        <v>60.2235662</v>
      </c>
      <c r="AO39" s="8">
        <f>Modeloutput!F585</f>
        <v>9.8747818499999997</v>
      </c>
      <c r="AP39" s="8">
        <f>Modeloutput!G585</f>
        <v>45.867540499999997</v>
      </c>
      <c r="AQ39" s="8">
        <f>Modeloutput!H585</f>
        <v>2.0765736700000001</v>
      </c>
      <c r="AR39" s="8">
        <f>Modeloutput!I585</f>
        <v>0</v>
      </c>
      <c r="AS39" s="8">
        <f>Modeloutput!J585</f>
        <v>0</v>
      </c>
      <c r="AT39" s="8">
        <f>Modeloutput!K585</f>
        <v>0</v>
      </c>
      <c r="AU39" s="8">
        <f>Modeloutput!L585</f>
        <v>0</v>
      </c>
      <c r="AV39" s="8">
        <f>Modeloutput!M585</f>
        <v>12.299856399999999</v>
      </c>
      <c r="AW39" s="8">
        <f>Modeloutput!N585</f>
        <v>0</v>
      </c>
      <c r="AX39" s="8">
        <f>Modeloutput!O585</f>
        <v>0</v>
      </c>
      <c r="AY39" s="8">
        <f>Modeloutput!P585</f>
        <v>-5.6616678900000004</v>
      </c>
      <c r="BA39" s="7" t="s">
        <v>4</v>
      </c>
      <c r="BB39" s="13">
        <f t="shared" si="13"/>
        <v>120.25413263</v>
      </c>
      <c r="BC39" s="8">
        <f>Modeloutput!C840</f>
        <v>0</v>
      </c>
      <c r="BD39" s="8">
        <f>Modeloutput!D840</f>
        <v>120.254133</v>
      </c>
      <c r="BE39" s="8">
        <f>Modeloutput!E840</f>
        <v>65.557804399999995</v>
      </c>
      <c r="BF39" s="8">
        <f>Modeloutput!F840</f>
        <v>10.7062344</v>
      </c>
      <c r="BG39" s="8">
        <f>Modeloutput!G840</f>
        <v>48.121961900000002</v>
      </c>
      <c r="BH39" s="8">
        <f>Modeloutput!H840</f>
        <v>2.35130975</v>
      </c>
      <c r="BI39" s="8">
        <f>Modeloutput!I840</f>
        <v>0</v>
      </c>
      <c r="BJ39" s="8">
        <f>Modeloutput!J840</f>
        <v>0</v>
      </c>
      <c r="BK39" s="8">
        <f>Modeloutput!K840</f>
        <v>0</v>
      </c>
      <c r="BL39" s="8">
        <f>Modeloutput!L840</f>
        <v>0</v>
      </c>
      <c r="BM39" s="8">
        <f>Modeloutput!M840</f>
        <v>0</v>
      </c>
      <c r="BN39" s="8">
        <f>Modeloutput!N840</f>
        <v>0</v>
      </c>
      <c r="BO39" s="8">
        <f>Modeloutput!O840</f>
        <v>0</v>
      </c>
      <c r="BP39" s="8">
        <f>Modeloutput!P840</f>
        <v>-6.4831778199999999</v>
      </c>
      <c r="BR39" s="7" t="s">
        <v>4</v>
      </c>
      <c r="BS39" s="13">
        <f t="shared" si="14"/>
        <v>112.9773131564</v>
      </c>
      <c r="BT39" s="8">
        <f>Modeloutput!C1095</f>
        <v>0</v>
      </c>
      <c r="BU39" s="8">
        <f>Modeloutput!D1095</f>
        <v>112.977313</v>
      </c>
      <c r="BV39" s="8">
        <f>Modeloutput!E1095</f>
        <v>60.2235662</v>
      </c>
      <c r="BW39" s="8">
        <f>Modeloutput!F1095</f>
        <v>9.8747818499999997</v>
      </c>
      <c r="BX39" s="8">
        <f>Modeloutput!G1095</f>
        <v>46.817982200000003</v>
      </c>
      <c r="BY39" s="8">
        <f>Modeloutput!H1095</f>
        <v>2.2724000800000002</v>
      </c>
      <c r="BZ39" s="8">
        <f>Modeloutput!I1095</f>
        <v>0</v>
      </c>
      <c r="CA39" s="8">
        <f>Modeloutput!J1095</f>
        <v>0</v>
      </c>
      <c r="CB39" s="8">
        <f>Modeloutput!K1095</f>
        <v>0</v>
      </c>
      <c r="CC39" s="8">
        <f>Modeloutput!L1095</f>
        <v>0</v>
      </c>
      <c r="CD39" s="8">
        <f>Modeloutput!M1095</f>
        <v>1.86450464E-2</v>
      </c>
      <c r="CE39" s="8">
        <f>Modeloutput!N1095</f>
        <v>0</v>
      </c>
      <c r="CF39" s="8">
        <f>Modeloutput!O1095</f>
        <v>0</v>
      </c>
      <c r="CG39" s="8">
        <f>Modeloutput!P1095</f>
        <v>-6.2300622199999998</v>
      </c>
    </row>
    <row r="40" spans="1:85" s="7" customFormat="1" x14ac:dyDescent="0.25">
      <c r="B40" s="7" t="s">
        <v>5</v>
      </c>
      <c r="C40" s="8">
        <f t="shared" si="10"/>
        <v>62.652573915999994</v>
      </c>
      <c r="D40" s="8">
        <f>Modeloutput!C76</f>
        <v>63.011886400000002</v>
      </c>
      <c r="E40" s="8">
        <f>Modeloutput!D76</f>
        <v>-0.35931244800000001</v>
      </c>
      <c r="F40" s="8">
        <f>Modeloutput!E76</f>
        <v>33.001526499999997</v>
      </c>
      <c r="G40" s="8">
        <f>Modeloutput!F76</f>
        <v>5.6912740399999997</v>
      </c>
      <c r="H40" s="8">
        <f>Modeloutput!G76</f>
        <v>23.5184365</v>
      </c>
      <c r="I40" s="8">
        <f>Modeloutput!H76</f>
        <v>0.44133687599999999</v>
      </c>
      <c r="J40" s="8">
        <f>Modeloutput!I76</f>
        <v>0</v>
      </c>
      <c r="K40" s="8">
        <f>Modeloutput!J76</f>
        <v>0</v>
      </c>
      <c r="L40" s="8">
        <f>Modeloutput!K76</f>
        <v>0</v>
      </c>
      <c r="M40" s="8">
        <f>Modeloutput!L76</f>
        <v>0</v>
      </c>
      <c r="N40" s="8">
        <f>Modeloutput!M76</f>
        <v>0</v>
      </c>
      <c r="O40" s="8">
        <f>Modeloutput!N76</f>
        <v>0</v>
      </c>
      <c r="P40" s="8">
        <f>Modeloutput!O76</f>
        <v>0</v>
      </c>
      <c r="Q40" s="8">
        <f>Modeloutput!P76</f>
        <v>0</v>
      </c>
      <c r="S40" s="7" t="s">
        <v>5</v>
      </c>
      <c r="T40" s="8">
        <f t="shared" si="11"/>
        <v>51.935199707000002</v>
      </c>
      <c r="U40" s="8">
        <f>Modeloutput!C331</f>
        <v>56.378835299999999</v>
      </c>
      <c r="V40" s="8">
        <f>Modeloutput!D331</f>
        <v>-4.4436355499999998</v>
      </c>
      <c r="W40" s="8">
        <f>Modeloutput!E331</f>
        <v>30.2138226</v>
      </c>
      <c r="X40" s="8">
        <f>Modeloutput!F331</f>
        <v>5.76060733</v>
      </c>
      <c r="Y40" s="8">
        <f>Modeloutput!G331</f>
        <v>15.515811100000001</v>
      </c>
      <c r="Z40" s="8">
        <f>Modeloutput!H331</f>
        <v>0.44495867700000002</v>
      </c>
      <c r="AA40" s="8">
        <f>Modeloutput!I331</f>
        <v>0</v>
      </c>
      <c r="AB40" s="8">
        <f>Modeloutput!J331</f>
        <v>0</v>
      </c>
      <c r="AC40" s="8">
        <f>Modeloutput!K331</f>
        <v>0</v>
      </c>
      <c r="AD40" s="8">
        <f>Modeloutput!L331</f>
        <v>0</v>
      </c>
      <c r="AE40" s="8">
        <f>Modeloutput!M331</f>
        <v>0</v>
      </c>
      <c r="AF40" s="8">
        <f>Modeloutput!N331</f>
        <v>0</v>
      </c>
      <c r="AG40" s="8">
        <f>Modeloutput!O331</f>
        <v>0</v>
      </c>
      <c r="AH40" s="8">
        <f>Modeloutput!P331</f>
        <v>0</v>
      </c>
      <c r="AJ40" s="7" t="s">
        <v>5</v>
      </c>
      <c r="AK40" s="8">
        <f t="shared" si="12"/>
        <v>43.036432505000001</v>
      </c>
      <c r="AL40" s="8">
        <f>Modeloutput!C586</f>
        <v>51.119373199999998</v>
      </c>
      <c r="AM40" s="8">
        <f>Modeloutput!D586</f>
        <v>-8.0829406299999995</v>
      </c>
      <c r="AN40" s="8">
        <f>Modeloutput!E586</f>
        <v>23.454906900000001</v>
      </c>
      <c r="AO40" s="8">
        <f>Modeloutput!F586</f>
        <v>5.97951253</v>
      </c>
      <c r="AP40" s="8">
        <f>Modeloutput!G586</f>
        <v>13.1525558</v>
      </c>
      <c r="AQ40" s="8">
        <f>Modeloutput!H586</f>
        <v>0.44945727499999999</v>
      </c>
      <c r="AR40" s="8">
        <f>Modeloutput!I586</f>
        <v>0</v>
      </c>
      <c r="AS40" s="8">
        <f>Modeloutput!J586</f>
        <v>0</v>
      </c>
      <c r="AT40" s="8">
        <f>Modeloutput!K586</f>
        <v>0</v>
      </c>
      <c r="AU40" s="8">
        <f>Modeloutput!L586</f>
        <v>0</v>
      </c>
      <c r="AV40" s="8">
        <f>Modeloutput!M586</f>
        <v>0</v>
      </c>
      <c r="AW40" s="8">
        <f>Modeloutput!N586</f>
        <v>0</v>
      </c>
      <c r="AX40" s="8">
        <f>Modeloutput!O586</f>
        <v>0</v>
      </c>
      <c r="AY40" s="8">
        <f>Modeloutput!P586</f>
        <v>0</v>
      </c>
      <c r="BA40" s="7" t="s">
        <v>5</v>
      </c>
      <c r="BB40" s="8">
        <f t="shared" si="13"/>
        <v>63.071049484</v>
      </c>
      <c r="BC40" s="8">
        <f>Modeloutput!C841</f>
        <v>63.213691400000002</v>
      </c>
      <c r="BD40" s="8">
        <f>Modeloutput!D841</f>
        <v>-0.142641923</v>
      </c>
      <c r="BE40" s="8">
        <f>Modeloutput!E841</f>
        <v>33.463528099999998</v>
      </c>
      <c r="BF40" s="8">
        <f>Modeloutput!F841</f>
        <v>5.7067103799999996</v>
      </c>
      <c r="BG40" s="8">
        <f>Modeloutput!G841</f>
        <v>23.460517100000001</v>
      </c>
      <c r="BH40" s="8">
        <f>Modeloutput!H841</f>
        <v>0.44029390400000001</v>
      </c>
      <c r="BI40" s="8">
        <f>Modeloutput!I841</f>
        <v>0</v>
      </c>
      <c r="BJ40" s="8">
        <f>Modeloutput!J841</f>
        <v>0</v>
      </c>
      <c r="BK40" s="8">
        <f>Modeloutput!K841</f>
        <v>0</v>
      </c>
      <c r="BL40" s="8">
        <f>Modeloutput!L841</f>
        <v>0</v>
      </c>
      <c r="BM40" s="8">
        <f>Modeloutput!M841</f>
        <v>0</v>
      </c>
      <c r="BN40" s="8">
        <f>Modeloutput!N841</f>
        <v>0</v>
      </c>
      <c r="BO40" s="8">
        <f>Modeloutput!O841</f>
        <v>0</v>
      </c>
      <c r="BP40" s="8">
        <f>Modeloutput!P841</f>
        <v>0</v>
      </c>
      <c r="BR40" s="7" t="s">
        <v>5</v>
      </c>
      <c r="BS40" s="8">
        <f t="shared" si="14"/>
        <v>248.38676707000002</v>
      </c>
      <c r="BT40" s="8">
        <f>Modeloutput!C1096</f>
        <v>139.304959</v>
      </c>
      <c r="BU40" s="8">
        <f>Modeloutput!D1096</f>
        <v>109.081808</v>
      </c>
      <c r="BV40" s="8">
        <f>Modeloutput!E1096</f>
        <v>160.90940000000001</v>
      </c>
      <c r="BW40" s="8">
        <f>Modeloutput!F1096</f>
        <v>21.507174200000001</v>
      </c>
      <c r="BX40" s="8">
        <f>Modeloutput!G1096</f>
        <v>64.532478999999995</v>
      </c>
      <c r="BY40" s="8">
        <f>Modeloutput!H1096</f>
        <v>1.4377138700000001</v>
      </c>
      <c r="BZ40" s="8">
        <f>Modeloutput!I1096</f>
        <v>0</v>
      </c>
      <c r="CA40" s="8">
        <f>Modeloutput!J1096</f>
        <v>0</v>
      </c>
      <c r="CB40" s="8">
        <f>Modeloutput!K1096</f>
        <v>0</v>
      </c>
      <c r="CC40" s="8">
        <f>Modeloutput!L1096</f>
        <v>0</v>
      </c>
      <c r="CD40" s="8">
        <f>Modeloutput!M1096</f>
        <v>0</v>
      </c>
      <c r="CE40" s="8">
        <f>Modeloutput!N1096</f>
        <v>0</v>
      </c>
      <c r="CF40" s="8">
        <f>Modeloutput!O1096</f>
        <v>0</v>
      </c>
      <c r="CG40" s="8">
        <f>Modeloutput!P1096</f>
        <v>0</v>
      </c>
    </row>
    <row r="41" spans="1:85" s="7" customFormat="1" x14ac:dyDescent="0.25">
      <c r="B41" s="7" t="s">
        <v>6</v>
      </c>
      <c r="C41" s="8">
        <f t="shared" si="10"/>
        <v>0</v>
      </c>
      <c r="D41" s="8">
        <f>Modeloutput!C77</f>
        <v>0</v>
      </c>
      <c r="E41" s="8">
        <f>Modeloutput!D77</f>
        <v>0</v>
      </c>
      <c r="F41" s="8">
        <f>Modeloutput!E77</f>
        <v>0</v>
      </c>
      <c r="G41" s="8">
        <f>Modeloutput!F77</f>
        <v>0</v>
      </c>
      <c r="H41" s="8">
        <f>Modeloutput!G77</f>
        <v>0</v>
      </c>
      <c r="I41" s="8">
        <f>Modeloutput!H77</f>
        <v>0</v>
      </c>
      <c r="J41" s="8">
        <f>Modeloutput!I77</f>
        <v>0</v>
      </c>
      <c r="K41" s="8">
        <f>Modeloutput!J77</f>
        <v>0</v>
      </c>
      <c r="L41" s="8">
        <f>Modeloutput!K77</f>
        <v>0</v>
      </c>
      <c r="M41" s="8">
        <f>Modeloutput!L77</f>
        <v>0</v>
      </c>
      <c r="N41" s="8">
        <f>Modeloutput!M77</f>
        <v>0</v>
      </c>
      <c r="O41" s="8">
        <f>Modeloutput!N77</f>
        <v>0</v>
      </c>
      <c r="P41" s="8">
        <f>Modeloutput!O77</f>
        <v>0</v>
      </c>
      <c r="Q41" s="8">
        <f>Modeloutput!P77</f>
        <v>0</v>
      </c>
      <c r="S41" s="7" t="s">
        <v>6</v>
      </c>
      <c r="T41" s="8">
        <f t="shared" si="11"/>
        <v>0</v>
      </c>
      <c r="U41" s="8">
        <f>Modeloutput!C332</f>
        <v>0</v>
      </c>
      <c r="V41" s="8">
        <f>Modeloutput!D332</f>
        <v>0</v>
      </c>
      <c r="W41" s="8">
        <f>Modeloutput!E332</f>
        <v>0</v>
      </c>
      <c r="X41" s="8">
        <f>Modeloutput!F332</f>
        <v>0</v>
      </c>
      <c r="Y41" s="8">
        <f>Modeloutput!G332</f>
        <v>0</v>
      </c>
      <c r="Z41" s="8">
        <f>Modeloutput!H332</f>
        <v>0</v>
      </c>
      <c r="AA41" s="8">
        <f>Modeloutput!I332</f>
        <v>0</v>
      </c>
      <c r="AB41" s="8">
        <f>Modeloutput!J332</f>
        <v>0</v>
      </c>
      <c r="AC41" s="8">
        <f>Modeloutput!K332</f>
        <v>0</v>
      </c>
      <c r="AD41" s="8">
        <f>Modeloutput!L332</f>
        <v>0</v>
      </c>
      <c r="AE41" s="8">
        <f>Modeloutput!M332</f>
        <v>0</v>
      </c>
      <c r="AF41" s="8">
        <f>Modeloutput!N332</f>
        <v>0</v>
      </c>
      <c r="AG41" s="8">
        <f>Modeloutput!O332</f>
        <v>0</v>
      </c>
      <c r="AH41" s="8">
        <f>Modeloutput!P332</f>
        <v>0</v>
      </c>
      <c r="AJ41" s="7" t="s">
        <v>6</v>
      </c>
      <c r="AK41" s="8">
        <f t="shared" si="12"/>
        <v>0</v>
      </c>
      <c r="AL41" s="8">
        <f>Modeloutput!C587</f>
        <v>0</v>
      </c>
      <c r="AM41" s="8">
        <f>Modeloutput!D587</f>
        <v>0</v>
      </c>
      <c r="AN41" s="8">
        <f>Modeloutput!E587</f>
        <v>0</v>
      </c>
      <c r="AO41" s="8">
        <f>Modeloutput!F587</f>
        <v>0</v>
      </c>
      <c r="AP41" s="8">
        <f>Modeloutput!G587</f>
        <v>0</v>
      </c>
      <c r="AQ41" s="8">
        <f>Modeloutput!H587</f>
        <v>0</v>
      </c>
      <c r="AR41" s="8">
        <f>Modeloutput!I587</f>
        <v>0</v>
      </c>
      <c r="AS41" s="8">
        <f>Modeloutput!J587</f>
        <v>0</v>
      </c>
      <c r="AT41" s="8">
        <f>Modeloutput!K587</f>
        <v>0</v>
      </c>
      <c r="AU41" s="8">
        <f>Modeloutput!L587</f>
        <v>0</v>
      </c>
      <c r="AV41" s="8">
        <f>Modeloutput!M587</f>
        <v>0</v>
      </c>
      <c r="AW41" s="8">
        <f>Modeloutput!N587</f>
        <v>0</v>
      </c>
      <c r="AX41" s="8">
        <f>Modeloutput!O587</f>
        <v>0</v>
      </c>
      <c r="AY41" s="8">
        <f>Modeloutput!P587</f>
        <v>0</v>
      </c>
      <c r="BA41" s="7" t="s">
        <v>6</v>
      </c>
      <c r="BB41" s="8">
        <f t="shared" si="13"/>
        <v>0</v>
      </c>
      <c r="BC41" s="8">
        <f>Modeloutput!C842</f>
        <v>0</v>
      </c>
      <c r="BD41" s="8">
        <f>Modeloutput!D842</f>
        <v>0</v>
      </c>
      <c r="BE41" s="8">
        <f>Modeloutput!E842</f>
        <v>0</v>
      </c>
      <c r="BF41" s="8">
        <f>Modeloutput!F842</f>
        <v>0</v>
      </c>
      <c r="BG41" s="8">
        <f>Modeloutput!G842</f>
        <v>0</v>
      </c>
      <c r="BH41" s="8">
        <f>Modeloutput!H842</f>
        <v>0</v>
      </c>
      <c r="BI41" s="8">
        <f>Modeloutput!I842</f>
        <v>0</v>
      </c>
      <c r="BJ41" s="8">
        <f>Modeloutput!J842</f>
        <v>0</v>
      </c>
      <c r="BK41" s="8">
        <f>Modeloutput!K842</f>
        <v>0</v>
      </c>
      <c r="BL41" s="8">
        <f>Modeloutput!L842</f>
        <v>0</v>
      </c>
      <c r="BM41" s="8">
        <f>Modeloutput!M842</f>
        <v>0</v>
      </c>
      <c r="BN41" s="8">
        <f>Modeloutput!N842</f>
        <v>0</v>
      </c>
      <c r="BO41" s="8">
        <f>Modeloutput!O842</f>
        <v>0</v>
      </c>
      <c r="BP41" s="8">
        <f>Modeloutput!P842</f>
        <v>0</v>
      </c>
      <c r="BR41" s="7" t="s">
        <v>6</v>
      </c>
      <c r="BS41" s="8">
        <f t="shared" si="14"/>
        <v>115.96659482199999</v>
      </c>
      <c r="BT41" s="8">
        <f>Modeloutput!C1097</f>
        <v>85.248732200000006</v>
      </c>
      <c r="BU41" s="8">
        <f>Modeloutput!D1097</f>
        <v>30.717862499999999</v>
      </c>
      <c r="BV41" s="8">
        <f>Modeloutput!E1097</f>
        <v>86.882602899999995</v>
      </c>
      <c r="BW41" s="8">
        <f>Modeloutput!F1097</f>
        <v>7.4992801099999999</v>
      </c>
      <c r="BX41" s="8">
        <f>Modeloutput!G1097</f>
        <v>20.651328899999999</v>
      </c>
      <c r="BY41" s="8">
        <f>Modeloutput!H1097</f>
        <v>0.93338291200000001</v>
      </c>
      <c r="BZ41" s="8">
        <f>Modeloutput!I1097</f>
        <v>0</v>
      </c>
      <c r="CA41" s="8">
        <f>Modeloutput!J1097</f>
        <v>0</v>
      </c>
      <c r="CB41" s="8">
        <f>Modeloutput!K1097</f>
        <v>0</v>
      </c>
      <c r="CC41" s="8">
        <f>Modeloutput!L1097</f>
        <v>0</v>
      </c>
      <c r="CD41" s="8">
        <f>Modeloutput!M1097</f>
        <v>0</v>
      </c>
      <c r="CE41" s="8">
        <f>Modeloutput!N1097</f>
        <v>0</v>
      </c>
      <c r="CF41" s="8">
        <f>Modeloutput!O1097</f>
        <v>0</v>
      </c>
      <c r="CG41" s="8">
        <f>Modeloutput!P1097</f>
        <v>0</v>
      </c>
    </row>
    <row r="42" spans="1:85" s="7" customFormat="1" x14ac:dyDescent="0.25">
      <c r="B42" s="7" t="s">
        <v>7</v>
      </c>
      <c r="C42" s="8">
        <f t="shared" si="10"/>
        <v>10.880840423</v>
      </c>
      <c r="D42" s="8">
        <f>Modeloutput!C78</f>
        <v>6.6106634900000003</v>
      </c>
      <c r="E42" s="8">
        <f>Modeloutput!D78</f>
        <v>4.2701769299999999</v>
      </c>
      <c r="F42" s="8">
        <f>Modeloutput!E78</f>
        <v>0</v>
      </c>
      <c r="G42" s="8">
        <f>Modeloutput!F78</f>
        <v>8.6847943300000008</v>
      </c>
      <c r="H42" s="8">
        <f>Modeloutput!G78</f>
        <v>1.4829078</v>
      </c>
      <c r="I42" s="8">
        <f>Modeloutput!H78</f>
        <v>0.71313829299999998</v>
      </c>
      <c r="J42" s="8">
        <f>Modeloutput!I78</f>
        <v>0</v>
      </c>
      <c r="K42" s="8">
        <f>Modeloutput!J78</f>
        <v>0</v>
      </c>
      <c r="L42" s="8">
        <f>Modeloutput!K78</f>
        <v>0</v>
      </c>
      <c r="M42" s="8">
        <f>Modeloutput!L78</f>
        <v>0</v>
      </c>
      <c r="N42" s="8">
        <f>Modeloutput!M78</f>
        <v>0</v>
      </c>
      <c r="O42" s="8">
        <f>Modeloutput!N78</f>
        <v>0</v>
      </c>
      <c r="P42" s="8">
        <f>Modeloutput!O78</f>
        <v>0</v>
      </c>
      <c r="Q42" s="8">
        <f>Modeloutput!P78</f>
        <v>0</v>
      </c>
      <c r="S42" s="7" t="s">
        <v>7</v>
      </c>
      <c r="T42" s="8">
        <f t="shared" si="11"/>
        <v>10.880431294000001</v>
      </c>
      <c r="U42" s="8">
        <f>Modeloutput!C333</f>
        <v>6.5530627199999998</v>
      </c>
      <c r="V42" s="8">
        <f>Modeloutput!D333</f>
        <v>4.32736857</v>
      </c>
      <c r="W42" s="8">
        <f>Modeloutput!E333</f>
        <v>0</v>
      </c>
      <c r="X42" s="8">
        <f>Modeloutput!F333</f>
        <v>8.6716113900000007</v>
      </c>
      <c r="Y42" s="8">
        <f>Modeloutput!G333</f>
        <v>1.4918145199999999</v>
      </c>
      <c r="Z42" s="8">
        <f>Modeloutput!H333</f>
        <v>0.71700538400000002</v>
      </c>
      <c r="AA42" s="8">
        <f>Modeloutput!I333</f>
        <v>0</v>
      </c>
      <c r="AB42" s="8">
        <f>Modeloutput!J333</f>
        <v>0</v>
      </c>
      <c r="AC42" s="8">
        <f>Modeloutput!K333</f>
        <v>0</v>
      </c>
      <c r="AD42" s="8">
        <f>Modeloutput!L333</f>
        <v>0</v>
      </c>
      <c r="AE42" s="8">
        <f>Modeloutput!M333</f>
        <v>0</v>
      </c>
      <c r="AF42" s="8">
        <f>Modeloutput!N333</f>
        <v>0</v>
      </c>
      <c r="AG42" s="8">
        <f>Modeloutput!O333</f>
        <v>0</v>
      </c>
      <c r="AH42" s="8">
        <f>Modeloutput!P333</f>
        <v>0</v>
      </c>
      <c r="AJ42" s="7" t="s">
        <v>7</v>
      </c>
      <c r="AK42" s="8">
        <f t="shared" si="12"/>
        <v>84.245104683000008</v>
      </c>
      <c r="AL42" s="8">
        <f>Modeloutput!C588</f>
        <v>89.986144499999995</v>
      </c>
      <c r="AM42" s="8">
        <f>Modeloutput!D588</f>
        <v>-5.7410397700000004</v>
      </c>
      <c r="AN42" s="8">
        <f>Modeloutput!E588</f>
        <v>61.2599296</v>
      </c>
      <c r="AO42" s="8">
        <f>Modeloutput!F588</f>
        <v>9.0311274299999997</v>
      </c>
      <c r="AP42" s="8">
        <f>Modeloutput!G588</f>
        <v>13.232239</v>
      </c>
      <c r="AQ42" s="8">
        <f>Modeloutput!H588</f>
        <v>0.72180865299999997</v>
      </c>
      <c r="AR42" s="8">
        <f>Modeloutput!I588</f>
        <v>0</v>
      </c>
      <c r="AS42" s="8">
        <f>Modeloutput!J588</f>
        <v>0</v>
      </c>
      <c r="AT42" s="8">
        <f>Modeloutput!K588</f>
        <v>0</v>
      </c>
      <c r="AU42" s="8">
        <f>Modeloutput!L588</f>
        <v>0</v>
      </c>
      <c r="AV42" s="8">
        <f>Modeloutput!M588</f>
        <v>0</v>
      </c>
      <c r="AW42" s="8">
        <f>Modeloutput!N588</f>
        <v>0</v>
      </c>
      <c r="AX42" s="8">
        <f>Modeloutput!O588</f>
        <v>0</v>
      </c>
      <c r="AY42" s="8">
        <f>Modeloutput!P588</f>
        <v>0</v>
      </c>
      <c r="BA42" s="7" t="s">
        <v>7</v>
      </c>
      <c r="BB42" s="8">
        <f t="shared" si="13"/>
        <v>0</v>
      </c>
      <c r="BC42" s="8">
        <f>Modeloutput!C843</f>
        <v>0</v>
      </c>
      <c r="BD42" s="8">
        <f>Modeloutput!D843</f>
        <v>0</v>
      </c>
      <c r="BE42" s="8">
        <f>Modeloutput!E843</f>
        <v>0</v>
      </c>
      <c r="BF42" s="8">
        <f>Modeloutput!F843</f>
        <v>0</v>
      </c>
      <c r="BG42" s="8">
        <f>Modeloutput!G843</f>
        <v>0</v>
      </c>
      <c r="BH42" s="8">
        <f>Modeloutput!H843</f>
        <v>0</v>
      </c>
      <c r="BI42" s="8">
        <f>Modeloutput!I843</f>
        <v>0</v>
      </c>
      <c r="BJ42" s="8">
        <f>Modeloutput!J843</f>
        <v>0</v>
      </c>
      <c r="BK42" s="8">
        <f>Modeloutput!K843</f>
        <v>0</v>
      </c>
      <c r="BL42" s="8">
        <f>Modeloutput!L843</f>
        <v>0</v>
      </c>
      <c r="BM42" s="8">
        <f>Modeloutput!M843</f>
        <v>0</v>
      </c>
      <c r="BN42" s="8">
        <f>Modeloutput!N843</f>
        <v>0</v>
      </c>
      <c r="BO42" s="8">
        <f>Modeloutput!O843</f>
        <v>0</v>
      </c>
      <c r="BP42" s="8">
        <f>Modeloutput!P843</f>
        <v>0</v>
      </c>
      <c r="BR42" s="7" t="s">
        <v>7</v>
      </c>
      <c r="BS42" s="8">
        <f t="shared" si="14"/>
        <v>0.18917184950000002</v>
      </c>
      <c r="BT42" s="8">
        <f>Modeloutput!C1098</f>
        <v>8.6745875799999997E-2</v>
      </c>
      <c r="BU42" s="8">
        <f>Modeloutput!D1098</f>
        <v>0.102425974</v>
      </c>
      <c r="BV42" s="8">
        <f>Modeloutput!E1098</f>
        <v>0</v>
      </c>
      <c r="BW42" s="8">
        <f>Modeloutput!F1098</f>
        <v>0.10204970200000001</v>
      </c>
      <c r="BX42" s="8">
        <f>Modeloutput!G1098</f>
        <v>4.0232542500000003E-2</v>
      </c>
      <c r="BY42" s="8">
        <f>Modeloutput!H1098</f>
        <v>4.6889605000000001E-2</v>
      </c>
      <c r="BZ42" s="8">
        <f>Modeloutput!I1098</f>
        <v>0</v>
      </c>
      <c r="CA42" s="8">
        <f>Modeloutput!J1098</f>
        <v>0</v>
      </c>
      <c r="CB42" s="8">
        <f>Modeloutput!K1098</f>
        <v>0</v>
      </c>
      <c r="CC42" s="8">
        <f>Modeloutput!L1098</f>
        <v>0</v>
      </c>
      <c r="CD42" s="8">
        <f>Modeloutput!M1098</f>
        <v>0</v>
      </c>
      <c r="CE42" s="8">
        <f>Modeloutput!N1098</f>
        <v>0</v>
      </c>
      <c r="CF42" s="8">
        <f>Modeloutput!O1098</f>
        <v>0</v>
      </c>
      <c r="CG42" s="8">
        <f>Modeloutput!P1098</f>
        <v>0</v>
      </c>
    </row>
    <row r="43" spans="1:85" s="7" customFormat="1" x14ac:dyDescent="0.25">
      <c r="B43" s="7" t="s">
        <v>8</v>
      </c>
      <c r="C43" s="8">
        <f t="shared" si="10"/>
        <v>0</v>
      </c>
      <c r="D43" s="8">
        <f>Modeloutput!C79</f>
        <v>0</v>
      </c>
      <c r="E43" s="8">
        <f>Modeloutput!D79</f>
        <v>0</v>
      </c>
      <c r="F43" s="8">
        <f>Modeloutput!E79</f>
        <v>0</v>
      </c>
      <c r="G43" s="8">
        <f>Modeloutput!F79</f>
        <v>0</v>
      </c>
      <c r="H43" s="8">
        <f>Modeloutput!G79</f>
        <v>0</v>
      </c>
      <c r="I43" s="8">
        <f>Modeloutput!H79</f>
        <v>0</v>
      </c>
      <c r="J43" s="8">
        <f>Modeloutput!I79</f>
        <v>0</v>
      </c>
      <c r="K43" s="8">
        <f>Modeloutput!J79</f>
        <v>0</v>
      </c>
      <c r="L43" s="8">
        <f>Modeloutput!K79</f>
        <v>0</v>
      </c>
      <c r="M43" s="8">
        <f>Modeloutput!L79</f>
        <v>0</v>
      </c>
      <c r="N43" s="8">
        <f>Modeloutput!M79</f>
        <v>0</v>
      </c>
      <c r="O43" s="8">
        <f>Modeloutput!N79</f>
        <v>0</v>
      </c>
      <c r="P43" s="8">
        <f>Modeloutput!O79</f>
        <v>0</v>
      </c>
      <c r="Q43" s="8">
        <f>Modeloutput!P79</f>
        <v>0</v>
      </c>
      <c r="S43" s="7" t="s">
        <v>8</v>
      </c>
      <c r="T43" s="8">
        <f t="shared" si="11"/>
        <v>0</v>
      </c>
      <c r="U43" s="8">
        <f>Modeloutput!C334</f>
        <v>0</v>
      </c>
      <c r="V43" s="8">
        <f>Modeloutput!D334</f>
        <v>0</v>
      </c>
      <c r="W43" s="8">
        <f>Modeloutput!E334</f>
        <v>0</v>
      </c>
      <c r="X43" s="8">
        <f>Modeloutput!F334</f>
        <v>0</v>
      </c>
      <c r="Y43" s="8">
        <f>Modeloutput!G334</f>
        <v>0</v>
      </c>
      <c r="Z43" s="8">
        <f>Modeloutput!H334</f>
        <v>0</v>
      </c>
      <c r="AA43" s="8">
        <f>Modeloutput!I334</f>
        <v>0</v>
      </c>
      <c r="AB43" s="8">
        <f>Modeloutput!J334</f>
        <v>0</v>
      </c>
      <c r="AC43" s="8">
        <f>Modeloutput!K334</f>
        <v>0</v>
      </c>
      <c r="AD43" s="8">
        <f>Modeloutput!L334</f>
        <v>0</v>
      </c>
      <c r="AE43" s="8">
        <f>Modeloutput!M334</f>
        <v>0</v>
      </c>
      <c r="AF43" s="8">
        <f>Modeloutput!N334</f>
        <v>0</v>
      </c>
      <c r="AG43" s="8">
        <f>Modeloutput!O334</f>
        <v>0</v>
      </c>
      <c r="AH43" s="8">
        <f>Modeloutput!P334</f>
        <v>0</v>
      </c>
      <c r="AJ43" s="7" t="s">
        <v>8</v>
      </c>
      <c r="AK43" s="8">
        <f t="shared" si="12"/>
        <v>0</v>
      </c>
      <c r="AL43" s="8">
        <f>Modeloutput!C589</f>
        <v>0</v>
      </c>
      <c r="AM43" s="8">
        <f>Modeloutput!D589</f>
        <v>0</v>
      </c>
      <c r="AN43" s="8">
        <f>Modeloutput!E589</f>
        <v>0</v>
      </c>
      <c r="AO43" s="8">
        <f>Modeloutput!F589</f>
        <v>0</v>
      </c>
      <c r="AP43" s="8">
        <f>Modeloutput!G589</f>
        <v>0</v>
      </c>
      <c r="AQ43" s="8">
        <f>Modeloutput!H589</f>
        <v>0</v>
      </c>
      <c r="AR43" s="8">
        <f>Modeloutput!I589</f>
        <v>0</v>
      </c>
      <c r="AS43" s="8">
        <f>Modeloutput!J589</f>
        <v>0</v>
      </c>
      <c r="AT43" s="8">
        <f>Modeloutput!K589</f>
        <v>0</v>
      </c>
      <c r="AU43" s="8">
        <f>Modeloutput!L589</f>
        <v>0</v>
      </c>
      <c r="AV43" s="8">
        <f>Modeloutput!M589</f>
        <v>0</v>
      </c>
      <c r="AW43" s="8">
        <f>Modeloutput!N589</f>
        <v>0</v>
      </c>
      <c r="AX43" s="8">
        <f>Modeloutput!O589</f>
        <v>0</v>
      </c>
      <c r="AY43" s="8">
        <f>Modeloutput!P589</f>
        <v>0</v>
      </c>
      <c r="BA43" s="7" t="s">
        <v>8</v>
      </c>
      <c r="BB43" s="8">
        <f t="shared" si="13"/>
        <v>0</v>
      </c>
      <c r="BC43" s="8">
        <f>Modeloutput!C844</f>
        <v>0</v>
      </c>
      <c r="BD43" s="8">
        <f>Modeloutput!D844</f>
        <v>0</v>
      </c>
      <c r="BE43" s="8">
        <f>Modeloutput!E844</f>
        <v>0</v>
      </c>
      <c r="BF43" s="8">
        <f>Modeloutput!F844</f>
        <v>0</v>
      </c>
      <c r="BG43" s="8">
        <f>Modeloutput!G844</f>
        <v>0</v>
      </c>
      <c r="BH43" s="8">
        <f>Modeloutput!H844</f>
        <v>0</v>
      </c>
      <c r="BI43" s="8">
        <f>Modeloutput!I844</f>
        <v>0</v>
      </c>
      <c r="BJ43" s="8">
        <f>Modeloutput!J844</f>
        <v>0</v>
      </c>
      <c r="BK43" s="8">
        <f>Modeloutput!K844</f>
        <v>0</v>
      </c>
      <c r="BL43" s="8">
        <f>Modeloutput!L844</f>
        <v>0</v>
      </c>
      <c r="BM43" s="8">
        <f>Modeloutput!M844</f>
        <v>0</v>
      </c>
      <c r="BN43" s="8">
        <f>Modeloutput!N844</f>
        <v>0</v>
      </c>
      <c r="BO43" s="8">
        <f>Modeloutput!O844</f>
        <v>0</v>
      </c>
      <c r="BP43" s="8">
        <f>Modeloutput!P844</f>
        <v>0</v>
      </c>
      <c r="BR43" s="7" t="s">
        <v>8</v>
      </c>
      <c r="BS43" s="8">
        <f t="shared" si="14"/>
        <v>0</v>
      </c>
      <c r="BT43" s="8">
        <f>Modeloutput!C1099</f>
        <v>0</v>
      </c>
      <c r="BU43" s="8">
        <f>Modeloutput!D1099</f>
        <v>0</v>
      </c>
      <c r="BV43" s="8">
        <f>Modeloutput!E1099</f>
        <v>0</v>
      </c>
      <c r="BW43" s="8">
        <f>Modeloutput!F1099</f>
        <v>0</v>
      </c>
      <c r="BX43" s="8">
        <f>Modeloutput!G1099</f>
        <v>0</v>
      </c>
      <c r="BY43" s="8">
        <f>Modeloutput!H1099</f>
        <v>0</v>
      </c>
      <c r="BZ43" s="8">
        <f>Modeloutput!I1099</f>
        <v>0</v>
      </c>
      <c r="CA43" s="8">
        <f>Modeloutput!J1099</f>
        <v>0</v>
      </c>
      <c r="CB43" s="8">
        <f>Modeloutput!K1099</f>
        <v>0</v>
      </c>
      <c r="CC43" s="8">
        <f>Modeloutput!L1099</f>
        <v>0</v>
      </c>
      <c r="CD43" s="8">
        <f>Modeloutput!M1099</f>
        <v>0</v>
      </c>
      <c r="CE43" s="8">
        <f>Modeloutput!N1099</f>
        <v>0</v>
      </c>
      <c r="CF43" s="8">
        <f>Modeloutput!O1099</f>
        <v>0</v>
      </c>
      <c r="CG43" s="8">
        <f>Modeloutput!P1099</f>
        <v>0</v>
      </c>
    </row>
    <row r="44" spans="1:85" s="7" customFormat="1" x14ac:dyDescent="0.25">
      <c r="B44" s="7" t="s">
        <v>9</v>
      </c>
      <c r="C44" s="8">
        <f t="shared" si="10"/>
        <v>0</v>
      </c>
      <c r="D44" s="8">
        <f>Modeloutput!C80</f>
        <v>0</v>
      </c>
      <c r="E44" s="8">
        <f>Modeloutput!D80</f>
        <v>0</v>
      </c>
      <c r="F44" s="8">
        <f>Modeloutput!E80</f>
        <v>0</v>
      </c>
      <c r="G44" s="8">
        <f>Modeloutput!F80</f>
        <v>0</v>
      </c>
      <c r="H44" s="8">
        <f>Modeloutput!G80</f>
        <v>0</v>
      </c>
      <c r="I44" s="8">
        <f>Modeloutput!H80</f>
        <v>0</v>
      </c>
      <c r="J44" s="8">
        <f>Modeloutput!I80</f>
        <v>0</v>
      </c>
      <c r="K44" s="8">
        <f>Modeloutput!J80</f>
        <v>0</v>
      </c>
      <c r="L44" s="8">
        <f>Modeloutput!K80</f>
        <v>0</v>
      </c>
      <c r="M44" s="8">
        <f>Modeloutput!L80</f>
        <v>0</v>
      </c>
      <c r="N44" s="8">
        <f>Modeloutput!M80</f>
        <v>0</v>
      </c>
      <c r="O44" s="8">
        <f>Modeloutput!N80</f>
        <v>0</v>
      </c>
      <c r="P44" s="8">
        <f>Modeloutput!O80</f>
        <v>0</v>
      </c>
      <c r="Q44" s="8">
        <f>Modeloutput!P80</f>
        <v>0</v>
      </c>
      <c r="S44" s="7" t="s">
        <v>9</v>
      </c>
      <c r="T44" s="8">
        <f t="shared" si="11"/>
        <v>0</v>
      </c>
      <c r="U44" s="8">
        <f>Modeloutput!C335</f>
        <v>0</v>
      </c>
      <c r="V44" s="8">
        <f>Modeloutput!D335</f>
        <v>0</v>
      </c>
      <c r="W44" s="8">
        <f>Modeloutput!E335</f>
        <v>0</v>
      </c>
      <c r="X44" s="8">
        <f>Modeloutput!F335</f>
        <v>0</v>
      </c>
      <c r="Y44" s="8">
        <f>Modeloutput!G335</f>
        <v>0</v>
      </c>
      <c r="Z44" s="8">
        <f>Modeloutput!H335</f>
        <v>0</v>
      </c>
      <c r="AA44" s="8">
        <f>Modeloutput!I335</f>
        <v>0</v>
      </c>
      <c r="AB44" s="8">
        <f>Modeloutput!J335</f>
        <v>0</v>
      </c>
      <c r="AC44" s="8">
        <f>Modeloutput!K335</f>
        <v>0</v>
      </c>
      <c r="AD44" s="8">
        <f>Modeloutput!L335</f>
        <v>0</v>
      </c>
      <c r="AE44" s="8">
        <f>Modeloutput!M335</f>
        <v>0</v>
      </c>
      <c r="AF44" s="8">
        <f>Modeloutput!N335</f>
        <v>0</v>
      </c>
      <c r="AG44" s="8">
        <f>Modeloutput!O335</f>
        <v>0</v>
      </c>
      <c r="AH44" s="8">
        <f>Modeloutput!P335</f>
        <v>0</v>
      </c>
      <c r="AJ44" s="7" t="s">
        <v>9</v>
      </c>
      <c r="AK44" s="8">
        <f t="shared" si="12"/>
        <v>0</v>
      </c>
      <c r="AL44" s="8">
        <f>Modeloutput!C590</f>
        <v>0</v>
      </c>
      <c r="AM44" s="8">
        <f>Modeloutput!D590</f>
        <v>0</v>
      </c>
      <c r="AN44" s="8">
        <f>Modeloutput!E590</f>
        <v>0</v>
      </c>
      <c r="AO44" s="8">
        <f>Modeloutput!F590</f>
        <v>0</v>
      </c>
      <c r="AP44" s="8">
        <f>Modeloutput!G590</f>
        <v>0</v>
      </c>
      <c r="AQ44" s="8">
        <f>Modeloutput!H590</f>
        <v>0</v>
      </c>
      <c r="AR44" s="8">
        <f>Modeloutput!I590</f>
        <v>0</v>
      </c>
      <c r="AS44" s="8">
        <f>Modeloutput!J590</f>
        <v>0</v>
      </c>
      <c r="AT44" s="8">
        <f>Modeloutput!K590</f>
        <v>0</v>
      </c>
      <c r="AU44" s="8">
        <f>Modeloutput!L590</f>
        <v>0</v>
      </c>
      <c r="AV44" s="8">
        <f>Modeloutput!M590</f>
        <v>0</v>
      </c>
      <c r="AW44" s="8">
        <f>Modeloutput!N590</f>
        <v>0</v>
      </c>
      <c r="AX44" s="8">
        <f>Modeloutput!O590</f>
        <v>0</v>
      </c>
      <c r="AY44" s="8">
        <f>Modeloutput!P590</f>
        <v>0</v>
      </c>
      <c r="BA44" s="7" t="s">
        <v>9</v>
      </c>
      <c r="BB44" s="8">
        <f t="shared" si="13"/>
        <v>0</v>
      </c>
      <c r="BC44" s="8">
        <f>Modeloutput!C845</f>
        <v>0</v>
      </c>
      <c r="BD44" s="8">
        <f>Modeloutput!D845</f>
        <v>0</v>
      </c>
      <c r="BE44" s="8">
        <f>Modeloutput!E845</f>
        <v>0</v>
      </c>
      <c r="BF44" s="8">
        <f>Modeloutput!F845</f>
        <v>0</v>
      </c>
      <c r="BG44" s="8">
        <f>Modeloutput!G845</f>
        <v>0</v>
      </c>
      <c r="BH44" s="8">
        <f>Modeloutput!H845</f>
        <v>0</v>
      </c>
      <c r="BI44" s="8">
        <f>Modeloutput!I845</f>
        <v>0</v>
      </c>
      <c r="BJ44" s="8">
        <f>Modeloutput!J845</f>
        <v>0</v>
      </c>
      <c r="BK44" s="8">
        <f>Modeloutput!K845</f>
        <v>0</v>
      </c>
      <c r="BL44" s="8">
        <f>Modeloutput!L845</f>
        <v>0</v>
      </c>
      <c r="BM44" s="8">
        <f>Modeloutput!M845</f>
        <v>0</v>
      </c>
      <c r="BN44" s="8">
        <f>Modeloutput!N845</f>
        <v>0</v>
      </c>
      <c r="BO44" s="8">
        <f>Modeloutput!O845</f>
        <v>0</v>
      </c>
      <c r="BP44" s="8">
        <f>Modeloutput!P845</f>
        <v>0</v>
      </c>
      <c r="BR44" s="7" t="s">
        <v>9</v>
      </c>
      <c r="BS44" s="8">
        <f t="shared" si="14"/>
        <v>0</v>
      </c>
      <c r="BT44" s="8">
        <f>Modeloutput!C1100</f>
        <v>0</v>
      </c>
      <c r="BU44" s="8">
        <f>Modeloutput!D1100</f>
        <v>0</v>
      </c>
      <c r="BV44" s="8">
        <f>Modeloutput!E1100</f>
        <v>0</v>
      </c>
      <c r="BW44" s="8">
        <f>Modeloutput!F1100</f>
        <v>0</v>
      </c>
      <c r="BX44" s="8">
        <f>Modeloutput!G1100</f>
        <v>0</v>
      </c>
      <c r="BY44" s="8">
        <f>Modeloutput!H1100</f>
        <v>0</v>
      </c>
      <c r="BZ44" s="8">
        <f>Modeloutput!I1100</f>
        <v>0</v>
      </c>
      <c r="CA44" s="8">
        <f>Modeloutput!J1100</f>
        <v>0</v>
      </c>
      <c r="CB44" s="8">
        <f>Modeloutput!K1100</f>
        <v>0</v>
      </c>
      <c r="CC44" s="8">
        <f>Modeloutput!L1100</f>
        <v>0</v>
      </c>
      <c r="CD44" s="8">
        <f>Modeloutput!M1100</f>
        <v>0</v>
      </c>
      <c r="CE44" s="8">
        <f>Modeloutput!N1100</f>
        <v>0</v>
      </c>
      <c r="CF44" s="8">
        <f>Modeloutput!O1100</f>
        <v>0</v>
      </c>
      <c r="CG44" s="8">
        <f>Modeloutput!P1100</f>
        <v>0</v>
      </c>
    </row>
    <row r="45" spans="1:85" s="7" customFormat="1" x14ac:dyDescent="0.25">
      <c r="B45" s="7" t="s">
        <v>10</v>
      </c>
      <c r="C45" s="13">
        <f t="shared" si="10"/>
        <v>25.453159991016999</v>
      </c>
      <c r="D45" s="8">
        <f>Modeloutput!C81</f>
        <v>0</v>
      </c>
      <c r="E45" s="8">
        <f>Modeloutput!D81</f>
        <v>25.45316</v>
      </c>
      <c r="F45" s="8">
        <f>Modeloutput!E81</f>
        <v>0</v>
      </c>
      <c r="G45" s="8">
        <f>Modeloutput!F81</f>
        <v>-1.9417500000000001</v>
      </c>
      <c r="H45" s="8">
        <f>Modeloutput!G81</f>
        <v>9.7361701700000001E-4</v>
      </c>
      <c r="I45" s="8">
        <f>Modeloutput!H81</f>
        <v>0</v>
      </c>
      <c r="J45" s="8">
        <f>Modeloutput!I81</f>
        <v>0</v>
      </c>
      <c r="K45" s="8">
        <f>Modeloutput!J81</f>
        <v>0</v>
      </c>
      <c r="L45" s="8">
        <f>Modeloutput!K81</f>
        <v>27.3478016</v>
      </c>
      <c r="M45" s="8">
        <f>Modeloutput!L81</f>
        <v>0</v>
      </c>
      <c r="N45" s="8">
        <f>Modeloutput!M81</f>
        <v>4.6134774000000003E-2</v>
      </c>
      <c r="O45" s="8">
        <f>Modeloutput!N81</f>
        <v>0</v>
      </c>
      <c r="P45" s="8">
        <f>Modeloutput!O81</f>
        <v>0</v>
      </c>
      <c r="Q45" s="8">
        <f>Modeloutput!P81</f>
        <v>0</v>
      </c>
      <c r="S45" s="7" t="s">
        <v>10</v>
      </c>
      <c r="T45" s="13">
        <f t="shared" si="11"/>
        <v>25.467942558400001</v>
      </c>
      <c r="U45" s="8">
        <f>Modeloutput!C336</f>
        <v>0</v>
      </c>
      <c r="V45" s="8">
        <f>Modeloutput!D336</f>
        <v>25.467942499999999</v>
      </c>
      <c r="W45" s="8">
        <f>Modeloutput!E336</f>
        <v>0</v>
      </c>
      <c r="X45" s="8">
        <f>Modeloutput!F336</f>
        <v>-1.9257500000000001</v>
      </c>
      <c r="Y45" s="8">
        <f>Modeloutput!G336</f>
        <v>0</v>
      </c>
      <c r="Z45" s="8">
        <f>Modeloutput!H336</f>
        <v>0</v>
      </c>
      <c r="AA45" s="8">
        <f>Modeloutput!I336</f>
        <v>0</v>
      </c>
      <c r="AB45" s="8">
        <f>Modeloutput!J336</f>
        <v>0</v>
      </c>
      <c r="AC45" s="8">
        <f>Modeloutput!K336</f>
        <v>27.3478016</v>
      </c>
      <c r="AD45" s="8">
        <f>Modeloutput!L336</f>
        <v>0</v>
      </c>
      <c r="AE45" s="8">
        <f>Modeloutput!M336</f>
        <v>4.5890958400000001E-2</v>
      </c>
      <c r="AF45" s="8">
        <f>Modeloutput!N336</f>
        <v>0</v>
      </c>
      <c r="AG45" s="8">
        <f>Modeloutput!O336</f>
        <v>0</v>
      </c>
      <c r="AH45" s="8">
        <f>Modeloutput!P336</f>
        <v>0</v>
      </c>
      <c r="AJ45" s="7" t="s">
        <v>10</v>
      </c>
      <c r="AK45" s="13">
        <f t="shared" si="12"/>
        <v>6.2467469000000015</v>
      </c>
      <c r="AL45" s="8">
        <f>Modeloutput!C591</f>
        <v>0</v>
      </c>
      <c r="AM45" s="8">
        <f>Modeloutput!D591</f>
        <v>6.2467468899999998</v>
      </c>
      <c r="AN45" s="8">
        <f>Modeloutput!E591</f>
        <v>-19.5945</v>
      </c>
      <c r="AO45" s="8">
        <f>Modeloutput!F591</f>
        <v>-1.964</v>
      </c>
      <c r="AP45" s="8">
        <f>Modeloutput!G591</f>
        <v>0</v>
      </c>
      <c r="AQ45" s="8">
        <f>Modeloutput!H591</f>
        <v>0</v>
      </c>
      <c r="AR45" s="8">
        <f>Modeloutput!I591</f>
        <v>0</v>
      </c>
      <c r="AS45" s="8">
        <f>Modeloutput!J591</f>
        <v>0</v>
      </c>
      <c r="AT45" s="8">
        <f>Modeloutput!K591</f>
        <v>27.3478016</v>
      </c>
      <c r="AU45" s="8">
        <f>Modeloutput!L591</f>
        <v>0</v>
      </c>
      <c r="AV45" s="8">
        <f>Modeloutput!M591</f>
        <v>0.4574453</v>
      </c>
      <c r="AW45" s="8">
        <f>Modeloutput!N591</f>
        <v>0</v>
      </c>
      <c r="AX45" s="8">
        <f>Modeloutput!O591</f>
        <v>0</v>
      </c>
      <c r="AY45" s="8">
        <f>Modeloutput!P591</f>
        <v>0</v>
      </c>
      <c r="BA45" s="7" t="s">
        <v>10</v>
      </c>
      <c r="BB45" s="13">
        <f t="shared" si="13"/>
        <v>77.207371600000002</v>
      </c>
      <c r="BC45" s="8">
        <f>Modeloutput!C846</f>
        <v>0</v>
      </c>
      <c r="BD45" s="8">
        <f>Modeloutput!D846</f>
        <v>77.207371499999994</v>
      </c>
      <c r="BE45" s="8">
        <f>Modeloutput!E846</f>
        <v>40.697320599999998</v>
      </c>
      <c r="BF45" s="8">
        <f>Modeloutput!F846</f>
        <v>1.55762</v>
      </c>
      <c r="BG45" s="8">
        <f>Modeloutput!G846</f>
        <v>7.4483570600000002</v>
      </c>
      <c r="BH45" s="8">
        <f>Modeloutput!H846</f>
        <v>0.15627234000000001</v>
      </c>
      <c r="BI45" s="8">
        <f>Modeloutput!I846</f>
        <v>0</v>
      </c>
      <c r="BJ45" s="8">
        <f>Modeloutput!J846</f>
        <v>0</v>
      </c>
      <c r="BK45" s="8">
        <f>Modeloutput!K846</f>
        <v>27.3478016</v>
      </c>
      <c r="BL45" s="8">
        <f>Modeloutput!L846</f>
        <v>0</v>
      </c>
      <c r="BM45" s="8">
        <f>Modeloutput!M846</f>
        <v>0</v>
      </c>
      <c r="BN45" s="8">
        <f>Modeloutput!N846</f>
        <v>0</v>
      </c>
      <c r="BO45" s="8">
        <f>Modeloutput!O846</f>
        <v>0</v>
      </c>
      <c r="BP45" s="8">
        <f>Modeloutput!P846</f>
        <v>0</v>
      </c>
      <c r="BR45" s="7" t="s">
        <v>10</v>
      </c>
      <c r="BS45" s="13">
        <f t="shared" si="14"/>
        <v>77.192799723999997</v>
      </c>
      <c r="BT45" s="8">
        <f>Modeloutput!C1101</f>
        <v>0</v>
      </c>
      <c r="BU45" s="8">
        <f>Modeloutput!D1101</f>
        <v>77.192799699999995</v>
      </c>
      <c r="BV45" s="8">
        <f>Modeloutput!E1101</f>
        <v>0</v>
      </c>
      <c r="BW45" s="8">
        <f>Modeloutput!F1101</f>
        <v>-1.2999999999999999E-2</v>
      </c>
      <c r="BX45" s="8">
        <f>Modeloutput!G1101</f>
        <v>0</v>
      </c>
      <c r="BY45" s="8">
        <f>Modeloutput!H1101</f>
        <v>0</v>
      </c>
      <c r="BZ45" s="8">
        <f>Modeloutput!I1101</f>
        <v>0</v>
      </c>
      <c r="CA45" s="8">
        <f>Modeloutput!J1101</f>
        <v>0</v>
      </c>
      <c r="CB45" s="8">
        <f>Modeloutput!K1101</f>
        <v>52.0496701</v>
      </c>
      <c r="CC45" s="8">
        <f>Modeloutput!L1101</f>
        <v>25.1555483</v>
      </c>
      <c r="CD45" s="8">
        <f>Modeloutput!M1101</f>
        <v>5.8132400000000003E-4</v>
      </c>
      <c r="CE45" s="8">
        <f>Modeloutput!N1101</f>
        <v>0</v>
      </c>
      <c r="CF45" s="8">
        <f>Modeloutput!O1101</f>
        <v>0</v>
      </c>
      <c r="CG45" s="8">
        <f>Modeloutput!P1101</f>
        <v>0</v>
      </c>
    </row>
    <row r="46" spans="1:85" s="7" customFormat="1" x14ac:dyDescent="0.25">
      <c r="A46" s="7" t="str">
        <f>MID(D46,5,3)</f>
        <v/>
      </c>
      <c r="B46" s="7" t="s">
        <v>11</v>
      </c>
      <c r="C46" s="13">
        <f t="shared" si="10"/>
        <v>0.87054075659999997</v>
      </c>
      <c r="D46" s="8">
        <f>Modeloutput!C82</f>
        <v>0</v>
      </c>
      <c r="E46" s="8">
        <f>Modeloutput!D82</f>
        <v>0.87054075600000003</v>
      </c>
      <c r="F46" s="8">
        <f>Modeloutput!E82</f>
        <v>0.39766295600000001</v>
      </c>
      <c r="G46" s="8">
        <f>Modeloutput!F82</f>
        <v>5.9408854800000001E-2</v>
      </c>
      <c r="H46" s="8">
        <f>Modeloutput!G82</f>
        <v>0.371392218</v>
      </c>
      <c r="I46" s="8">
        <f>Modeloutput!H82</f>
        <v>1.8472688599999999E-2</v>
      </c>
      <c r="J46" s="8">
        <f>Modeloutput!I82</f>
        <v>0</v>
      </c>
      <c r="K46" s="8">
        <f>Modeloutput!J82</f>
        <v>0</v>
      </c>
      <c r="L46" s="8">
        <f>Modeloutput!K82</f>
        <v>0</v>
      </c>
      <c r="M46" s="8">
        <f>Modeloutput!L82</f>
        <v>0</v>
      </c>
      <c r="N46" s="8">
        <f>Modeloutput!M82</f>
        <v>2.3604039199999999E-2</v>
      </c>
      <c r="O46" s="8">
        <f>Modeloutput!N82</f>
        <v>0</v>
      </c>
      <c r="P46" s="8">
        <f>Modeloutput!O82</f>
        <v>0</v>
      </c>
      <c r="Q46" s="8">
        <f>Modeloutput!P82</f>
        <v>0</v>
      </c>
      <c r="S46" s="7" t="s">
        <v>11</v>
      </c>
      <c r="T46" s="13">
        <f t="shared" si="11"/>
        <v>0.87039217869999996</v>
      </c>
      <c r="U46" s="8">
        <f>Modeloutput!C337</f>
        <v>0</v>
      </c>
      <c r="V46" s="8">
        <f>Modeloutput!D337</f>
        <v>0.87039217800000002</v>
      </c>
      <c r="W46" s="8">
        <f>Modeloutput!E337</f>
        <v>0.39766295600000001</v>
      </c>
      <c r="X46" s="8">
        <f>Modeloutput!F337</f>
        <v>5.9408854800000001E-2</v>
      </c>
      <c r="Y46" s="8">
        <f>Modeloutput!G337</f>
        <v>0.37138830499999997</v>
      </c>
      <c r="Z46" s="8">
        <f>Modeloutput!H337</f>
        <v>1.8472688599999999E-2</v>
      </c>
      <c r="AA46" s="8">
        <f>Modeloutput!I337</f>
        <v>0</v>
      </c>
      <c r="AB46" s="8">
        <f>Modeloutput!J337</f>
        <v>0</v>
      </c>
      <c r="AC46" s="8">
        <f>Modeloutput!K337</f>
        <v>0</v>
      </c>
      <c r="AD46" s="8">
        <f>Modeloutput!L337</f>
        <v>0</v>
      </c>
      <c r="AE46" s="8">
        <f>Modeloutput!M337</f>
        <v>2.3459374299999999E-2</v>
      </c>
      <c r="AF46" s="8">
        <f>Modeloutput!N337</f>
        <v>0</v>
      </c>
      <c r="AG46" s="8">
        <f>Modeloutput!O337</f>
        <v>0</v>
      </c>
      <c r="AH46" s="8">
        <f>Modeloutput!P337</f>
        <v>0</v>
      </c>
      <c r="AJ46" s="7" t="s">
        <v>11</v>
      </c>
      <c r="AK46" s="13">
        <f t="shared" si="12"/>
        <v>1.0186763634</v>
      </c>
      <c r="AL46" s="8">
        <f>Modeloutput!C592</f>
        <v>0</v>
      </c>
      <c r="AM46" s="8">
        <f>Modeloutput!D592</f>
        <v>1.0186763599999999</v>
      </c>
      <c r="AN46" s="8">
        <f>Modeloutput!E592</f>
        <v>0.39766295600000001</v>
      </c>
      <c r="AO46" s="8">
        <f>Modeloutput!F592</f>
        <v>5.9408854800000001E-2</v>
      </c>
      <c r="AP46" s="8">
        <f>Modeloutput!G592</f>
        <v>0.36151292299999999</v>
      </c>
      <c r="AQ46" s="8">
        <f>Modeloutput!H592</f>
        <v>1.8472688599999999E-2</v>
      </c>
      <c r="AR46" s="8">
        <f>Modeloutput!I592</f>
        <v>0</v>
      </c>
      <c r="AS46" s="8">
        <f>Modeloutput!J592</f>
        <v>0</v>
      </c>
      <c r="AT46" s="8">
        <f>Modeloutput!K592</f>
        <v>0</v>
      </c>
      <c r="AU46" s="8">
        <f>Modeloutput!L592</f>
        <v>0</v>
      </c>
      <c r="AV46" s="8">
        <f>Modeloutput!M592</f>
        <v>0.18161894100000001</v>
      </c>
      <c r="AW46" s="8">
        <f>Modeloutput!N592</f>
        <v>0</v>
      </c>
      <c r="AX46" s="8">
        <f>Modeloutput!O592</f>
        <v>0</v>
      </c>
      <c r="AY46" s="8">
        <f>Modeloutput!P592</f>
        <v>0</v>
      </c>
      <c r="BA46" s="7" t="s">
        <v>11</v>
      </c>
      <c r="BB46" s="13">
        <f t="shared" si="13"/>
        <v>0.96210989330000007</v>
      </c>
      <c r="BC46" s="8">
        <f>Modeloutput!C847</f>
        <v>0</v>
      </c>
      <c r="BD46" s="8">
        <f>Modeloutput!D847</f>
        <v>0.96210989400000002</v>
      </c>
      <c r="BE46" s="8">
        <f>Modeloutput!E847</f>
        <v>0.48233340299999999</v>
      </c>
      <c r="BF46" s="8">
        <f>Modeloutput!F847</f>
        <v>6.9341467099999998E-2</v>
      </c>
      <c r="BG46" s="8">
        <f>Modeloutput!G847</f>
        <v>0.38869166700000002</v>
      </c>
      <c r="BH46" s="8">
        <f>Modeloutput!H847</f>
        <v>2.1743356200000001E-2</v>
      </c>
      <c r="BI46" s="8">
        <f>Modeloutput!I847</f>
        <v>0</v>
      </c>
      <c r="BJ46" s="8">
        <f>Modeloutput!J847</f>
        <v>0</v>
      </c>
      <c r="BK46" s="8">
        <f>Modeloutput!K847</f>
        <v>0</v>
      </c>
      <c r="BL46" s="8">
        <f>Modeloutput!L847</f>
        <v>0</v>
      </c>
      <c r="BM46" s="8">
        <f>Modeloutput!M847</f>
        <v>0</v>
      </c>
      <c r="BN46" s="8">
        <f>Modeloutput!N847</f>
        <v>0</v>
      </c>
      <c r="BO46" s="8">
        <f>Modeloutput!O847</f>
        <v>0</v>
      </c>
      <c r="BP46" s="8">
        <f>Modeloutput!P847</f>
        <v>0</v>
      </c>
      <c r="BR46" s="7" t="s">
        <v>11</v>
      </c>
      <c r="BS46" s="13">
        <f t="shared" si="14"/>
        <v>0.85113514366800014</v>
      </c>
      <c r="BT46" s="8">
        <f>Modeloutput!C1102</f>
        <v>0</v>
      </c>
      <c r="BU46" s="8">
        <f>Modeloutput!D1102</f>
        <v>0.85113514300000004</v>
      </c>
      <c r="BV46" s="8">
        <f>Modeloutput!E1102</f>
        <v>0.39766295600000001</v>
      </c>
      <c r="BW46" s="8">
        <f>Modeloutput!F1102</f>
        <v>5.9408854800000001E-2</v>
      </c>
      <c r="BX46" s="8">
        <f>Modeloutput!G1102</f>
        <v>0.37304613800000003</v>
      </c>
      <c r="BY46" s="8">
        <f>Modeloutput!H1102</f>
        <v>2.0803955400000001E-2</v>
      </c>
      <c r="BZ46" s="8">
        <f>Modeloutput!I1102</f>
        <v>0</v>
      </c>
      <c r="CA46" s="8">
        <f>Modeloutput!J1102</f>
        <v>0</v>
      </c>
      <c r="CB46" s="8">
        <f>Modeloutput!K1102</f>
        <v>0</v>
      </c>
      <c r="CC46" s="8">
        <f>Modeloutput!L1102</f>
        <v>0</v>
      </c>
      <c r="CD46" s="8">
        <f>Modeloutput!M1102</f>
        <v>2.13239468E-4</v>
      </c>
      <c r="CE46" s="8">
        <f>Modeloutput!N1102</f>
        <v>0</v>
      </c>
      <c r="CF46" s="8">
        <f>Modeloutput!O1102</f>
        <v>0</v>
      </c>
      <c r="CG46" s="8">
        <f>Modeloutput!P1102</f>
        <v>0</v>
      </c>
    </row>
    <row r="47" spans="1:85" s="7" customFormat="1" x14ac:dyDescent="0.25">
      <c r="B47" s="7" t="s">
        <v>12</v>
      </c>
      <c r="C47" s="14">
        <f t="shared" si="10"/>
        <v>78.836709253999999</v>
      </c>
      <c r="D47" s="8">
        <f>Modeloutput!C83</f>
        <v>-1.9963947900000001</v>
      </c>
      <c r="E47" s="8">
        <f>Modeloutput!D83</f>
        <v>80.833104000000006</v>
      </c>
      <c r="F47" s="8">
        <f>Modeloutput!E83</f>
        <v>59.1142933</v>
      </c>
      <c r="G47" s="8">
        <f>Modeloutput!F83</f>
        <v>0.80950426200000003</v>
      </c>
      <c r="H47" s="8">
        <f>Modeloutput!G83</f>
        <v>13.901345900000001</v>
      </c>
      <c r="I47" s="8">
        <f>Modeloutput!H83</f>
        <v>0.23486278599999999</v>
      </c>
      <c r="J47" s="8">
        <f>Modeloutput!I83</f>
        <v>0</v>
      </c>
      <c r="K47" s="8">
        <f>Modeloutput!J83</f>
        <v>0</v>
      </c>
      <c r="L47" s="8">
        <f>Modeloutput!K83</f>
        <v>4.4243592400000002</v>
      </c>
      <c r="M47" s="8">
        <f>Modeloutput!L83</f>
        <v>0</v>
      </c>
      <c r="N47" s="8">
        <f>Modeloutput!M83</f>
        <v>0.352343766</v>
      </c>
      <c r="O47" s="8">
        <f>Modeloutput!N83</f>
        <v>0</v>
      </c>
      <c r="P47" s="8">
        <f>Modeloutput!O83</f>
        <v>0</v>
      </c>
      <c r="Q47" s="8">
        <f>Modeloutput!P83</f>
        <v>0</v>
      </c>
      <c r="S47" s="7" t="s">
        <v>12</v>
      </c>
      <c r="T47" s="14">
        <f t="shared" si="11"/>
        <v>71.531020361999992</v>
      </c>
      <c r="U47" s="8">
        <f>Modeloutput!C338</f>
        <v>2.1497539300000001</v>
      </c>
      <c r="V47" s="8">
        <f>Modeloutput!D338</f>
        <v>69.381266499999995</v>
      </c>
      <c r="W47" s="8">
        <f>Modeloutput!E338</f>
        <v>55.4270268</v>
      </c>
      <c r="X47" s="8">
        <f>Modeloutput!F338</f>
        <v>0.82033443100000003</v>
      </c>
      <c r="Y47" s="8">
        <f>Modeloutput!G338</f>
        <v>11.458250899999999</v>
      </c>
      <c r="Z47" s="8">
        <f>Modeloutput!H338</f>
        <v>0.23486278599999999</v>
      </c>
      <c r="AA47" s="8">
        <f>Modeloutput!I338</f>
        <v>0</v>
      </c>
      <c r="AB47" s="8">
        <f>Modeloutput!J338</f>
        <v>0</v>
      </c>
      <c r="AC47" s="8">
        <f>Modeloutput!K338</f>
        <v>3.2399465200000002</v>
      </c>
      <c r="AD47" s="8">
        <f>Modeloutput!L338</f>
        <v>0</v>
      </c>
      <c r="AE47" s="8">
        <f>Modeloutput!M338</f>
        <v>0.35059892500000001</v>
      </c>
      <c r="AF47" s="8">
        <f>Modeloutput!N338</f>
        <v>0</v>
      </c>
      <c r="AG47" s="8">
        <f>Modeloutput!O338</f>
        <v>0</v>
      </c>
      <c r="AH47" s="8">
        <f>Modeloutput!P338</f>
        <v>0</v>
      </c>
      <c r="AJ47" s="7" t="s">
        <v>12</v>
      </c>
      <c r="AK47" s="14">
        <f t="shared" si="12"/>
        <v>65.670752704999998</v>
      </c>
      <c r="AL47" s="8">
        <f>Modeloutput!C593</f>
        <v>29.034996599999999</v>
      </c>
      <c r="AM47" s="8">
        <f>Modeloutput!D593</f>
        <v>36.635756100000002</v>
      </c>
      <c r="AN47" s="8">
        <f>Modeloutput!E593</f>
        <v>39.744802900000003</v>
      </c>
      <c r="AO47" s="8">
        <f>Modeloutput!F593</f>
        <v>0.79372774899999998</v>
      </c>
      <c r="AP47" s="8">
        <f>Modeloutput!G593</f>
        <v>8.9278898499999997</v>
      </c>
      <c r="AQ47" s="8">
        <f>Modeloutput!H593</f>
        <v>0.23486278599999999</v>
      </c>
      <c r="AR47" s="8">
        <f>Modeloutput!I593</f>
        <v>0</v>
      </c>
      <c r="AS47" s="8">
        <f>Modeloutput!J593</f>
        <v>0</v>
      </c>
      <c r="AT47" s="8">
        <f>Modeloutput!K593</f>
        <v>2.2456766199999998</v>
      </c>
      <c r="AU47" s="8">
        <f>Modeloutput!L593</f>
        <v>0</v>
      </c>
      <c r="AV47" s="8">
        <f>Modeloutput!M593</f>
        <v>13.7237928</v>
      </c>
      <c r="AW47" s="8">
        <f>Modeloutput!N593</f>
        <v>0</v>
      </c>
      <c r="AX47" s="8">
        <f>Modeloutput!O593</f>
        <v>0</v>
      </c>
      <c r="AY47" s="8">
        <f>Modeloutput!P593</f>
        <v>0</v>
      </c>
      <c r="BA47" s="7" t="s">
        <v>12</v>
      </c>
      <c r="BB47" s="14">
        <f t="shared" si="13"/>
        <v>58.062910893000002</v>
      </c>
      <c r="BC47" s="8">
        <f>Modeloutput!C848</f>
        <v>28.491862300000001</v>
      </c>
      <c r="BD47" s="8">
        <f>Modeloutput!D848</f>
        <v>29.571048600000001</v>
      </c>
      <c r="BE47" s="8">
        <f>Modeloutput!E848</f>
        <v>44.374673100000003</v>
      </c>
      <c r="BF47" s="8">
        <f>Modeloutput!F848</f>
        <v>0.85102408900000004</v>
      </c>
      <c r="BG47" s="8">
        <f>Modeloutput!G848</f>
        <v>8.1158664599999994</v>
      </c>
      <c r="BH47" s="8">
        <f>Modeloutput!H848</f>
        <v>0.26092027400000001</v>
      </c>
      <c r="BI47" s="8">
        <f>Modeloutput!I848</f>
        <v>0</v>
      </c>
      <c r="BJ47" s="8">
        <f>Modeloutput!J848</f>
        <v>0</v>
      </c>
      <c r="BK47" s="8">
        <f>Modeloutput!K848</f>
        <v>4.4604269700000003</v>
      </c>
      <c r="BL47" s="8">
        <f>Modeloutput!L848</f>
        <v>0</v>
      </c>
      <c r="BM47" s="8">
        <f>Modeloutput!M848</f>
        <v>0</v>
      </c>
      <c r="BN47" s="8">
        <f>Modeloutput!N848</f>
        <v>0</v>
      </c>
      <c r="BO47" s="8">
        <f>Modeloutput!O848</f>
        <v>0</v>
      </c>
      <c r="BP47" s="8">
        <f>Modeloutput!P848</f>
        <v>0</v>
      </c>
      <c r="BR47" s="7" t="s">
        <v>12</v>
      </c>
      <c r="BS47" s="14">
        <f t="shared" si="14"/>
        <v>55.08199244451</v>
      </c>
      <c r="BT47" s="8">
        <f>Modeloutput!C1103</f>
        <v>28.738429400000001</v>
      </c>
      <c r="BU47" s="8">
        <f>Modeloutput!D1103</f>
        <v>26.343563</v>
      </c>
      <c r="BV47" s="8">
        <f>Modeloutput!E1103</f>
        <v>36.667440399999997</v>
      </c>
      <c r="BW47" s="8">
        <f>Modeloutput!F1103</f>
        <v>0.74681704500000001</v>
      </c>
      <c r="BX47" s="8">
        <f>Modeloutput!G1103</f>
        <v>7.9739188199999997</v>
      </c>
      <c r="BY47" s="8">
        <f>Modeloutput!H1103</f>
        <v>0.24964746500000001</v>
      </c>
      <c r="BZ47" s="8">
        <f>Modeloutput!I1103</f>
        <v>0</v>
      </c>
      <c r="CA47" s="8">
        <f>Modeloutput!J1103</f>
        <v>0</v>
      </c>
      <c r="CB47" s="8">
        <f>Modeloutput!K1103</f>
        <v>6.4507956999999996</v>
      </c>
      <c r="CC47" s="8">
        <f>Modeloutput!L1103</f>
        <v>2.9872541899999998</v>
      </c>
      <c r="CD47" s="8">
        <f>Modeloutput!M1103</f>
        <v>6.1188245099999998E-3</v>
      </c>
      <c r="CE47" s="8">
        <f>Modeloutput!N1103</f>
        <v>0</v>
      </c>
      <c r="CF47" s="8">
        <f>Modeloutput!O1103</f>
        <v>0</v>
      </c>
      <c r="CG47" s="8">
        <f>Modeloutput!P1103</f>
        <v>0</v>
      </c>
    </row>
    <row r="48" spans="1:85" s="7" customFormat="1" x14ac:dyDescent="0.25">
      <c r="B48" s="7" t="s">
        <v>13</v>
      </c>
      <c r="C48" s="14">
        <f t="shared" si="10"/>
        <v>60.499524539999989</v>
      </c>
      <c r="D48" s="8">
        <f>Modeloutput!C84</f>
        <v>0</v>
      </c>
      <c r="E48" s="8">
        <f>Modeloutput!D84</f>
        <v>60.4995245</v>
      </c>
      <c r="F48" s="8">
        <f>Modeloutput!E84</f>
        <v>42.939541499999997</v>
      </c>
      <c r="G48" s="8">
        <f>Modeloutput!F84</f>
        <v>5.3135076400000001</v>
      </c>
      <c r="H48" s="8">
        <f>Modeloutput!G84</f>
        <v>0</v>
      </c>
      <c r="I48" s="8">
        <f>Modeloutput!H84</f>
        <v>0</v>
      </c>
      <c r="J48" s="8">
        <f>Modeloutput!I84</f>
        <v>0</v>
      </c>
      <c r="K48" s="8">
        <f>Modeloutput!J84</f>
        <v>0</v>
      </c>
      <c r="L48" s="8">
        <f>Modeloutput!K84</f>
        <v>11.7337004</v>
      </c>
      <c r="M48" s="8">
        <f>Modeloutput!L84</f>
        <v>0</v>
      </c>
      <c r="N48" s="8">
        <f>Modeloutput!M84</f>
        <v>0.51277499999999998</v>
      </c>
      <c r="O48" s="8">
        <f>Modeloutput!N84</f>
        <v>0</v>
      </c>
      <c r="P48" s="8">
        <f>Modeloutput!O84</f>
        <v>0</v>
      </c>
      <c r="Q48" s="8">
        <f>Modeloutput!P84</f>
        <v>0</v>
      </c>
      <c r="S48" s="7" t="s">
        <v>13</v>
      </c>
      <c r="T48" s="14">
        <f t="shared" si="11"/>
        <v>62.636927869999994</v>
      </c>
      <c r="U48" s="8">
        <f>Modeloutput!C339</f>
        <v>0</v>
      </c>
      <c r="V48" s="8">
        <f>Modeloutput!D339</f>
        <v>62.636927900000003</v>
      </c>
      <c r="W48" s="8">
        <f>Modeloutput!E339</f>
        <v>45.061008899999997</v>
      </c>
      <c r="X48" s="8">
        <f>Modeloutput!F339</f>
        <v>5.3336360699999998</v>
      </c>
      <c r="Y48" s="8">
        <f>Modeloutput!G339</f>
        <v>0</v>
      </c>
      <c r="Z48" s="8">
        <f>Modeloutput!H339</f>
        <v>0</v>
      </c>
      <c r="AA48" s="8">
        <f>Modeloutput!I339</f>
        <v>0</v>
      </c>
      <c r="AB48" s="8">
        <f>Modeloutput!J339</f>
        <v>0</v>
      </c>
      <c r="AC48" s="8">
        <f>Modeloutput!K339</f>
        <v>11.7337004</v>
      </c>
      <c r="AD48" s="8">
        <f>Modeloutput!L339</f>
        <v>0</v>
      </c>
      <c r="AE48" s="8">
        <f>Modeloutput!M339</f>
        <v>0.50858250000000005</v>
      </c>
      <c r="AF48" s="8">
        <f>Modeloutput!N339</f>
        <v>0</v>
      </c>
      <c r="AG48" s="8">
        <f>Modeloutput!O339</f>
        <v>0</v>
      </c>
      <c r="AH48" s="8">
        <f>Modeloutput!P339</f>
        <v>0</v>
      </c>
      <c r="AJ48" s="7" t="s">
        <v>13</v>
      </c>
      <c r="AK48" s="14">
        <f t="shared" si="12"/>
        <v>73.013462630000006</v>
      </c>
      <c r="AL48" s="8">
        <f>Modeloutput!C594</f>
        <v>0</v>
      </c>
      <c r="AM48" s="8">
        <f>Modeloutput!D594</f>
        <v>73.013462700000005</v>
      </c>
      <c r="AN48" s="8">
        <f>Modeloutput!E594</f>
        <v>50.010015500000002</v>
      </c>
      <c r="AO48" s="8">
        <f>Modeloutput!F594</f>
        <v>5.4348187299999999</v>
      </c>
      <c r="AP48" s="8">
        <f>Modeloutput!G594</f>
        <v>0</v>
      </c>
      <c r="AQ48" s="8">
        <f>Modeloutput!H594</f>
        <v>0</v>
      </c>
      <c r="AR48" s="8">
        <f>Modeloutput!I594</f>
        <v>0</v>
      </c>
      <c r="AS48" s="8">
        <f>Modeloutput!J594</f>
        <v>0</v>
      </c>
      <c r="AT48" s="8">
        <f>Modeloutput!K594</f>
        <v>11.7337004</v>
      </c>
      <c r="AU48" s="8">
        <f>Modeloutput!L594</f>
        <v>0</v>
      </c>
      <c r="AV48" s="8">
        <f>Modeloutput!M594</f>
        <v>5.8349279999999997</v>
      </c>
      <c r="AW48" s="8">
        <f>Modeloutput!N594</f>
        <v>0</v>
      </c>
      <c r="AX48" s="8">
        <f>Modeloutput!O594</f>
        <v>0</v>
      </c>
      <c r="AY48" s="8">
        <f>Modeloutput!P594</f>
        <v>0</v>
      </c>
      <c r="BA48" s="7" t="s">
        <v>13</v>
      </c>
      <c r="BB48" s="14">
        <f t="shared" si="13"/>
        <v>77.135294909999999</v>
      </c>
      <c r="BC48" s="8">
        <f>Modeloutput!C849</f>
        <v>0</v>
      </c>
      <c r="BD48" s="8">
        <f>Modeloutput!D849</f>
        <v>77.135294900000005</v>
      </c>
      <c r="BE48" s="8">
        <f>Modeloutput!E849</f>
        <v>60.846104099999998</v>
      </c>
      <c r="BF48" s="8">
        <f>Modeloutput!F849</f>
        <v>4.55549041</v>
      </c>
      <c r="BG48" s="8">
        <f>Modeloutput!G849</f>
        <v>0</v>
      </c>
      <c r="BH48" s="8">
        <f>Modeloutput!H849</f>
        <v>0</v>
      </c>
      <c r="BI48" s="8">
        <f>Modeloutput!I849</f>
        <v>0</v>
      </c>
      <c r="BJ48" s="8">
        <f>Modeloutput!J849</f>
        <v>0</v>
      </c>
      <c r="BK48" s="8">
        <f>Modeloutput!K849</f>
        <v>11.7337004</v>
      </c>
      <c r="BL48" s="8">
        <f>Modeloutput!L849</f>
        <v>0</v>
      </c>
      <c r="BM48" s="8">
        <f>Modeloutput!M849</f>
        <v>0</v>
      </c>
      <c r="BN48" s="8">
        <f>Modeloutput!N849</f>
        <v>0</v>
      </c>
      <c r="BO48" s="8">
        <f>Modeloutput!O849</f>
        <v>0</v>
      </c>
      <c r="BP48" s="8">
        <f>Modeloutput!P849</f>
        <v>0</v>
      </c>
      <c r="BR48" s="7" t="s">
        <v>13</v>
      </c>
      <c r="BS48" s="14">
        <f t="shared" si="14"/>
        <v>106.02355424000001</v>
      </c>
      <c r="BT48" s="8">
        <f>Modeloutput!C1104</f>
        <v>0</v>
      </c>
      <c r="BU48" s="8">
        <f>Modeloutput!D1104</f>
        <v>106.023554</v>
      </c>
      <c r="BV48" s="8">
        <f>Modeloutput!E1104</f>
        <v>77.323503900000006</v>
      </c>
      <c r="BW48" s="8">
        <f>Modeloutput!F1104</f>
        <v>8.3569586099999995</v>
      </c>
      <c r="BX48" s="8">
        <f>Modeloutput!G1104</f>
        <v>0</v>
      </c>
      <c r="BY48" s="8">
        <f>Modeloutput!H1104</f>
        <v>0</v>
      </c>
      <c r="BZ48" s="8">
        <f>Modeloutput!I1104</f>
        <v>0</v>
      </c>
      <c r="CA48" s="8">
        <f>Modeloutput!J1104</f>
        <v>0</v>
      </c>
      <c r="CB48" s="8">
        <f>Modeloutput!K1104</f>
        <v>15.9455045</v>
      </c>
      <c r="CC48" s="8">
        <f>Modeloutput!L1104</f>
        <v>4.3941042299999999</v>
      </c>
      <c r="CD48" s="8">
        <f>Modeloutput!M1104</f>
        <v>3.483E-3</v>
      </c>
      <c r="CE48" s="8">
        <f>Modeloutput!N1104</f>
        <v>0</v>
      </c>
      <c r="CF48" s="8">
        <f>Modeloutput!O1104</f>
        <v>0</v>
      </c>
      <c r="CG48" s="8">
        <f>Modeloutput!P1104</f>
        <v>0</v>
      </c>
    </row>
    <row r="49" spans="1:85" s="7" customFormat="1" x14ac:dyDescent="0.25">
      <c r="B49" s="7" t="s">
        <v>14</v>
      </c>
      <c r="C49" s="22">
        <f t="shared" si="10"/>
        <v>1.3935028179999998</v>
      </c>
      <c r="D49" s="8">
        <f>Modeloutput!C85</f>
        <v>0</v>
      </c>
      <c r="E49" s="8">
        <f>Modeloutput!D85</f>
        <v>1.3935028199999999</v>
      </c>
      <c r="F49" s="8">
        <f>Modeloutput!E85</f>
        <v>0.25240522999999998</v>
      </c>
      <c r="G49" s="8">
        <f>Modeloutput!F85</f>
        <v>0.61363960799999995</v>
      </c>
      <c r="H49" s="8">
        <f>Modeloutput!G85</f>
        <v>4.7337437199999999E-2</v>
      </c>
      <c r="I49" s="8">
        <f>Modeloutput!H85</f>
        <v>6.4266829799999994E-2</v>
      </c>
      <c r="J49" s="8">
        <f>Modeloutput!I85</f>
        <v>0</v>
      </c>
      <c r="K49" s="8">
        <f>Modeloutput!J85</f>
        <v>0</v>
      </c>
      <c r="L49" s="8">
        <f>Modeloutput!K85</f>
        <v>0</v>
      </c>
      <c r="M49" s="8">
        <f>Modeloutput!L85</f>
        <v>0</v>
      </c>
      <c r="N49" s="8">
        <f>Modeloutput!M85</f>
        <v>0.41585371300000001</v>
      </c>
      <c r="O49" s="8">
        <f>Modeloutput!N85</f>
        <v>0</v>
      </c>
      <c r="P49" s="8">
        <f>Modeloutput!O85</f>
        <v>0</v>
      </c>
      <c r="Q49" s="8">
        <f>Modeloutput!P85</f>
        <v>0</v>
      </c>
      <c r="S49" s="7" t="s">
        <v>14</v>
      </c>
      <c r="T49" s="22">
        <f t="shared" si="11"/>
        <v>22.051585112800002</v>
      </c>
      <c r="U49" s="8">
        <f>Modeloutput!C340</f>
        <v>0</v>
      </c>
      <c r="V49" s="8">
        <f>Modeloutput!D340</f>
        <v>22.0515851</v>
      </c>
      <c r="W49" s="8">
        <f>Modeloutput!E340</f>
        <v>7.6899741099999996</v>
      </c>
      <c r="X49" s="8">
        <f>Modeloutput!F340</f>
        <v>0.61066669200000001</v>
      </c>
      <c r="Y49" s="8">
        <f>Modeloutput!G340</f>
        <v>13.276413099999999</v>
      </c>
      <c r="Z49" s="8">
        <f>Modeloutput!H340</f>
        <v>6.4266829799999994E-2</v>
      </c>
      <c r="AA49" s="8">
        <f>Modeloutput!I340</f>
        <v>0</v>
      </c>
      <c r="AB49" s="8">
        <f>Modeloutput!J340</f>
        <v>0</v>
      </c>
      <c r="AC49" s="8">
        <f>Modeloutput!K340</f>
        <v>0</v>
      </c>
      <c r="AD49" s="8">
        <f>Modeloutput!L340</f>
        <v>0</v>
      </c>
      <c r="AE49" s="8">
        <f>Modeloutput!M340</f>
        <v>0.41026438100000001</v>
      </c>
      <c r="AF49" s="8">
        <f>Modeloutput!N340</f>
        <v>0</v>
      </c>
      <c r="AG49" s="8">
        <f>Modeloutput!O340</f>
        <v>0</v>
      </c>
      <c r="AH49" s="8">
        <f>Modeloutput!P340</f>
        <v>0</v>
      </c>
      <c r="AJ49" s="7" t="s">
        <v>14</v>
      </c>
      <c r="AK49" s="22">
        <f t="shared" si="12"/>
        <v>53.111509848799997</v>
      </c>
      <c r="AL49" s="8">
        <f>Modeloutput!C595</f>
        <v>0</v>
      </c>
      <c r="AM49" s="8">
        <f>Modeloutput!D595</f>
        <v>53.1115098</v>
      </c>
      <c r="AN49" s="8">
        <f>Modeloutput!E595</f>
        <v>15.638734700000001</v>
      </c>
      <c r="AO49" s="8">
        <f>Modeloutput!F595</f>
        <v>0.61777381899999995</v>
      </c>
      <c r="AP49" s="8">
        <f>Modeloutput!G595</f>
        <v>25.052120299999999</v>
      </c>
      <c r="AQ49" s="8">
        <f>Modeloutput!H595</f>
        <v>6.4266829799999994E-2</v>
      </c>
      <c r="AR49" s="8">
        <f>Modeloutput!I595</f>
        <v>0</v>
      </c>
      <c r="AS49" s="8">
        <f>Modeloutput!J595</f>
        <v>0</v>
      </c>
      <c r="AT49" s="8">
        <f>Modeloutput!K595</f>
        <v>0</v>
      </c>
      <c r="AU49" s="8">
        <f>Modeloutput!L595</f>
        <v>0</v>
      </c>
      <c r="AV49" s="8">
        <f>Modeloutput!M595</f>
        <v>11.738614200000001</v>
      </c>
      <c r="AW49" s="8">
        <f>Modeloutput!N595</f>
        <v>0</v>
      </c>
      <c r="AX49" s="8">
        <f>Modeloutput!O595</f>
        <v>0</v>
      </c>
      <c r="AY49" s="8">
        <f>Modeloutput!P595</f>
        <v>0</v>
      </c>
      <c r="BA49" s="7" t="s">
        <v>14</v>
      </c>
      <c r="BB49" s="22">
        <f t="shared" si="13"/>
        <v>40.096309112</v>
      </c>
      <c r="BC49" s="8">
        <f>Modeloutput!C850</f>
        <v>0</v>
      </c>
      <c r="BD49" s="8">
        <f>Modeloutput!D850</f>
        <v>40.096309099999999</v>
      </c>
      <c r="BE49" s="8">
        <f>Modeloutput!E850</f>
        <v>20.247206800000001</v>
      </c>
      <c r="BF49" s="8">
        <f>Modeloutput!F850</f>
        <v>0.51923516400000003</v>
      </c>
      <c r="BG49" s="8">
        <f>Modeloutput!G850</f>
        <v>19.204695600000001</v>
      </c>
      <c r="BH49" s="8">
        <f>Modeloutput!H850</f>
        <v>0.12517154799999999</v>
      </c>
      <c r="BI49" s="8">
        <f>Modeloutput!I850</f>
        <v>0</v>
      </c>
      <c r="BJ49" s="8">
        <f>Modeloutput!J850</f>
        <v>0</v>
      </c>
      <c r="BK49" s="8">
        <f>Modeloutput!K850</f>
        <v>0</v>
      </c>
      <c r="BL49" s="8">
        <f>Modeloutput!L850</f>
        <v>0</v>
      </c>
      <c r="BM49" s="8">
        <f>Modeloutput!M850</f>
        <v>0</v>
      </c>
      <c r="BN49" s="8">
        <f>Modeloutput!N850</f>
        <v>0</v>
      </c>
      <c r="BO49" s="8">
        <f>Modeloutput!O850</f>
        <v>0</v>
      </c>
      <c r="BP49" s="8">
        <f>Modeloutput!P850</f>
        <v>0</v>
      </c>
      <c r="BR49" s="7" t="s">
        <v>14</v>
      </c>
      <c r="BS49" s="22">
        <f t="shared" si="14"/>
        <v>41.241124097569994</v>
      </c>
      <c r="BT49" s="8">
        <f>Modeloutput!C1105</f>
        <v>0</v>
      </c>
      <c r="BU49" s="8">
        <f>Modeloutput!D1105</f>
        <v>41.241123999999999</v>
      </c>
      <c r="BV49" s="8">
        <f>Modeloutput!E1105</f>
        <v>8.4953655099999992</v>
      </c>
      <c r="BW49" s="8">
        <f>Modeloutput!F1105</f>
        <v>0.63301001499999998</v>
      </c>
      <c r="BX49" s="8">
        <f>Modeloutput!G1105</f>
        <v>14.3073668</v>
      </c>
      <c r="BY49" s="8">
        <f>Modeloutput!H1105</f>
        <v>6.4623166100000004E-2</v>
      </c>
      <c r="BZ49" s="8">
        <f>Modeloutput!I1105</f>
        <v>0</v>
      </c>
      <c r="CA49" s="8">
        <f>Modeloutput!J1105</f>
        <v>0</v>
      </c>
      <c r="CB49" s="8">
        <f>Modeloutput!K1105</f>
        <v>7.5963247599999999</v>
      </c>
      <c r="CC49" s="8">
        <f>Modeloutput!L1105</f>
        <v>10.1345736</v>
      </c>
      <c r="CD49" s="8">
        <f>Modeloutput!M1105</f>
        <v>9.8602464700000003E-3</v>
      </c>
      <c r="CE49" s="8">
        <f>Modeloutput!N1105</f>
        <v>0</v>
      </c>
      <c r="CF49" s="8">
        <f>Modeloutput!O1105</f>
        <v>0</v>
      </c>
      <c r="CG49" s="8">
        <f>Modeloutput!P1105</f>
        <v>0</v>
      </c>
    </row>
    <row r="50" spans="1:85" s="7" customFormat="1" x14ac:dyDescent="0.25">
      <c r="B50" s="28" t="s">
        <v>18</v>
      </c>
      <c r="C50" s="29">
        <f t="shared" ref="C50:Q50" si="15">SUM(C36:C49)</f>
        <v>451.69258709817694</v>
      </c>
      <c r="D50" s="29">
        <f t="shared" si="15"/>
        <v>67.626155100000005</v>
      </c>
      <c r="E50" s="29">
        <f t="shared" si="15"/>
        <v>384.06643245800001</v>
      </c>
      <c r="F50" s="29">
        <f t="shared" si="15"/>
        <v>248.08444115600003</v>
      </c>
      <c r="G50" s="29">
        <f t="shared" si="15"/>
        <v>29.287814556800004</v>
      </c>
      <c r="H50" s="29">
        <f t="shared" si="15"/>
        <v>103.10186395547699</v>
      </c>
      <c r="I50" s="29">
        <f t="shared" si="15"/>
        <v>3.5923123477000005</v>
      </c>
      <c r="J50" s="29">
        <f t="shared" si="15"/>
        <v>0</v>
      </c>
      <c r="K50" s="29">
        <f t="shared" si="15"/>
        <v>0</v>
      </c>
      <c r="L50" s="29">
        <f t="shared" si="15"/>
        <v>63.011886369999999</v>
      </c>
      <c r="M50" s="29">
        <f t="shared" si="15"/>
        <v>0</v>
      </c>
      <c r="N50" s="29">
        <f t="shared" si="15"/>
        <v>6.6106634921999996</v>
      </c>
      <c r="O50" s="29">
        <f t="shared" si="15"/>
        <v>0</v>
      </c>
      <c r="P50" s="29">
        <f t="shared" si="15"/>
        <v>0</v>
      </c>
      <c r="Q50" s="29">
        <f t="shared" si="15"/>
        <v>-1.9963947800000001</v>
      </c>
      <c r="S50" s="28" t="s">
        <v>18</v>
      </c>
      <c r="T50" s="29">
        <f t="shared" ref="T50:AH50" si="16">SUM(T36:T49)</f>
        <v>504.11846285820002</v>
      </c>
      <c r="U50" s="29">
        <f t="shared" si="16"/>
        <v>65.081651949999994</v>
      </c>
      <c r="V50" s="29">
        <f t="shared" si="16"/>
        <v>439.03681103799988</v>
      </c>
      <c r="W50" s="29">
        <f t="shared" si="16"/>
        <v>280.07717786599994</v>
      </c>
      <c r="X50" s="29">
        <f t="shared" si="16"/>
        <v>29.416819738799997</v>
      </c>
      <c r="Y50" s="29">
        <f t="shared" si="16"/>
        <v>125.94301212500001</v>
      </c>
      <c r="Z50" s="29">
        <f t="shared" si="16"/>
        <v>3.5998012397000005</v>
      </c>
      <c r="AA50" s="29">
        <f t="shared" si="16"/>
        <v>0</v>
      </c>
      <c r="AB50" s="29">
        <f t="shared" si="16"/>
        <v>0</v>
      </c>
      <c r="AC50" s="29">
        <f t="shared" si="16"/>
        <v>56.378835240000001</v>
      </c>
      <c r="AD50" s="29">
        <f t="shared" si="16"/>
        <v>0</v>
      </c>
      <c r="AE50" s="29">
        <f t="shared" si="16"/>
        <v>6.5530627287000005</v>
      </c>
      <c r="AF50" s="29">
        <f t="shared" si="16"/>
        <v>0</v>
      </c>
      <c r="AG50" s="29">
        <f t="shared" si="16"/>
        <v>0</v>
      </c>
      <c r="AH50" s="29">
        <f t="shared" si="16"/>
        <v>2.1497539199999993</v>
      </c>
      <c r="AJ50" s="28" t="s">
        <v>18</v>
      </c>
      <c r="AK50" s="29">
        <f t="shared" ref="AK50:AY50" si="17">SUM(AK36:AK49)</f>
        <v>670.5353333365</v>
      </c>
      <c r="AL50" s="29">
        <f t="shared" si="17"/>
        <v>170.14051430000001</v>
      </c>
      <c r="AM50" s="29">
        <f t="shared" si="17"/>
        <v>500.39481979999994</v>
      </c>
      <c r="AN50" s="29">
        <f t="shared" si="17"/>
        <v>309.06680744599993</v>
      </c>
      <c r="AO50" s="29">
        <f t="shared" si="17"/>
        <v>29.968681749799998</v>
      </c>
      <c r="AP50" s="29">
        <f t="shared" si="17"/>
        <v>157.75022668299999</v>
      </c>
      <c r="AQ50" s="29">
        <f t="shared" si="17"/>
        <v>3.6091031067000006</v>
      </c>
      <c r="AR50" s="29">
        <f t="shared" si="17"/>
        <v>0</v>
      </c>
      <c r="AS50" s="29">
        <f t="shared" si="17"/>
        <v>0</v>
      </c>
      <c r="AT50" s="29">
        <f t="shared" si="17"/>
        <v>51.119373199999998</v>
      </c>
      <c r="AU50" s="29">
        <f t="shared" si="17"/>
        <v>0</v>
      </c>
      <c r="AV50" s="29">
        <f t="shared" si="17"/>
        <v>89.986144541000016</v>
      </c>
      <c r="AW50" s="29">
        <f t="shared" si="17"/>
        <v>0</v>
      </c>
      <c r="AX50" s="29">
        <f t="shared" si="17"/>
        <v>0</v>
      </c>
      <c r="AY50" s="29">
        <f t="shared" si="17"/>
        <v>29.034996609999997</v>
      </c>
      <c r="BA50" s="28" t="s">
        <v>18</v>
      </c>
      <c r="BB50" s="29">
        <f t="shared" ref="BB50:BP50" si="18">SUM(BB36:BB49)</f>
        <v>659.19709113629995</v>
      </c>
      <c r="BC50" s="29">
        <f t="shared" si="18"/>
        <v>91.705553699999996</v>
      </c>
      <c r="BD50" s="29">
        <f t="shared" si="18"/>
        <v>567.4915374709999</v>
      </c>
      <c r="BE50" s="29">
        <f t="shared" si="18"/>
        <v>388.59247350299995</v>
      </c>
      <c r="BF50" s="29">
        <f t="shared" si="18"/>
        <v>26.7675370501</v>
      </c>
      <c r="BG50" s="29">
        <f t="shared" si="18"/>
        <v>148.49470958700002</v>
      </c>
      <c r="BH50" s="29">
        <f t="shared" si="18"/>
        <v>3.6368172962000003</v>
      </c>
      <c r="BI50" s="29">
        <f t="shared" si="18"/>
        <v>0</v>
      </c>
      <c r="BJ50" s="29">
        <f t="shared" si="18"/>
        <v>0</v>
      </c>
      <c r="BK50" s="29">
        <f t="shared" si="18"/>
        <v>63.213691420000004</v>
      </c>
      <c r="BL50" s="29">
        <f t="shared" si="18"/>
        <v>0</v>
      </c>
      <c r="BM50" s="29">
        <f t="shared" si="18"/>
        <v>0</v>
      </c>
      <c r="BN50" s="29">
        <f t="shared" si="18"/>
        <v>0</v>
      </c>
      <c r="BO50" s="29">
        <f t="shared" si="18"/>
        <v>0</v>
      </c>
      <c r="BP50" s="29">
        <f t="shared" si="18"/>
        <v>28.491862279999999</v>
      </c>
      <c r="BR50" s="28" t="s">
        <v>18</v>
      </c>
      <c r="BS50" s="29">
        <f t="shared" ref="BS50:CG50" si="19">SUM(BS36:BS49)</f>
        <v>953.36099498857584</v>
      </c>
      <c r="BT50" s="29">
        <f t="shared" si="19"/>
        <v>253.37886647580001</v>
      </c>
      <c r="BU50" s="29">
        <f t="shared" si="19"/>
        <v>699.98212791699996</v>
      </c>
      <c r="BV50" s="29">
        <f t="shared" si="19"/>
        <v>466.77599273499993</v>
      </c>
      <c r="BW50" s="29">
        <f t="shared" si="19"/>
        <v>48.772009604090002</v>
      </c>
      <c r="BX50" s="29">
        <f t="shared" si="19"/>
        <v>179.40866494430003</v>
      </c>
      <c r="BY50" s="29">
        <f t="shared" si="19"/>
        <v>5.0254610534999991</v>
      </c>
      <c r="BZ50" s="29">
        <f t="shared" si="19"/>
        <v>0</v>
      </c>
      <c r="CA50" s="29">
        <f t="shared" si="19"/>
        <v>0</v>
      </c>
      <c r="CB50" s="29">
        <f t="shared" si="19"/>
        <v>139.30495905999999</v>
      </c>
      <c r="CC50" s="29">
        <f t="shared" si="19"/>
        <v>85.248732235838006</v>
      </c>
      <c r="CD50" s="29">
        <f t="shared" si="19"/>
        <v>8.674587584799999E-2</v>
      </c>
      <c r="CE50" s="29">
        <f t="shared" si="19"/>
        <v>0</v>
      </c>
      <c r="CF50" s="29">
        <f t="shared" si="19"/>
        <v>0</v>
      </c>
      <c r="CG50" s="29">
        <f t="shared" si="19"/>
        <v>28.738429480000001</v>
      </c>
    </row>
    <row r="51" spans="1:85" s="7" customFormat="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</row>
    <row r="52" spans="1:85" s="7" customFormat="1" x14ac:dyDescent="0.25">
      <c r="B52" s="11" t="s">
        <v>34</v>
      </c>
      <c r="C52" s="16">
        <f>SUM(Cost_Flow!C36:C39)+SUM(Cost_Flow!C45:C46)</f>
        <v>237.429436147177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S52" s="11" t="s">
        <v>34</v>
      </c>
      <c r="T52" s="16">
        <f>SUM(Cost_Flow!T36:T39)+SUM(Cost_Flow!T45:T46)</f>
        <v>285.08329851240001</v>
      </c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J52" s="11" t="s">
        <v>34</v>
      </c>
      <c r="AK52" s="16">
        <f>SUM(Cost_Flow!AK36:AK39)+SUM(Cost_Flow!AK45:AK46)</f>
        <v>351.45807096469997</v>
      </c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BA52" s="11" t="s">
        <v>34</v>
      </c>
      <c r="BB52" s="16">
        <f>SUM(Cost_Flow!BB36:BB39)+SUM(Cost_Flow!BB45:BB46)</f>
        <v>420.83152673730001</v>
      </c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R52" s="11" t="s">
        <v>34</v>
      </c>
      <c r="BS52" s="16">
        <f>SUM(Cost_Flow!BS36:BS39)+SUM(Cost_Flow!BS45:BS46)</f>
        <v>386.47179046499599</v>
      </c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</row>
    <row r="53" spans="1:85" s="7" customFormat="1" x14ac:dyDescent="0.25">
      <c r="B53" s="17" t="s">
        <v>36</v>
      </c>
      <c r="C53" s="18">
        <f>Cost_Flow!C47+Cost_Flow!C48</f>
        <v>139.33623379399998</v>
      </c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S53" s="17" t="s">
        <v>36</v>
      </c>
      <c r="T53" s="18">
        <f>Cost_Flow!T47+Cost_Flow!T48</f>
        <v>134.16794823199999</v>
      </c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J53" s="17" t="s">
        <v>36</v>
      </c>
      <c r="AK53" s="18">
        <f>Cost_Flow!AK47+Cost_Flow!AK48</f>
        <v>138.684215335</v>
      </c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BA53" s="17" t="s">
        <v>36</v>
      </c>
      <c r="BB53" s="18">
        <f>Cost_Flow!BB47+Cost_Flow!BB48</f>
        <v>135.19820580300001</v>
      </c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R53" s="17" t="s">
        <v>36</v>
      </c>
      <c r="BS53" s="18">
        <f>Cost_Flow!BS47+Cost_Flow!BS48</f>
        <v>161.10554668451002</v>
      </c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</row>
    <row r="54" spans="1:85" s="7" customFormat="1" x14ac:dyDescent="0.25">
      <c r="B54" s="20" t="s">
        <v>35</v>
      </c>
      <c r="C54" s="19">
        <f>SUM(Cost_Flow!E40:E44)</f>
        <v>3.910864482</v>
      </c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S54" s="20" t="s">
        <v>35</v>
      </c>
      <c r="T54" s="19">
        <f>SUM(Cost_Flow!V40:V44)</f>
        <v>-0.1162669799999998</v>
      </c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J54" s="20" t="s">
        <v>35</v>
      </c>
      <c r="AK54" s="19">
        <f>SUM(Cost_Flow!AM40:AM44)</f>
        <v>-13.8239804</v>
      </c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BA54" s="20" t="s">
        <v>35</v>
      </c>
      <c r="BB54" s="19">
        <f>SUM(Cost_Flow!BD40:BD44)</f>
        <v>-0.142641923</v>
      </c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R54" s="20" t="s">
        <v>35</v>
      </c>
      <c r="BS54" s="19">
        <f>SUM(Cost_Flow!BU40:BU44)</f>
        <v>139.90209647399999</v>
      </c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</row>
    <row r="55" spans="1:85" s="7" customFormat="1" x14ac:dyDescent="0.25">
      <c r="B55" s="21" t="s">
        <v>37</v>
      </c>
      <c r="C55" s="23">
        <f>Cost_Flow!C49</f>
        <v>1.3935028179999998</v>
      </c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S55" s="21" t="s">
        <v>37</v>
      </c>
      <c r="T55" s="23">
        <f>Cost_Flow!T49</f>
        <v>22.051585112800002</v>
      </c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J55" s="21" t="s">
        <v>37</v>
      </c>
      <c r="AK55" s="23">
        <f>Cost_Flow!AK49</f>
        <v>53.111509848799997</v>
      </c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BA55" s="21" t="s">
        <v>37</v>
      </c>
      <c r="BB55" s="23">
        <f>Cost_Flow!BB49</f>
        <v>40.096309112</v>
      </c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R55" s="21" t="s">
        <v>37</v>
      </c>
      <c r="BS55" s="23">
        <f>Cost_Flow!BS49</f>
        <v>41.241124097569994</v>
      </c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</row>
    <row r="57" spans="1:85" ht="21" x14ac:dyDescent="0.35">
      <c r="A57" s="5">
        <v>2030</v>
      </c>
      <c r="R57" s="5">
        <v>2030</v>
      </c>
      <c r="AI57" s="5">
        <v>2030</v>
      </c>
      <c r="AZ57" s="5">
        <v>2030</v>
      </c>
      <c r="BQ57" s="5">
        <v>2030</v>
      </c>
    </row>
    <row r="58" spans="1:85" x14ac:dyDescent="0.25">
      <c r="B58" s="4" t="str">
        <f>$B$6</f>
        <v>ReferentieUtrecht</v>
      </c>
      <c r="S58" s="4" t="str">
        <f>$S$6</f>
        <v>Utrecht_Label B</v>
      </c>
      <c r="AJ58" s="4" t="str">
        <f>$AJ$6</f>
        <v>Utrecht_Label Aplus</v>
      </c>
      <c r="BA58" s="4" t="str">
        <f>BA$6</f>
        <v>Utrecht_Label Aplus, met eWP</v>
      </c>
      <c r="BR58" s="4" t="str">
        <f>BR$6</f>
        <v>Utrecht_Label B_Warmtenetten</v>
      </c>
    </row>
    <row r="59" spans="1:85" x14ac:dyDescent="0.25">
      <c r="C59" s="1" t="s">
        <v>18</v>
      </c>
      <c r="D59" s="1" t="s">
        <v>19</v>
      </c>
      <c r="E59" s="1" t="s">
        <v>20</v>
      </c>
      <c r="F59" s="1" t="s">
        <v>21</v>
      </c>
      <c r="G59" s="1" t="s">
        <v>22</v>
      </c>
      <c r="H59" s="1" t="s">
        <v>23</v>
      </c>
      <c r="I59" s="1" t="s">
        <v>24</v>
      </c>
      <c r="J59" s="1" t="s">
        <v>25</v>
      </c>
      <c r="K59" s="1" t="s">
        <v>26</v>
      </c>
      <c r="L59" s="1" t="s">
        <v>5</v>
      </c>
      <c r="M59" s="1" t="s">
        <v>6</v>
      </c>
      <c r="N59" s="1" t="s">
        <v>7</v>
      </c>
      <c r="O59" s="1" t="s">
        <v>8</v>
      </c>
      <c r="P59" s="1" t="s">
        <v>9</v>
      </c>
      <c r="Q59" s="1" t="s">
        <v>27</v>
      </c>
      <c r="T59" s="1" t="s">
        <v>18</v>
      </c>
      <c r="U59" s="1" t="s">
        <v>19</v>
      </c>
      <c r="V59" s="1" t="s">
        <v>20</v>
      </c>
      <c r="W59" s="1" t="s">
        <v>21</v>
      </c>
      <c r="X59" s="1" t="s">
        <v>22</v>
      </c>
      <c r="Y59" s="1" t="s">
        <v>23</v>
      </c>
      <c r="Z59" s="1" t="s">
        <v>24</v>
      </c>
      <c r="AA59" s="1" t="s">
        <v>25</v>
      </c>
      <c r="AB59" s="1" t="s">
        <v>26</v>
      </c>
      <c r="AC59" s="1" t="s">
        <v>5</v>
      </c>
      <c r="AD59" s="1" t="s">
        <v>6</v>
      </c>
      <c r="AE59" s="1" t="s">
        <v>7</v>
      </c>
      <c r="AF59" s="1" t="s">
        <v>8</v>
      </c>
      <c r="AG59" s="1" t="s">
        <v>9</v>
      </c>
      <c r="AH59" s="1" t="s">
        <v>27</v>
      </c>
      <c r="AK59" s="1" t="s">
        <v>18</v>
      </c>
      <c r="AL59" s="1" t="s">
        <v>19</v>
      </c>
      <c r="AM59" s="1" t="s">
        <v>20</v>
      </c>
      <c r="AN59" s="1" t="s">
        <v>21</v>
      </c>
      <c r="AO59" s="1" t="s">
        <v>22</v>
      </c>
      <c r="AP59" s="1" t="s">
        <v>23</v>
      </c>
      <c r="AQ59" s="1" t="s">
        <v>24</v>
      </c>
      <c r="AR59" s="1" t="s">
        <v>25</v>
      </c>
      <c r="AS59" s="1" t="s">
        <v>26</v>
      </c>
      <c r="AT59" s="1" t="s">
        <v>5</v>
      </c>
      <c r="AU59" s="1" t="s">
        <v>6</v>
      </c>
      <c r="AV59" s="1" t="s">
        <v>7</v>
      </c>
      <c r="AW59" s="1" t="s">
        <v>8</v>
      </c>
      <c r="AX59" s="1" t="s">
        <v>9</v>
      </c>
      <c r="AY59" s="1" t="s">
        <v>27</v>
      </c>
      <c r="BB59" s="1" t="s">
        <v>18</v>
      </c>
      <c r="BC59" s="1" t="s">
        <v>19</v>
      </c>
      <c r="BD59" s="1" t="s">
        <v>20</v>
      </c>
      <c r="BE59" s="1" t="s">
        <v>21</v>
      </c>
      <c r="BF59" s="1" t="s">
        <v>22</v>
      </c>
      <c r="BG59" s="1" t="s">
        <v>23</v>
      </c>
      <c r="BH59" s="1" t="s">
        <v>24</v>
      </c>
      <c r="BI59" s="1" t="s">
        <v>25</v>
      </c>
      <c r="BJ59" s="1" t="s">
        <v>26</v>
      </c>
      <c r="BK59" s="1" t="s">
        <v>5</v>
      </c>
      <c r="BL59" s="1" t="s">
        <v>6</v>
      </c>
      <c r="BM59" s="1" t="s">
        <v>7</v>
      </c>
      <c r="BN59" s="1" t="s">
        <v>8</v>
      </c>
      <c r="BO59" s="1" t="s">
        <v>9</v>
      </c>
      <c r="BP59" s="1" t="s">
        <v>27</v>
      </c>
      <c r="BS59" s="1" t="s">
        <v>18</v>
      </c>
      <c r="BT59" s="1" t="s">
        <v>19</v>
      </c>
      <c r="BU59" s="1" t="s">
        <v>20</v>
      </c>
      <c r="BV59" s="1" t="s">
        <v>21</v>
      </c>
      <c r="BW59" s="1" t="s">
        <v>22</v>
      </c>
      <c r="BX59" s="1" t="s">
        <v>23</v>
      </c>
      <c r="BY59" s="1" t="s">
        <v>24</v>
      </c>
      <c r="BZ59" s="1" t="s">
        <v>25</v>
      </c>
      <c r="CA59" s="1" t="s">
        <v>26</v>
      </c>
      <c r="CB59" s="1" t="s">
        <v>5</v>
      </c>
      <c r="CC59" s="1" t="s">
        <v>6</v>
      </c>
      <c r="CD59" s="1" t="s">
        <v>7</v>
      </c>
      <c r="CE59" s="1" t="s">
        <v>8</v>
      </c>
      <c r="CF59" s="1" t="s">
        <v>9</v>
      </c>
      <c r="CG59" s="1" t="s">
        <v>27</v>
      </c>
    </row>
    <row r="60" spans="1:85" x14ac:dyDescent="0.25">
      <c r="C60" s="1" t="s">
        <v>29</v>
      </c>
      <c r="D60" s="1" t="s">
        <v>29</v>
      </c>
      <c r="E60" s="1" t="s">
        <v>29</v>
      </c>
      <c r="F60" s="1" t="s">
        <v>29</v>
      </c>
      <c r="G60" s="1" t="s">
        <v>29</v>
      </c>
      <c r="H60" s="1" t="s">
        <v>29</v>
      </c>
      <c r="I60" s="1" t="s">
        <v>29</v>
      </c>
      <c r="J60" s="1" t="s">
        <v>29</v>
      </c>
      <c r="K60" s="1" t="s">
        <v>29</v>
      </c>
      <c r="L60" s="1" t="s">
        <v>29</v>
      </c>
      <c r="M60" s="1" t="s">
        <v>29</v>
      </c>
      <c r="N60" s="1" t="s">
        <v>29</v>
      </c>
      <c r="O60" s="1" t="s">
        <v>29</v>
      </c>
      <c r="P60" s="1" t="s">
        <v>29</v>
      </c>
      <c r="Q60" s="1" t="s">
        <v>29</v>
      </c>
      <c r="T60" s="1" t="s">
        <v>29</v>
      </c>
      <c r="U60" s="1" t="s">
        <v>29</v>
      </c>
      <c r="V60" s="1" t="s">
        <v>29</v>
      </c>
      <c r="W60" s="1" t="s">
        <v>29</v>
      </c>
      <c r="X60" s="1" t="s">
        <v>29</v>
      </c>
      <c r="Y60" s="1" t="s">
        <v>29</v>
      </c>
      <c r="Z60" s="1" t="s">
        <v>29</v>
      </c>
      <c r="AA60" s="1" t="s">
        <v>29</v>
      </c>
      <c r="AB60" s="1" t="s">
        <v>29</v>
      </c>
      <c r="AC60" s="1" t="s">
        <v>29</v>
      </c>
      <c r="AD60" s="1" t="s">
        <v>29</v>
      </c>
      <c r="AE60" s="1" t="s">
        <v>29</v>
      </c>
      <c r="AF60" s="1" t="s">
        <v>29</v>
      </c>
      <c r="AG60" s="1" t="s">
        <v>29</v>
      </c>
      <c r="AH60" s="1" t="s">
        <v>29</v>
      </c>
      <c r="AK60" s="1" t="s">
        <v>29</v>
      </c>
      <c r="AL60" s="1" t="s">
        <v>29</v>
      </c>
      <c r="AM60" s="1" t="s">
        <v>29</v>
      </c>
      <c r="AN60" s="1" t="s">
        <v>29</v>
      </c>
      <c r="AO60" s="1" t="s">
        <v>29</v>
      </c>
      <c r="AP60" s="1" t="s">
        <v>29</v>
      </c>
      <c r="AQ60" s="1" t="s">
        <v>29</v>
      </c>
      <c r="AR60" s="1" t="s">
        <v>29</v>
      </c>
      <c r="AS60" s="1" t="s">
        <v>29</v>
      </c>
      <c r="AT60" s="1" t="s">
        <v>29</v>
      </c>
      <c r="AU60" s="1" t="s">
        <v>29</v>
      </c>
      <c r="AV60" s="1" t="s">
        <v>29</v>
      </c>
      <c r="AW60" s="1" t="s">
        <v>29</v>
      </c>
      <c r="AX60" s="1" t="s">
        <v>29</v>
      </c>
      <c r="AY60" s="1" t="s">
        <v>29</v>
      </c>
      <c r="BB60" s="1" t="s">
        <v>29</v>
      </c>
      <c r="BC60" s="1" t="s">
        <v>29</v>
      </c>
      <c r="BD60" s="1" t="s">
        <v>29</v>
      </c>
      <c r="BE60" s="1" t="s">
        <v>29</v>
      </c>
      <c r="BF60" s="1" t="s">
        <v>29</v>
      </c>
      <c r="BG60" s="1" t="s">
        <v>29</v>
      </c>
      <c r="BH60" s="1" t="s">
        <v>29</v>
      </c>
      <c r="BI60" s="1" t="s">
        <v>29</v>
      </c>
      <c r="BJ60" s="1" t="s">
        <v>29</v>
      </c>
      <c r="BK60" s="1" t="s">
        <v>29</v>
      </c>
      <c r="BL60" s="1" t="s">
        <v>29</v>
      </c>
      <c r="BM60" s="1" t="s">
        <v>29</v>
      </c>
      <c r="BN60" s="1" t="s">
        <v>29</v>
      </c>
      <c r="BO60" s="1" t="s">
        <v>29</v>
      </c>
      <c r="BP60" s="1" t="s">
        <v>29</v>
      </c>
      <c r="BS60" s="1" t="s">
        <v>29</v>
      </c>
      <c r="BT60" s="1" t="s">
        <v>29</v>
      </c>
      <c r="BU60" s="1" t="s">
        <v>29</v>
      </c>
      <c r="BV60" s="1" t="s">
        <v>29</v>
      </c>
      <c r="BW60" s="1" t="s">
        <v>29</v>
      </c>
      <c r="BX60" s="1" t="s">
        <v>29</v>
      </c>
      <c r="BY60" s="1" t="s">
        <v>29</v>
      </c>
      <c r="BZ60" s="1" t="s">
        <v>29</v>
      </c>
      <c r="CA60" s="1" t="s">
        <v>29</v>
      </c>
      <c r="CB60" s="1" t="s">
        <v>29</v>
      </c>
      <c r="CC60" s="1" t="s">
        <v>29</v>
      </c>
      <c r="CD60" s="1" t="s">
        <v>29</v>
      </c>
      <c r="CE60" s="1" t="s">
        <v>29</v>
      </c>
      <c r="CF60" s="1" t="s">
        <v>29</v>
      </c>
      <c r="CG60" s="1" t="s">
        <v>29</v>
      </c>
    </row>
    <row r="61" spans="1:85" s="7" customFormat="1" x14ac:dyDescent="0.25">
      <c r="A61" s="7">
        <f>INDEX(D61,1)</f>
        <v>0</v>
      </c>
      <c r="B61" s="7" t="s">
        <v>1</v>
      </c>
      <c r="C61" s="13">
        <f>SUM(F61:Q61)</f>
        <v>6.3545816756000004</v>
      </c>
      <c r="D61" s="8">
        <f>Modeloutput!C123</f>
        <v>0</v>
      </c>
      <c r="E61" s="8">
        <f>Modeloutput!D123</f>
        <v>6.35458167</v>
      </c>
      <c r="F61" s="8">
        <f>Modeloutput!E123</f>
        <v>1.17176467</v>
      </c>
      <c r="G61" s="8">
        <f>Modeloutput!F123</f>
        <v>0</v>
      </c>
      <c r="H61" s="8">
        <f>Modeloutput!G123</f>
        <v>1.5670525599999999E-2</v>
      </c>
      <c r="I61" s="8">
        <f>Modeloutput!H123</f>
        <v>0</v>
      </c>
      <c r="J61" s="8">
        <f>Modeloutput!I123</f>
        <v>0</v>
      </c>
      <c r="K61" s="8">
        <f>Modeloutput!J123</f>
        <v>0</v>
      </c>
      <c r="L61" s="8">
        <f>Modeloutput!K123</f>
        <v>0</v>
      </c>
      <c r="M61" s="8">
        <f>Modeloutput!L123</f>
        <v>0</v>
      </c>
      <c r="N61" s="8">
        <f>Modeloutput!M123</f>
        <v>5.1671464800000004</v>
      </c>
      <c r="O61" s="8">
        <f>Modeloutput!N123</f>
        <v>0</v>
      </c>
      <c r="P61" s="8">
        <f>Modeloutput!O123</f>
        <v>0</v>
      </c>
      <c r="Q61" s="8">
        <f>Modeloutput!P123</f>
        <v>0</v>
      </c>
      <c r="S61" s="7" t="s">
        <v>1</v>
      </c>
      <c r="T61" s="13">
        <f>SUM(W61:AH61)</f>
        <v>65.527071610000007</v>
      </c>
      <c r="U61" s="8">
        <f>Modeloutput!C378</f>
        <v>0</v>
      </c>
      <c r="V61" s="8">
        <f>Modeloutput!D378</f>
        <v>65.527071699999993</v>
      </c>
      <c r="W61" s="8">
        <f>Modeloutput!E378</f>
        <v>35.699894</v>
      </c>
      <c r="X61" s="8">
        <f>Modeloutput!F378</f>
        <v>0</v>
      </c>
      <c r="Y61" s="8">
        <f>Modeloutput!G378</f>
        <v>24.716579100000001</v>
      </c>
      <c r="Z61" s="8">
        <f>Modeloutput!H378</f>
        <v>0</v>
      </c>
      <c r="AA61" s="8">
        <f>Modeloutput!I378</f>
        <v>0</v>
      </c>
      <c r="AB61" s="8">
        <f>Modeloutput!J378</f>
        <v>0</v>
      </c>
      <c r="AC61" s="8">
        <f>Modeloutput!K378</f>
        <v>0</v>
      </c>
      <c r="AD61" s="8">
        <f>Modeloutput!L378</f>
        <v>0</v>
      </c>
      <c r="AE61" s="8">
        <f>Modeloutput!M378</f>
        <v>5.11059851</v>
      </c>
      <c r="AF61" s="8">
        <f>Modeloutput!N378</f>
        <v>0</v>
      </c>
      <c r="AG61" s="8">
        <f>Modeloutput!O378</f>
        <v>0</v>
      </c>
      <c r="AH61" s="8">
        <f>Modeloutput!P378</f>
        <v>0</v>
      </c>
      <c r="AJ61" s="7" t="s">
        <v>1</v>
      </c>
      <c r="AK61" s="13">
        <f>SUM(AN61:AY61)</f>
        <v>185.53817459999999</v>
      </c>
      <c r="AL61" s="8">
        <f>Modeloutput!C633</f>
        <v>0</v>
      </c>
      <c r="AM61" s="8">
        <f>Modeloutput!D633</f>
        <v>185.538175</v>
      </c>
      <c r="AN61" s="8">
        <f>Modeloutput!E633</f>
        <v>69.634953499999995</v>
      </c>
      <c r="AO61" s="8">
        <f>Modeloutput!F633</f>
        <v>0</v>
      </c>
      <c r="AP61" s="8">
        <f>Modeloutput!G633</f>
        <v>45.6777522</v>
      </c>
      <c r="AQ61" s="8">
        <f>Modeloutput!H633</f>
        <v>0</v>
      </c>
      <c r="AR61" s="8">
        <f>Modeloutput!I633</f>
        <v>0</v>
      </c>
      <c r="AS61" s="8">
        <f>Modeloutput!J633</f>
        <v>0</v>
      </c>
      <c r="AT61" s="8">
        <f>Modeloutput!K633</f>
        <v>0</v>
      </c>
      <c r="AU61" s="8">
        <f>Modeloutput!L633</f>
        <v>0</v>
      </c>
      <c r="AV61" s="8">
        <f>Modeloutput!M633</f>
        <v>70.225468899999996</v>
      </c>
      <c r="AW61" s="8">
        <f>Modeloutput!N633</f>
        <v>0</v>
      </c>
      <c r="AX61" s="8">
        <f>Modeloutput!O633</f>
        <v>0</v>
      </c>
      <c r="AY61" s="8">
        <f>Modeloutput!P633</f>
        <v>0</v>
      </c>
      <c r="BA61" s="7" t="s">
        <v>1</v>
      </c>
      <c r="BB61" s="13">
        <f>SUM(BE61:BP61)</f>
        <v>78.351397999999989</v>
      </c>
      <c r="BC61" s="8">
        <f>Modeloutput!C888</f>
        <v>0</v>
      </c>
      <c r="BD61" s="8">
        <f>Modeloutput!D888</f>
        <v>78.351398000000003</v>
      </c>
      <c r="BE61" s="8">
        <f>Modeloutput!E888</f>
        <v>49.995046799999997</v>
      </c>
      <c r="BF61" s="8">
        <f>Modeloutput!F888</f>
        <v>0</v>
      </c>
      <c r="BG61" s="8">
        <f>Modeloutput!G888</f>
        <v>28.356351199999999</v>
      </c>
      <c r="BH61" s="8">
        <f>Modeloutput!H888</f>
        <v>0</v>
      </c>
      <c r="BI61" s="8">
        <f>Modeloutput!I888</f>
        <v>0</v>
      </c>
      <c r="BJ61" s="8">
        <f>Modeloutput!J888</f>
        <v>0</v>
      </c>
      <c r="BK61" s="8">
        <f>Modeloutput!K888</f>
        <v>0</v>
      </c>
      <c r="BL61" s="8">
        <f>Modeloutput!L888</f>
        <v>0</v>
      </c>
      <c r="BM61" s="8">
        <f>Modeloutput!M888</f>
        <v>0</v>
      </c>
      <c r="BN61" s="8">
        <f>Modeloutput!N888</f>
        <v>0</v>
      </c>
      <c r="BO61" s="8">
        <f>Modeloutput!O888</f>
        <v>0</v>
      </c>
      <c r="BP61" s="8">
        <f>Modeloutput!P888</f>
        <v>0</v>
      </c>
      <c r="BR61" s="7" t="s">
        <v>1</v>
      </c>
      <c r="BS61" s="13">
        <f>SUM(BV61:CG61)</f>
        <v>128.43048168850001</v>
      </c>
      <c r="BT61" s="8">
        <f>Modeloutput!C1143</f>
        <v>0</v>
      </c>
      <c r="BU61" s="8">
        <f>Modeloutput!D1143</f>
        <v>128.43048200000001</v>
      </c>
      <c r="BV61" s="8">
        <f>Modeloutput!E1143</f>
        <v>35.699894</v>
      </c>
      <c r="BW61" s="8">
        <f>Modeloutput!F1143</f>
        <v>0</v>
      </c>
      <c r="BX61" s="8">
        <f>Modeloutput!G1143</f>
        <v>24.6858124</v>
      </c>
      <c r="BY61" s="8">
        <f>Modeloutput!H1143</f>
        <v>0</v>
      </c>
      <c r="BZ61" s="8">
        <f>Modeloutput!I1143</f>
        <v>0</v>
      </c>
      <c r="CA61" s="8">
        <f>Modeloutput!J1143</f>
        <v>0</v>
      </c>
      <c r="CB61" s="8">
        <f>Modeloutput!K1143</f>
        <v>29.729580800000001</v>
      </c>
      <c r="CC61" s="8">
        <f>Modeloutput!L1143</f>
        <v>38.233194400000002</v>
      </c>
      <c r="CD61" s="8">
        <f>Modeloutput!M1143</f>
        <v>8.2000088499999998E-2</v>
      </c>
      <c r="CE61" s="8">
        <f>Modeloutput!N1143</f>
        <v>0</v>
      </c>
      <c r="CF61" s="8">
        <f>Modeloutput!O1143</f>
        <v>0</v>
      </c>
      <c r="CG61" s="8">
        <f>Modeloutput!P1143</f>
        <v>0</v>
      </c>
    </row>
    <row r="62" spans="1:85" s="7" customFormat="1" x14ac:dyDescent="0.25">
      <c r="A62" s="7">
        <f t="shared" ref="A62:A71" si="20">INDEX(D62,1)</f>
        <v>0</v>
      </c>
      <c r="B62" s="7" t="s">
        <v>2</v>
      </c>
      <c r="C62" s="13">
        <f t="shared" ref="C62:C74" si="21">SUM(F62:Q62)</f>
        <v>10.17971143115</v>
      </c>
      <c r="D62" s="8">
        <f>Modeloutput!C124</f>
        <v>0</v>
      </c>
      <c r="E62" s="8">
        <f>Modeloutput!D124</f>
        <v>10.1797115</v>
      </c>
      <c r="F62" s="8">
        <f>Modeloutput!E124</f>
        <v>0</v>
      </c>
      <c r="G62" s="8">
        <f>Modeloutput!F124</f>
        <v>0</v>
      </c>
      <c r="H62" s="8">
        <f>Modeloutput!G124</f>
        <v>6.4881311499999997E-3</v>
      </c>
      <c r="I62" s="8">
        <f>Modeloutput!H124</f>
        <v>0</v>
      </c>
      <c r="J62" s="8">
        <f>Modeloutput!I124</f>
        <v>0</v>
      </c>
      <c r="K62" s="8">
        <f>Modeloutput!J124</f>
        <v>0</v>
      </c>
      <c r="L62" s="8">
        <f>Modeloutput!K124</f>
        <v>10.1732233</v>
      </c>
      <c r="M62" s="8">
        <f>Modeloutput!L124</f>
        <v>0</v>
      </c>
      <c r="N62" s="8">
        <f>Modeloutput!M124</f>
        <v>0</v>
      </c>
      <c r="O62" s="8">
        <f>Modeloutput!N124</f>
        <v>0</v>
      </c>
      <c r="P62" s="8">
        <f>Modeloutput!O124</f>
        <v>0</v>
      </c>
      <c r="Q62" s="8">
        <f>Modeloutput!P124</f>
        <v>0</v>
      </c>
      <c r="S62" s="7" t="s">
        <v>2</v>
      </c>
      <c r="T62" s="13">
        <f t="shared" ref="T62:T74" si="22">SUM(W62:AH62)</f>
        <v>7.4131074409000002</v>
      </c>
      <c r="U62" s="8">
        <f>Modeloutput!C379</f>
        <v>0</v>
      </c>
      <c r="V62" s="8">
        <f>Modeloutput!D379</f>
        <v>7.41310745</v>
      </c>
      <c r="W62" s="8">
        <f>Modeloutput!E379</f>
        <v>0</v>
      </c>
      <c r="X62" s="8">
        <f>Modeloutput!F379</f>
        <v>0</v>
      </c>
      <c r="Y62" s="8">
        <f>Modeloutput!G379</f>
        <v>4.9566830899999997E-2</v>
      </c>
      <c r="Z62" s="8">
        <f>Modeloutput!H379</f>
        <v>0</v>
      </c>
      <c r="AA62" s="8">
        <f>Modeloutput!I379</f>
        <v>0</v>
      </c>
      <c r="AB62" s="8">
        <f>Modeloutput!J379</f>
        <v>0</v>
      </c>
      <c r="AC62" s="8">
        <f>Modeloutput!K379</f>
        <v>7.3635406100000003</v>
      </c>
      <c r="AD62" s="8">
        <f>Modeloutput!L379</f>
        <v>0</v>
      </c>
      <c r="AE62" s="8">
        <f>Modeloutput!M379</f>
        <v>0</v>
      </c>
      <c r="AF62" s="8">
        <f>Modeloutput!N379</f>
        <v>0</v>
      </c>
      <c r="AG62" s="8">
        <f>Modeloutput!O379</f>
        <v>0</v>
      </c>
      <c r="AH62" s="8">
        <f>Modeloutput!P379</f>
        <v>0</v>
      </c>
      <c r="AJ62" s="7" t="s">
        <v>2</v>
      </c>
      <c r="AK62" s="13">
        <f t="shared" ref="AK62:AK74" si="23">SUM(AN62:AY62)</f>
        <v>5.6725992510000003</v>
      </c>
      <c r="AL62" s="8">
        <f>Modeloutput!C634</f>
        <v>0</v>
      </c>
      <c r="AM62" s="8">
        <f>Modeloutput!D634</f>
        <v>5.6725992500000002</v>
      </c>
      <c r="AN62" s="8">
        <f>Modeloutput!E634</f>
        <v>0</v>
      </c>
      <c r="AO62" s="8">
        <f>Modeloutput!F634</f>
        <v>0</v>
      </c>
      <c r="AP62" s="8">
        <f>Modeloutput!G634</f>
        <v>0.53641162099999995</v>
      </c>
      <c r="AQ62" s="8">
        <f>Modeloutput!H634</f>
        <v>0</v>
      </c>
      <c r="AR62" s="8">
        <f>Modeloutput!I634</f>
        <v>0</v>
      </c>
      <c r="AS62" s="8">
        <f>Modeloutput!J634</f>
        <v>0</v>
      </c>
      <c r="AT62" s="8">
        <f>Modeloutput!K634</f>
        <v>5.1361876300000002</v>
      </c>
      <c r="AU62" s="8">
        <f>Modeloutput!L634</f>
        <v>0</v>
      </c>
      <c r="AV62" s="8">
        <f>Modeloutput!M634</f>
        <v>0</v>
      </c>
      <c r="AW62" s="8">
        <f>Modeloutput!N634</f>
        <v>0</v>
      </c>
      <c r="AX62" s="8">
        <f>Modeloutput!O634</f>
        <v>0</v>
      </c>
      <c r="AY62" s="8">
        <f>Modeloutput!P634</f>
        <v>0</v>
      </c>
      <c r="BA62" s="7" t="s">
        <v>2</v>
      </c>
      <c r="BB62" s="13">
        <f t="shared" ref="BB62:BB74" si="24">SUM(BE62:BP62)</f>
        <v>85.702413796999991</v>
      </c>
      <c r="BC62" s="8">
        <f>Modeloutput!C889</f>
        <v>0</v>
      </c>
      <c r="BD62" s="8">
        <f>Modeloutput!D889</f>
        <v>85.702413800000002</v>
      </c>
      <c r="BE62" s="8">
        <f>Modeloutput!E889</f>
        <v>61.648198600000001</v>
      </c>
      <c r="BF62" s="8">
        <f>Modeloutput!F889</f>
        <v>2.3594788499999999</v>
      </c>
      <c r="BG62" s="8">
        <f>Modeloutput!G889</f>
        <v>11.282752500000001</v>
      </c>
      <c r="BH62" s="8">
        <f>Modeloutput!H889</f>
        <v>0.23672094699999999</v>
      </c>
      <c r="BI62" s="8">
        <f>Modeloutput!I889</f>
        <v>0</v>
      </c>
      <c r="BJ62" s="8">
        <f>Modeloutput!J889</f>
        <v>0</v>
      </c>
      <c r="BK62" s="8">
        <f>Modeloutput!K889</f>
        <v>10.1752629</v>
      </c>
      <c r="BL62" s="8">
        <f>Modeloutput!L889</f>
        <v>0</v>
      </c>
      <c r="BM62" s="8">
        <f>Modeloutput!M889</f>
        <v>0</v>
      </c>
      <c r="BN62" s="8">
        <f>Modeloutput!N889</f>
        <v>0</v>
      </c>
      <c r="BO62" s="8">
        <f>Modeloutput!O889</f>
        <v>0</v>
      </c>
      <c r="BP62" s="8">
        <f>Modeloutput!P889</f>
        <v>0</v>
      </c>
      <c r="BR62" s="7" t="s">
        <v>2</v>
      </c>
      <c r="BS62" s="13">
        <f t="shared" ref="BS62:BS74" si="25">SUM(BV62:CG62)</f>
        <v>14.405260930629</v>
      </c>
      <c r="BT62" s="8">
        <f>Modeloutput!C1144</f>
        <v>0</v>
      </c>
      <c r="BU62" s="8">
        <f>Modeloutput!D1144</f>
        <v>14.4052609</v>
      </c>
      <c r="BV62" s="8">
        <f>Modeloutput!E1144</f>
        <v>0</v>
      </c>
      <c r="BW62" s="8">
        <f>Modeloutput!F1144</f>
        <v>0</v>
      </c>
      <c r="BX62" s="8">
        <f>Modeloutput!G1144</f>
        <v>0</v>
      </c>
      <c r="BY62" s="8">
        <f>Modeloutput!H1144</f>
        <v>0</v>
      </c>
      <c r="BZ62" s="8">
        <f>Modeloutput!I1144</f>
        <v>0</v>
      </c>
      <c r="CA62" s="8">
        <f>Modeloutput!J1144</f>
        <v>0</v>
      </c>
      <c r="CB62" s="8">
        <f>Modeloutput!K1144</f>
        <v>14.4050961</v>
      </c>
      <c r="CC62" s="8">
        <f>Modeloutput!L1144</f>
        <v>1.6483062900000001E-4</v>
      </c>
      <c r="CD62" s="8">
        <f>Modeloutput!M1144</f>
        <v>0</v>
      </c>
      <c r="CE62" s="8">
        <f>Modeloutput!N1144</f>
        <v>0</v>
      </c>
      <c r="CF62" s="8">
        <f>Modeloutput!O1144</f>
        <v>0</v>
      </c>
      <c r="CG62" s="8">
        <f>Modeloutput!P1144</f>
        <v>0</v>
      </c>
    </row>
    <row r="63" spans="1:85" s="7" customFormat="1" x14ac:dyDescent="0.25">
      <c r="A63" s="7">
        <f t="shared" si="20"/>
        <v>0</v>
      </c>
      <c r="B63" s="7" t="s">
        <v>3</v>
      </c>
      <c r="C63" s="13">
        <f t="shared" si="21"/>
        <v>68.359555806200007</v>
      </c>
      <c r="D63" s="8">
        <f>Modeloutput!C125</f>
        <v>0</v>
      </c>
      <c r="E63" s="8">
        <f>Modeloutput!D125</f>
        <v>68.359555799999995</v>
      </c>
      <c r="F63" s="8">
        <f>Modeloutput!E125</f>
        <v>43.900900399999998</v>
      </c>
      <c r="G63" s="8">
        <f>Modeloutput!F125</f>
        <v>0.162594708</v>
      </c>
      <c r="H63" s="8">
        <f>Modeloutput!G125</f>
        <v>14.679674500000001</v>
      </c>
      <c r="I63" s="8">
        <f>Modeloutput!H125</f>
        <v>3.94714782E-2</v>
      </c>
      <c r="J63" s="8">
        <f>Modeloutput!I125</f>
        <v>0</v>
      </c>
      <c r="K63" s="8">
        <f>Modeloutput!J125</f>
        <v>0</v>
      </c>
      <c r="L63" s="8">
        <f>Modeloutput!K125</f>
        <v>5.0326705499999997</v>
      </c>
      <c r="M63" s="8">
        <f>Modeloutput!L125</f>
        <v>0</v>
      </c>
      <c r="N63" s="8">
        <f>Modeloutput!M125</f>
        <v>0</v>
      </c>
      <c r="O63" s="8">
        <f>Modeloutput!N125</f>
        <v>0</v>
      </c>
      <c r="P63" s="8">
        <f>Modeloutput!O125</f>
        <v>0</v>
      </c>
      <c r="Q63" s="8">
        <f>Modeloutput!P125</f>
        <v>4.5442441699999998</v>
      </c>
      <c r="S63" s="7" t="s">
        <v>3</v>
      </c>
      <c r="T63" s="13">
        <f t="shared" si="22"/>
        <v>62.884585584200003</v>
      </c>
      <c r="U63" s="8">
        <f>Modeloutput!C380</f>
        <v>0</v>
      </c>
      <c r="V63" s="8">
        <f>Modeloutput!D380</f>
        <v>62.8845855</v>
      </c>
      <c r="W63" s="8">
        <f>Modeloutput!E380</f>
        <v>39.472129700000004</v>
      </c>
      <c r="X63" s="8">
        <f>Modeloutput!F380</f>
        <v>0.18809509599999999</v>
      </c>
      <c r="Y63" s="8">
        <f>Modeloutput!G380</f>
        <v>11.0668013</v>
      </c>
      <c r="Z63" s="8">
        <f>Modeloutput!H380</f>
        <v>3.94714782E-2</v>
      </c>
      <c r="AA63" s="8">
        <f>Modeloutput!I380</f>
        <v>0</v>
      </c>
      <c r="AB63" s="8">
        <f>Modeloutput!J380</f>
        <v>0</v>
      </c>
      <c r="AC63" s="8">
        <f>Modeloutput!K380</f>
        <v>3.69051616</v>
      </c>
      <c r="AD63" s="8">
        <f>Modeloutput!L380</f>
        <v>0</v>
      </c>
      <c r="AE63" s="8">
        <f>Modeloutput!M380</f>
        <v>0</v>
      </c>
      <c r="AF63" s="8">
        <f>Modeloutput!N380</f>
        <v>0</v>
      </c>
      <c r="AG63" s="8">
        <f>Modeloutput!O380</f>
        <v>0</v>
      </c>
      <c r="AH63" s="8">
        <f>Modeloutput!P380</f>
        <v>8.4275718499999996</v>
      </c>
      <c r="AJ63" s="7" t="s">
        <v>3</v>
      </c>
      <c r="AK63" s="13">
        <f t="shared" si="23"/>
        <v>49.003567478199997</v>
      </c>
      <c r="AL63" s="8">
        <f>Modeloutput!C635</f>
        <v>0</v>
      </c>
      <c r="AM63" s="8">
        <f>Modeloutput!D635</f>
        <v>49.003567400000001</v>
      </c>
      <c r="AN63" s="8">
        <f>Modeloutput!E635</f>
        <v>7.0999150799999997</v>
      </c>
      <c r="AO63" s="8">
        <f>Modeloutput!F635</f>
        <v>0.12418586</v>
      </c>
      <c r="AP63" s="8">
        <f>Modeloutput!G635</f>
        <v>3.9929709199999999</v>
      </c>
      <c r="AQ63" s="8">
        <f>Modeloutput!H635</f>
        <v>3.94714782E-2</v>
      </c>
      <c r="AR63" s="8">
        <f>Modeloutput!I635</f>
        <v>0</v>
      </c>
      <c r="AS63" s="8">
        <f>Modeloutput!J635</f>
        <v>0</v>
      </c>
      <c r="AT63" s="8">
        <f>Modeloutput!K635</f>
        <v>2.5638169400000002</v>
      </c>
      <c r="AU63" s="8">
        <f>Modeloutput!L635</f>
        <v>0</v>
      </c>
      <c r="AV63" s="8">
        <f>Modeloutput!M635</f>
        <v>0</v>
      </c>
      <c r="AW63" s="8">
        <f>Modeloutput!N635</f>
        <v>0</v>
      </c>
      <c r="AX63" s="8">
        <f>Modeloutput!O635</f>
        <v>0</v>
      </c>
      <c r="AY63" s="8">
        <f>Modeloutput!P635</f>
        <v>35.183207199999998</v>
      </c>
      <c r="BA63" s="7" t="s">
        <v>3</v>
      </c>
      <c r="BB63" s="13">
        <f t="shared" si="24"/>
        <v>40.00879304</v>
      </c>
      <c r="BC63" s="8">
        <f>Modeloutput!C890</f>
        <v>0</v>
      </c>
      <c r="BD63" s="8">
        <f>Modeloutput!D890</f>
        <v>40.008792999999997</v>
      </c>
      <c r="BE63" s="8">
        <f>Modeloutput!E890</f>
        <v>0</v>
      </c>
      <c r="BF63" s="8">
        <f>Modeloutput!F890</f>
        <v>0</v>
      </c>
      <c r="BG63" s="8">
        <f>Modeloutput!G890</f>
        <v>0</v>
      </c>
      <c r="BH63" s="8">
        <f>Modeloutput!H890</f>
        <v>0</v>
      </c>
      <c r="BI63" s="8">
        <f>Modeloutput!I890</f>
        <v>0</v>
      </c>
      <c r="BJ63" s="8">
        <f>Modeloutput!J890</f>
        <v>0</v>
      </c>
      <c r="BK63" s="8">
        <f>Modeloutput!K890</f>
        <v>5.0337529400000003</v>
      </c>
      <c r="BL63" s="8">
        <f>Modeloutput!L890</f>
        <v>0</v>
      </c>
      <c r="BM63" s="8">
        <f>Modeloutput!M890</f>
        <v>0</v>
      </c>
      <c r="BN63" s="8">
        <f>Modeloutput!N890</f>
        <v>0</v>
      </c>
      <c r="BO63" s="8">
        <f>Modeloutput!O890</f>
        <v>0</v>
      </c>
      <c r="BP63" s="8">
        <f>Modeloutput!P890</f>
        <v>34.975040100000001</v>
      </c>
      <c r="BR63" s="7" t="s">
        <v>3</v>
      </c>
      <c r="BS63" s="13">
        <f t="shared" si="25"/>
        <v>45.899979200769998</v>
      </c>
      <c r="BT63" s="8">
        <f>Modeloutput!C1145</f>
        <v>0</v>
      </c>
      <c r="BU63" s="8">
        <f>Modeloutput!D1145</f>
        <v>45.899979199999997</v>
      </c>
      <c r="BV63" s="8">
        <f>Modeloutput!E1145</f>
        <v>0.15066518100000001</v>
      </c>
      <c r="BW63" s="8">
        <f>Modeloutput!F1145</f>
        <v>4.9615877700000003E-3</v>
      </c>
      <c r="BX63" s="8">
        <f>Modeloutput!G1145</f>
        <v>2.3620582000000001E-2</v>
      </c>
      <c r="BY63" s="8">
        <f>Modeloutput!H1145</f>
        <v>0</v>
      </c>
      <c r="BZ63" s="8">
        <f>Modeloutput!I1145</f>
        <v>0</v>
      </c>
      <c r="CA63" s="8">
        <f>Modeloutput!J1145</f>
        <v>0</v>
      </c>
      <c r="CB63" s="8">
        <f>Modeloutput!K1145</f>
        <v>7.34734541</v>
      </c>
      <c r="CC63" s="8">
        <f>Modeloutput!L1145</f>
        <v>3.4036046400000002</v>
      </c>
      <c r="CD63" s="8">
        <f>Modeloutput!M1145</f>
        <v>0</v>
      </c>
      <c r="CE63" s="8">
        <f>Modeloutput!N1145</f>
        <v>0</v>
      </c>
      <c r="CF63" s="8">
        <f>Modeloutput!O1145</f>
        <v>0</v>
      </c>
      <c r="CG63" s="8">
        <f>Modeloutput!P1145</f>
        <v>34.9697818</v>
      </c>
    </row>
    <row r="64" spans="1:85" s="7" customFormat="1" x14ac:dyDescent="0.25">
      <c r="A64" s="7">
        <f t="shared" si="20"/>
        <v>0</v>
      </c>
      <c r="B64" s="7" t="s">
        <v>4</v>
      </c>
      <c r="C64" s="13">
        <f t="shared" si="21"/>
        <v>132.08867645999999</v>
      </c>
      <c r="D64" s="8">
        <f>Modeloutput!C126</f>
        <v>0</v>
      </c>
      <c r="E64" s="8">
        <f>Modeloutput!D126</f>
        <v>132.08867599999999</v>
      </c>
      <c r="F64" s="8">
        <f>Modeloutput!E126</f>
        <v>68.176825300000004</v>
      </c>
      <c r="G64" s="8">
        <f>Modeloutput!F126</f>
        <v>11.062958999999999</v>
      </c>
      <c r="H64" s="8">
        <f>Modeloutput!G126</f>
        <v>54.108702399999999</v>
      </c>
      <c r="I64" s="8">
        <f>Modeloutput!H126</f>
        <v>2.4460274399999999</v>
      </c>
      <c r="J64" s="8">
        <f>Modeloutput!I126</f>
        <v>0</v>
      </c>
      <c r="K64" s="8">
        <f>Modeloutput!J126</f>
        <v>0</v>
      </c>
      <c r="L64" s="8">
        <f>Modeloutput!K126</f>
        <v>0</v>
      </c>
      <c r="M64" s="8">
        <f>Modeloutput!L126</f>
        <v>0</v>
      </c>
      <c r="N64" s="8">
        <f>Modeloutput!M126</f>
        <v>2.4153535499999998</v>
      </c>
      <c r="O64" s="8">
        <f>Modeloutput!N126</f>
        <v>0</v>
      </c>
      <c r="P64" s="8">
        <f>Modeloutput!O126</f>
        <v>0</v>
      </c>
      <c r="Q64" s="8">
        <f>Modeloutput!P126</f>
        <v>-6.12119123</v>
      </c>
      <c r="S64" s="7" t="s">
        <v>4</v>
      </c>
      <c r="T64" s="13">
        <f t="shared" si="22"/>
        <v>132.07774419999998</v>
      </c>
      <c r="U64" s="8">
        <f>Modeloutput!C381</f>
        <v>0</v>
      </c>
      <c r="V64" s="8">
        <f>Modeloutput!D381</f>
        <v>132.077744</v>
      </c>
      <c r="W64" s="8">
        <f>Modeloutput!E381</f>
        <v>68.176825300000004</v>
      </c>
      <c r="X64" s="8">
        <f>Modeloutput!F381</f>
        <v>11.062958999999999</v>
      </c>
      <c r="Y64" s="8">
        <f>Modeloutput!G381</f>
        <v>54.1122272</v>
      </c>
      <c r="Z64" s="8">
        <f>Modeloutput!H381</f>
        <v>2.4460274399999999</v>
      </c>
      <c r="AA64" s="8">
        <f>Modeloutput!I381</f>
        <v>0</v>
      </c>
      <c r="AB64" s="8">
        <f>Modeloutput!J381</f>
        <v>0</v>
      </c>
      <c r="AC64" s="8">
        <f>Modeloutput!K381</f>
        <v>0</v>
      </c>
      <c r="AD64" s="8">
        <f>Modeloutput!L381</f>
        <v>0</v>
      </c>
      <c r="AE64" s="8">
        <f>Modeloutput!M381</f>
        <v>2.4005575000000001</v>
      </c>
      <c r="AF64" s="8">
        <f>Modeloutput!N381</f>
        <v>0</v>
      </c>
      <c r="AG64" s="8">
        <f>Modeloutput!O381</f>
        <v>0</v>
      </c>
      <c r="AH64" s="8">
        <f>Modeloutput!P381</f>
        <v>-6.1208522399999996</v>
      </c>
      <c r="AJ64" s="7" t="s">
        <v>4</v>
      </c>
      <c r="AK64" s="13">
        <f t="shared" si="23"/>
        <v>145.08806140999997</v>
      </c>
      <c r="AL64" s="8">
        <f>Modeloutput!C636</f>
        <v>0</v>
      </c>
      <c r="AM64" s="8">
        <f>Modeloutput!D636</f>
        <v>145.08806100000001</v>
      </c>
      <c r="AN64" s="8">
        <f>Modeloutput!E636</f>
        <v>68.176825300000004</v>
      </c>
      <c r="AO64" s="8">
        <f>Modeloutput!F636</f>
        <v>11.062958999999999</v>
      </c>
      <c r="AP64" s="8">
        <f>Modeloutput!G636</f>
        <v>53.000489399999999</v>
      </c>
      <c r="AQ64" s="8">
        <f>Modeloutput!H636</f>
        <v>2.4460274399999999</v>
      </c>
      <c r="AR64" s="8">
        <f>Modeloutput!I636</f>
        <v>0</v>
      </c>
      <c r="AS64" s="8">
        <f>Modeloutput!J636</f>
        <v>0</v>
      </c>
      <c r="AT64" s="8">
        <f>Modeloutput!K636</f>
        <v>0</v>
      </c>
      <c r="AU64" s="8">
        <f>Modeloutput!L636</f>
        <v>0</v>
      </c>
      <c r="AV64" s="8">
        <f>Modeloutput!M636</f>
        <v>16.046589399999998</v>
      </c>
      <c r="AW64" s="8">
        <f>Modeloutput!N636</f>
        <v>0</v>
      </c>
      <c r="AX64" s="8">
        <f>Modeloutput!O636</f>
        <v>0</v>
      </c>
      <c r="AY64" s="8">
        <f>Modeloutput!P636</f>
        <v>-5.6448291299999998</v>
      </c>
      <c r="BA64" s="7" t="s">
        <v>4</v>
      </c>
      <c r="BB64" s="13">
        <f t="shared" si="24"/>
        <v>139.24223456999999</v>
      </c>
      <c r="BC64" s="8">
        <f>Modeloutput!C891</f>
        <v>0</v>
      </c>
      <c r="BD64" s="8">
        <f>Modeloutput!D891</f>
        <v>139.24223499999999</v>
      </c>
      <c r="BE64" s="8">
        <f>Modeloutput!E891</f>
        <v>75.031826899999999</v>
      </c>
      <c r="BF64" s="8">
        <f>Modeloutput!F891</f>
        <v>12.065093900000001</v>
      </c>
      <c r="BG64" s="8">
        <f>Modeloutput!G891</f>
        <v>55.825780399999999</v>
      </c>
      <c r="BH64" s="8">
        <f>Modeloutput!H891</f>
        <v>2.7832298899999999</v>
      </c>
      <c r="BI64" s="8">
        <f>Modeloutput!I891</f>
        <v>0</v>
      </c>
      <c r="BJ64" s="8">
        <f>Modeloutput!J891</f>
        <v>0</v>
      </c>
      <c r="BK64" s="8">
        <f>Modeloutput!K891</f>
        <v>0</v>
      </c>
      <c r="BL64" s="8">
        <f>Modeloutput!L891</f>
        <v>0</v>
      </c>
      <c r="BM64" s="8">
        <f>Modeloutput!M891</f>
        <v>0</v>
      </c>
      <c r="BN64" s="8">
        <f>Modeloutput!N891</f>
        <v>0</v>
      </c>
      <c r="BO64" s="8">
        <f>Modeloutput!O891</f>
        <v>0</v>
      </c>
      <c r="BP64" s="8">
        <f>Modeloutput!P891</f>
        <v>-6.4636965200000001</v>
      </c>
      <c r="BR64" s="7" t="s">
        <v>4</v>
      </c>
      <c r="BS64" s="13">
        <f t="shared" si="25"/>
        <v>129.99995214129999</v>
      </c>
      <c r="BT64" s="8">
        <f>Modeloutput!C1146</f>
        <v>0</v>
      </c>
      <c r="BU64" s="8">
        <f>Modeloutput!D1146</f>
        <v>129.99995200000001</v>
      </c>
      <c r="BV64" s="8">
        <f>Modeloutput!E1146</f>
        <v>68.176825300000004</v>
      </c>
      <c r="BW64" s="8">
        <f>Modeloutput!F1146</f>
        <v>11.062958999999999</v>
      </c>
      <c r="BX64" s="8">
        <f>Modeloutput!G1146</f>
        <v>54.278904900000001</v>
      </c>
      <c r="BY64" s="8">
        <f>Modeloutput!H1146</f>
        <v>2.6884791899999998</v>
      </c>
      <c r="BZ64" s="8">
        <f>Modeloutput!I1146</f>
        <v>0</v>
      </c>
      <c r="CA64" s="8">
        <f>Modeloutput!J1146</f>
        <v>0</v>
      </c>
      <c r="CB64" s="8">
        <f>Modeloutput!K1146</f>
        <v>0</v>
      </c>
      <c r="CC64" s="8">
        <f>Modeloutput!L1146</f>
        <v>0</v>
      </c>
      <c r="CD64" s="8">
        <f>Modeloutput!M1146</f>
        <v>2.28459713E-2</v>
      </c>
      <c r="CE64" s="8">
        <f>Modeloutput!N1146</f>
        <v>0</v>
      </c>
      <c r="CF64" s="8">
        <f>Modeloutput!O1146</f>
        <v>0</v>
      </c>
      <c r="CG64" s="8">
        <f>Modeloutput!P1146</f>
        <v>-6.2300622199999998</v>
      </c>
    </row>
    <row r="65" spans="1:85" s="7" customFormat="1" x14ac:dyDescent="0.25">
      <c r="A65" s="7">
        <f t="shared" si="20"/>
        <v>55.435264400000001</v>
      </c>
      <c r="B65" s="7" t="s">
        <v>5</v>
      </c>
      <c r="C65" s="8">
        <f t="shared" si="21"/>
        <v>55.986693642999995</v>
      </c>
      <c r="D65" s="8">
        <f>Modeloutput!C127</f>
        <v>55.435264400000001</v>
      </c>
      <c r="E65" s="8">
        <f>Modeloutput!D127</f>
        <v>0.55142924800000004</v>
      </c>
      <c r="F65" s="8">
        <f>Modeloutput!E127</f>
        <v>29.029406999999999</v>
      </c>
      <c r="G65" s="8">
        <f>Modeloutput!F127</f>
        <v>5.0262511200000004</v>
      </c>
      <c r="H65" s="8">
        <f>Modeloutput!G127</f>
        <v>21.525372699999998</v>
      </c>
      <c r="I65" s="8">
        <f>Modeloutput!H127</f>
        <v>0.40566282300000001</v>
      </c>
      <c r="J65" s="8">
        <f>Modeloutput!I127</f>
        <v>0</v>
      </c>
      <c r="K65" s="8">
        <f>Modeloutput!J127</f>
        <v>0</v>
      </c>
      <c r="L65" s="8">
        <f>Modeloutput!K127</f>
        <v>0</v>
      </c>
      <c r="M65" s="8">
        <f>Modeloutput!L127</f>
        <v>0</v>
      </c>
      <c r="N65" s="8">
        <f>Modeloutput!M127</f>
        <v>0</v>
      </c>
      <c r="O65" s="8">
        <f>Modeloutput!N127</f>
        <v>0</v>
      </c>
      <c r="P65" s="8">
        <f>Modeloutput!O127</f>
        <v>0</v>
      </c>
      <c r="Q65" s="8">
        <f>Modeloutput!P127</f>
        <v>0</v>
      </c>
      <c r="S65" s="7" t="s">
        <v>5</v>
      </c>
      <c r="T65" s="8">
        <f t="shared" si="22"/>
        <v>46.765693082999995</v>
      </c>
      <c r="U65" s="8">
        <f>Modeloutput!C382</f>
        <v>51.507523599999999</v>
      </c>
      <c r="V65" s="8">
        <f>Modeloutput!D382</f>
        <v>-4.7418305099999998</v>
      </c>
      <c r="W65" s="8">
        <f>Modeloutput!E382</f>
        <v>26.631374999999998</v>
      </c>
      <c r="X65" s="8">
        <f>Modeloutput!F382</f>
        <v>5.0873697900000003</v>
      </c>
      <c r="Y65" s="8">
        <f>Modeloutput!G382</f>
        <v>14.6380015</v>
      </c>
      <c r="Z65" s="8">
        <f>Modeloutput!H382</f>
        <v>0.40894679299999998</v>
      </c>
      <c r="AA65" s="8">
        <f>Modeloutput!I382</f>
        <v>0</v>
      </c>
      <c r="AB65" s="8">
        <f>Modeloutput!J382</f>
        <v>0</v>
      </c>
      <c r="AC65" s="8">
        <f>Modeloutput!K382</f>
        <v>0</v>
      </c>
      <c r="AD65" s="8">
        <f>Modeloutput!L382</f>
        <v>0</v>
      </c>
      <c r="AE65" s="8">
        <f>Modeloutput!M382</f>
        <v>0</v>
      </c>
      <c r="AF65" s="8">
        <f>Modeloutput!N382</f>
        <v>0</v>
      </c>
      <c r="AG65" s="8">
        <f>Modeloutput!O382</f>
        <v>0</v>
      </c>
      <c r="AH65" s="8">
        <f>Modeloutput!P382</f>
        <v>0</v>
      </c>
      <c r="AJ65" s="7" t="s">
        <v>5</v>
      </c>
      <c r="AK65" s="8">
        <f t="shared" si="23"/>
        <v>39.070967867999997</v>
      </c>
      <c r="AL65" s="8">
        <f>Modeloutput!C637</f>
        <v>47.187126399999997</v>
      </c>
      <c r="AM65" s="8">
        <f>Modeloutput!D637</f>
        <v>-8.1161585800000005</v>
      </c>
      <c r="AN65" s="8">
        <f>Modeloutput!E637</f>
        <v>20.805738300000002</v>
      </c>
      <c r="AO65" s="8">
        <f>Modeloutput!F637</f>
        <v>5.2777233700000004</v>
      </c>
      <c r="AP65" s="8">
        <f>Modeloutput!G637</f>
        <v>12.5763485</v>
      </c>
      <c r="AQ65" s="8">
        <f>Modeloutput!H637</f>
        <v>0.41115769800000002</v>
      </c>
      <c r="AR65" s="8">
        <f>Modeloutput!I637</f>
        <v>0</v>
      </c>
      <c r="AS65" s="8">
        <f>Modeloutput!J637</f>
        <v>0</v>
      </c>
      <c r="AT65" s="8">
        <f>Modeloutput!K637</f>
        <v>0</v>
      </c>
      <c r="AU65" s="8">
        <f>Modeloutput!L637</f>
        <v>0</v>
      </c>
      <c r="AV65" s="8">
        <f>Modeloutput!M637</f>
        <v>0</v>
      </c>
      <c r="AW65" s="8">
        <f>Modeloutput!N637</f>
        <v>0</v>
      </c>
      <c r="AX65" s="8">
        <f>Modeloutput!O637</f>
        <v>0</v>
      </c>
      <c r="AY65" s="8">
        <f>Modeloutput!P637</f>
        <v>0</v>
      </c>
      <c r="BA65" s="7" t="s">
        <v>5</v>
      </c>
      <c r="BB65" s="8">
        <f t="shared" si="24"/>
        <v>56.078287396</v>
      </c>
      <c r="BC65" s="8">
        <f>Modeloutput!C892</f>
        <v>56.8145472</v>
      </c>
      <c r="BD65" s="8">
        <f>Modeloutput!D892</f>
        <v>-0.73625980700000004</v>
      </c>
      <c r="BE65" s="8">
        <f>Modeloutput!E892</f>
        <v>29.152800299999999</v>
      </c>
      <c r="BF65" s="8">
        <f>Modeloutput!F892</f>
        <v>5.0445182300000004</v>
      </c>
      <c r="BG65" s="8">
        <f>Modeloutput!G892</f>
        <v>21.4761925</v>
      </c>
      <c r="BH65" s="8">
        <f>Modeloutput!H892</f>
        <v>0.404776366</v>
      </c>
      <c r="BI65" s="8">
        <f>Modeloutput!I892</f>
        <v>0</v>
      </c>
      <c r="BJ65" s="8">
        <f>Modeloutput!J892</f>
        <v>0</v>
      </c>
      <c r="BK65" s="8">
        <f>Modeloutput!K892</f>
        <v>0</v>
      </c>
      <c r="BL65" s="8">
        <f>Modeloutput!L892</f>
        <v>0</v>
      </c>
      <c r="BM65" s="8">
        <f>Modeloutput!M892</f>
        <v>0</v>
      </c>
      <c r="BN65" s="8">
        <f>Modeloutput!N892</f>
        <v>0</v>
      </c>
      <c r="BO65" s="8">
        <f>Modeloutput!O892</f>
        <v>0</v>
      </c>
      <c r="BP65" s="8">
        <f>Modeloutput!P892</f>
        <v>0</v>
      </c>
      <c r="BR65" s="7" t="s">
        <v>5</v>
      </c>
      <c r="BS65" s="8">
        <f t="shared" si="25"/>
        <v>241.64986518000001</v>
      </c>
      <c r="BT65" s="8">
        <f>Modeloutput!C1147</f>
        <v>132.90921</v>
      </c>
      <c r="BU65" s="8">
        <f>Modeloutput!D1147</f>
        <v>108.740655</v>
      </c>
      <c r="BV65" s="8">
        <f>Modeloutput!E1147</f>
        <v>156.23839100000001</v>
      </c>
      <c r="BW65" s="8">
        <f>Modeloutput!F1147</f>
        <v>20.8183373</v>
      </c>
      <c r="BX65" s="8">
        <f>Modeloutput!G1147</f>
        <v>63.188049800000002</v>
      </c>
      <c r="BY65" s="8">
        <f>Modeloutput!H1147</f>
        <v>1.4050870799999999</v>
      </c>
      <c r="BZ65" s="8">
        <f>Modeloutput!I1147</f>
        <v>0</v>
      </c>
      <c r="CA65" s="8">
        <f>Modeloutput!J1147</f>
        <v>0</v>
      </c>
      <c r="CB65" s="8">
        <f>Modeloutput!K1147</f>
        <v>0</v>
      </c>
      <c r="CC65" s="8">
        <f>Modeloutput!L1147</f>
        <v>0</v>
      </c>
      <c r="CD65" s="8">
        <f>Modeloutput!M1147</f>
        <v>0</v>
      </c>
      <c r="CE65" s="8">
        <f>Modeloutput!N1147</f>
        <v>0</v>
      </c>
      <c r="CF65" s="8">
        <f>Modeloutput!O1147</f>
        <v>0</v>
      </c>
      <c r="CG65" s="8">
        <f>Modeloutput!P1147</f>
        <v>0</v>
      </c>
    </row>
    <row r="66" spans="1:85" s="7" customFormat="1" x14ac:dyDescent="0.25">
      <c r="A66" s="7">
        <f t="shared" si="20"/>
        <v>0</v>
      </c>
      <c r="B66" s="7" t="s">
        <v>6</v>
      </c>
      <c r="C66" s="8">
        <f t="shared" si="21"/>
        <v>0</v>
      </c>
      <c r="D66" s="8">
        <f>Modeloutput!C128</f>
        <v>0</v>
      </c>
      <c r="E66" s="8">
        <f>Modeloutput!D128</f>
        <v>0</v>
      </c>
      <c r="F66" s="8">
        <f>Modeloutput!E128</f>
        <v>0</v>
      </c>
      <c r="G66" s="8">
        <f>Modeloutput!F128</f>
        <v>0</v>
      </c>
      <c r="H66" s="8">
        <f>Modeloutput!G128</f>
        <v>0</v>
      </c>
      <c r="I66" s="8">
        <f>Modeloutput!H128</f>
        <v>0</v>
      </c>
      <c r="J66" s="8">
        <f>Modeloutput!I128</f>
        <v>0</v>
      </c>
      <c r="K66" s="8">
        <f>Modeloutput!J128</f>
        <v>0</v>
      </c>
      <c r="L66" s="8">
        <f>Modeloutput!K128</f>
        <v>0</v>
      </c>
      <c r="M66" s="8">
        <f>Modeloutput!L128</f>
        <v>0</v>
      </c>
      <c r="N66" s="8">
        <f>Modeloutput!M128</f>
        <v>0</v>
      </c>
      <c r="O66" s="8">
        <f>Modeloutput!N128</f>
        <v>0</v>
      </c>
      <c r="P66" s="8">
        <f>Modeloutput!O128</f>
        <v>0</v>
      </c>
      <c r="Q66" s="8">
        <f>Modeloutput!P128</f>
        <v>0</v>
      </c>
      <c r="S66" s="7" t="s">
        <v>6</v>
      </c>
      <c r="T66" s="8">
        <f t="shared" si="22"/>
        <v>0</v>
      </c>
      <c r="U66" s="8">
        <f>Modeloutput!C383</f>
        <v>0</v>
      </c>
      <c r="V66" s="8">
        <f>Modeloutput!D383</f>
        <v>0</v>
      </c>
      <c r="W66" s="8">
        <f>Modeloutput!E383</f>
        <v>0</v>
      </c>
      <c r="X66" s="8">
        <f>Modeloutput!F383</f>
        <v>0</v>
      </c>
      <c r="Y66" s="8">
        <f>Modeloutput!G383</f>
        <v>0</v>
      </c>
      <c r="Z66" s="8">
        <f>Modeloutput!H383</f>
        <v>0</v>
      </c>
      <c r="AA66" s="8">
        <f>Modeloutput!I383</f>
        <v>0</v>
      </c>
      <c r="AB66" s="8">
        <f>Modeloutput!J383</f>
        <v>0</v>
      </c>
      <c r="AC66" s="8">
        <f>Modeloutput!K383</f>
        <v>0</v>
      </c>
      <c r="AD66" s="8">
        <f>Modeloutput!L383</f>
        <v>0</v>
      </c>
      <c r="AE66" s="8">
        <f>Modeloutput!M383</f>
        <v>0</v>
      </c>
      <c r="AF66" s="8">
        <f>Modeloutput!N383</f>
        <v>0</v>
      </c>
      <c r="AG66" s="8">
        <f>Modeloutput!O383</f>
        <v>0</v>
      </c>
      <c r="AH66" s="8">
        <f>Modeloutput!P383</f>
        <v>0</v>
      </c>
      <c r="AJ66" s="7" t="s">
        <v>6</v>
      </c>
      <c r="AK66" s="8">
        <f t="shared" si="23"/>
        <v>0</v>
      </c>
      <c r="AL66" s="8">
        <f>Modeloutput!C638</f>
        <v>0</v>
      </c>
      <c r="AM66" s="8">
        <f>Modeloutput!D638</f>
        <v>0</v>
      </c>
      <c r="AN66" s="8">
        <f>Modeloutput!E638</f>
        <v>0</v>
      </c>
      <c r="AO66" s="8">
        <f>Modeloutput!F638</f>
        <v>0</v>
      </c>
      <c r="AP66" s="8">
        <f>Modeloutput!G638</f>
        <v>0</v>
      </c>
      <c r="AQ66" s="8">
        <f>Modeloutput!H638</f>
        <v>0</v>
      </c>
      <c r="AR66" s="8">
        <f>Modeloutput!I638</f>
        <v>0</v>
      </c>
      <c r="AS66" s="8">
        <f>Modeloutput!J638</f>
        <v>0</v>
      </c>
      <c r="AT66" s="8">
        <f>Modeloutput!K638</f>
        <v>0</v>
      </c>
      <c r="AU66" s="8">
        <f>Modeloutput!L638</f>
        <v>0</v>
      </c>
      <c r="AV66" s="8">
        <f>Modeloutput!M638</f>
        <v>0</v>
      </c>
      <c r="AW66" s="8">
        <f>Modeloutput!N638</f>
        <v>0</v>
      </c>
      <c r="AX66" s="8">
        <f>Modeloutput!O638</f>
        <v>0</v>
      </c>
      <c r="AY66" s="8">
        <f>Modeloutput!P638</f>
        <v>0</v>
      </c>
      <c r="BA66" s="7" t="s">
        <v>6</v>
      </c>
      <c r="BB66" s="8">
        <f t="shared" si="24"/>
        <v>0</v>
      </c>
      <c r="BC66" s="8">
        <f>Modeloutput!C893</f>
        <v>0</v>
      </c>
      <c r="BD66" s="8">
        <f>Modeloutput!D893</f>
        <v>0</v>
      </c>
      <c r="BE66" s="8">
        <f>Modeloutput!E893</f>
        <v>0</v>
      </c>
      <c r="BF66" s="8">
        <f>Modeloutput!F893</f>
        <v>0</v>
      </c>
      <c r="BG66" s="8">
        <f>Modeloutput!G893</f>
        <v>0</v>
      </c>
      <c r="BH66" s="8">
        <f>Modeloutput!H893</f>
        <v>0</v>
      </c>
      <c r="BI66" s="8">
        <f>Modeloutput!I893</f>
        <v>0</v>
      </c>
      <c r="BJ66" s="8">
        <f>Modeloutput!J893</f>
        <v>0</v>
      </c>
      <c r="BK66" s="8">
        <f>Modeloutput!K893</f>
        <v>0</v>
      </c>
      <c r="BL66" s="8">
        <f>Modeloutput!L893</f>
        <v>0</v>
      </c>
      <c r="BM66" s="8">
        <f>Modeloutput!M893</f>
        <v>0</v>
      </c>
      <c r="BN66" s="8">
        <f>Modeloutput!N893</f>
        <v>0</v>
      </c>
      <c r="BO66" s="8">
        <f>Modeloutput!O893</f>
        <v>0</v>
      </c>
      <c r="BP66" s="8">
        <f>Modeloutput!P893</f>
        <v>0</v>
      </c>
      <c r="BR66" s="7" t="s">
        <v>6</v>
      </c>
      <c r="BS66" s="8">
        <f t="shared" si="25"/>
        <v>112.614171443</v>
      </c>
      <c r="BT66" s="8">
        <f>Modeloutput!C1148</f>
        <v>82.976787900000005</v>
      </c>
      <c r="BU66" s="8">
        <f>Modeloutput!D1148</f>
        <v>29.637383499999999</v>
      </c>
      <c r="BV66" s="8">
        <f>Modeloutput!E1148</f>
        <v>84.279143399999995</v>
      </c>
      <c r="BW66" s="8">
        <f>Modeloutput!F1148</f>
        <v>7.2206736400000002</v>
      </c>
      <c r="BX66" s="8">
        <f>Modeloutput!G1148</f>
        <v>20.201053699999999</v>
      </c>
      <c r="BY66" s="8">
        <f>Modeloutput!H1148</f>
        <v>0.91330070299999999</v>
      </c>
      <c r="BZ66" s="8">
        <f>Modeloutput!I1148</f>
        <v>0</v>
      </c>
      <c r="CA66" s="8">
        <f>Modeloutput!J1148</f>
        <v>0</v>
      </c>
      <c r="CB66" s="8">
        <f>Modeloutput!K1148</f>
        <v>0</v>
      </c>
      <c r="CC66" s="8">
        <f>Modeloutput!L1148</f>
        <v>0</v>
      </c>
      <c r="CD66" s="8">
        <f>Modeloutput!M1148</f>
        <v>0</v>
      </c>
      <c r="CE66" s="8">
        <f>Modeloutput!N1148</f>
        <v>0</v>
      </c>
      <c r="CF66" s="8">
        <f>Modeloutput!O1148</f>
        <v>0</v>
      </c>
      <c r="CG66" s="8">
        <f>Modeloutput!P1148</f>
        <v>0</v>
      </c>
    </row>
    <row r="67" spans="1:85" s="7" customFormat="1" x14ac:dyDescent="0.25">
      <c r="A67" s="7">
        <f t="shared" si="20"/>
        <v>9.0006576299999992</v>
      </c>
      <c r="B67" s="7" t="s">
        <v>7</v>
      </c>
      <c r="C67" s="8">
        <f t="shared" si="21"/>
        <v>12.318834939</v>
      </c>
      <c r="D67" s="8">
        <f>Modeloutput!C129</f>
        <v>9.0006576299999992</v>
      </c>
      <c r="E67" s="8">
        <f>Modeloutput!D129</f>
        <v>3.3181772700000001</v>
      </c>
      <c r="F67" s="8">
        <f>Modeloutput!E129</f>
        <v>0</v>
      </c>
      <c r="G67" s="8">
        <f>Modeloutput!F129</f>
        <v>10.0467672</v>
      </c>
      <c r="H67" s="8">
        <f>Modeloutput!G129</f>
        <v>1.5096455499999999</v>
      </c>
      <c r="I67" s="8">
        <f>Modeloutput!H129</f>
        <v>0.76242218900000003</v>
      </c>
      <c r="J67" s="8">
        <f>Modeloutput!I129</f>
        <v>0</v>
      </c>
      <c r="K67" s="8">
        <f>Modeloutput!J129</f>
        <v>0</v>
      </c>
      <c r="L67" s="8">
        <f>Modeloutput!K129</f>
        <v>0</v>
      </c>
      <c r="M67" s="8">
        <f>Modeloutput!L129</f>
        <v>0</v>
      </c>
      <c r="N67" s="8">
        <f>Modeloutput!M129</f>
        <v>0</v>
      </c>
      <c r="O67" s="8">
        <f>Modeloutput!N129</f>
        <v>0</v>
      </c>
      <c r="P67" s="8">
        <f>Modeloutput!O129</f>
        <v>0</v>
      </c>
      <c r="Q67" s="8">
        <f>Modeloutput!P129</f>
        <v>0</v>
      </c>
      <c r="S67" s="7" t="s">
        <v>7</v>
      </c>
      <c r="T67" s="8">
        <f t="shared" si="22"/>
        <v>12.299070706</v>
      </c>
      <c r="U67" s="8">
        <f>Modeloutput!C384</f>
        <v>8.9144510100000005</v>
      </c>
      <c r="V67" s="8">
        <f>Modeloutput!D384</f>
        <v>3.3846196800000001</v>
      </c>
      <c r="W67" s="8">
        <f>Modeloutput!E384</f>
        <v>0</v>
      </c>
      <c r="X67" s="8">
        <f>Modeloutput!F384</f>
        <v>10.015430200000001</v>
      </c>
      <c r="Y67" s="8">
        <f>Modeloutput!G384</f>
        <v>1.51770169</v>
      </c>
      <c r="Z67" s="8">
        <f>Modeloutput!H384</f>
        <v>0.76593881600000002</v>
      </c>
      <c r="AA67" s="8">
        <f>Modeloutput!I384</f>
        <v>0</v>
      </c>
      <c r="AB67" s="8">
        <f>Modeloutput!J384</f>
        <v>0</v>
      </c>
      <c r="AC67" s="8">
        <f>Modeloutput!K384</f>
        <v>0</v>
      </c>
      <c r="AD67" s="8">
        <f>Modeloutput!L384</f>
        <v>0</v>
      </c>
      <c r="AE67" s="8">
        <f>Modeloutput!M384</f>
        <v>0</v>
      </c>
      <c r="AF67" s="8">
        <f>Modeloutput!N384</f>
        <v>0</v>
      </c>
      <c r="AG67" s="8">
        <f>Modeloutput!O384</f>
        <v>0</v>
      </c>
      <c r="AH67" s="8">
        <f>Modeloutput!P384</f>
        <v>0</v>
      </c>
      <c r="AJ67" s="7" t="s">
        <v>7</v>
      </c>
      <c r="AK67" s="8">
        <f t="shared" si="23"/>
        <v>86.498065756000003</v>
      </c>
      <c r="AL67" s="8">
        <f>Modeloutput!C639</f>
        <v>124.17985899999999</v>
      </c>
      <c r="AM67" s="8">
        <f>Modeloutput!D639</f>
        <v>-37.681793599999999</v>
      </c>
      <c r="AN67" s="8">
        <f>Modeloutput!E639</f>
        <v>60.067526800000003</v>
      </c>
      <c r="AO67" s="8">
        <f>Modeloutput!F639</f>
        <v>10.382693</v>
      </c>
      <c r="AP67" s="8">
        <f>Modeloutput!G639</f>
        <v>15.2795396</v>
      </c>
      <c r="AQ67" s="8">
        <f>Modeloutput!H639</f>
        <v>0.76830635599999997</v>
      </c>
      <c r="AR67" s="8">
        <f>Modeloutput!I639</f>
        <v>0</v>
      </c>
      <c r="AS67" s="8">
        <f>Modeloutput!J639</f>
        <v>0</v>
      </c>
      <c r="AT67" s="8">
        <f>Modeloutput!K639</f>
        <v>0</v>
      </c>
      <c r="AU67" s="8">
        <f>Modeloutput!L639</f>
        <v>0</v>
      </c>
      <c r="AV67" s="8">
        <f>Modeloutput!M639</f>
        <v>0</v>
      </c>
      <c r="AW67" s="8">
        <f>Modeloutput!N639</f>
        <v>0</v>
      </c>
      <c r="AX67" s="8">
        <f>Modeloutput!O639</f>
        <v>0</v>
      </c>
      <c r="AY67" s="8">
        <f>Modeloutput!P639</f>
        <v>0</v>
      </c>
      <c r="BA67" s="7" t="s">
        <v>7</v>
      </c>
      <c r="BB67" s="8">
        <f t="shared" si="24"/>
        <v>0</v>
      </c>
      <c r="BC67" s="8">
        <f>Modeloutput!C894</f>
        <v>0</v>
      </c>
      <c r="BD67" s="8">
        <f>Modeloutput!D894</f>
        <v>0</v>
      </c>
      <c r="BE67" s="8">
        <f>Modeloutput!E894</f>
        <v>0</v>
      </c>
      <c r="BF67" s="8">
        <f>Modeloutput!F894</f>
        <v>0</v>
      </c>
      <c r="BG67" s="8">
        <f>Modeloutput!G894</f>
        <v>0</v>
      </c>
      <c r="BH67" s="8">
        <f>Modeloutput!H894</f>
        <v>0</v>
      </c>
      <c r="BI67" s="8">
        <f>Modeloutput!I894</f>
        <v>0</v>
      </c>
      <c r="BJ67" s="8">
        <f>Modeloutput!J894</f>
        <v>0</v>
      </c>
      <c r="BK67" s="8">
        <f>Modeloutput!K894</f>
        <v>0</v>
      </c>
      <c r="BL67" s="8">
        <f>Modeloutput!L894</f>
        <v>0</v>
      </c>
      <c r="BM67" s="8">
        <f>Modeloutput!M894</f>
        <v>0</v>
      </c>
      <c r="BN67" s="8">
        <f>Modeloutput!N894</f>
        <v>0</v>
      </c>
      <c r="BO67" s="8">
        <f>Modeloutput!O894</f>
        <v>0</v>
      </c>
      <c r="BP67" s="8">
        <f>Modeloutput!P894</f>
        <v>0</v>
      </c>
      <c r="BR67" s="7" t="s">
        <v>7</v>
      </c>
      <c r="BS67" s="8">
        <f t="shared" si="25"/>
        <v>0.20306064110000002</v>
      </c>
      <c r="BT67" s="8">
        <f>Modeloutput!C1149</f>
        <v>0.133020365</v>
      </c>
      <c r="BU67" s="8">
        <f>Modeloutput!D1149</f>
        <v>7.0040276200000001E-2</v>
      </c>
      <c r="BV67" s="8">
        <f>Modeloutput!E1149</f>
        <v>0</v>
      </c>
      <c r="BW67" s="8">
        <f>Modeloutput!F1149</f>
        <v>0.112641081</v>
      </c>
      <c r="BX67" s="8">
        <f>Modeloutput!G1149</f>
        <v>4.1754973100000002E-2</v>
      </c>
      <c r="BY67" s="8">
        <f>Modeloutput!H1149</f>
        <v>4.8664587000000002E-2</v>
      </c>
      <c r="BZ67" s="8">
        <f>Modeloutput!I1149</f>
        <v>0</v>
      </c>
      <c r="CA67" s="8">
        <f>Modeloutput!J1149</f>
        <v>0</v>
      </c>
      <c r="CB67" s="8">
        <f>Modeloutput!K1149</f>
        <v>0</v>
      </c>
      <c r="CC67" s="8">
        <f>Modeloutput!L1149</f>
        <v>0</v>
      </c>
      <c r="CD67" s="8">
        <f>Modeloutput!M1149</f>
        <v>0</v>
      </c>
      <c r="CE67" s="8">
        <f>Modeloutput!N1149</f>
        <v>0</v>
      </c>
      <c r="CF67" s="8">
        <f>Modeloutput!O1149</f>
        <v>0</v>
      </c>
      <c r="CG67" s="8">
        <f>Modeloutput!P1149</f>
        <v>0</v>
      </c>
    </row>
    <row r="68" spans="1:85" s="7" customFormat="1" x14ac:dyDescent="0.25">
      <c r="A68" s="7">
        <f t="shared" si="20"/>
        <v>0</v>
      </c>
      <c r="B68" s="7" t="s">
        <v>8</v>
      </c>
      <c r="C68" s="8">
        <f t="shared" si="21"/>
        <v>0</v>
      </c>
      <c r="D68" s="8">
        <f>Modeloutput!C130</f>
        <v>0</v>
      </c>
      <c r="E68" s="8">
        <f>Modeloutput!D130</f>
        <v>0</v>
      </c>
      <c r="F68" s="8">
        <f>Modeloutput!E130</f>
        <v>0</v>
      </c>
      <c r="G68" s="8">
        <f>Modeloutput!F130</f>
        <v>0</v>
      </c>
      <c r="H68" s="8">
        <f>Modeloutput!G130</f>
        <v>0</v>
      </c>
      <c r="I68" s="8">
        <f>Modeloutput!H130</f>
        <v>0</v>
      </c>
      <c r="J68" s="8">
        <f>Modeloutput!I130</f>
        <v>0</v>
      </c>
      <c r="K68" s="8">
        <f>Modeloutput!J130</f>
        <v>0</v>
      </c>
      <c r="L68" s="8">
        <f>Modeloutput!K130</f>
        <v>0</v>
      </c>
      <c r="M68" s="8">
        <f>Modeloutput!L130</f>
        <v>0</v>
      </c>
      <c r="N68" s="8">
        <f>Modeloutput!M130</f>
        <v>0</v>
      </c>
      <c r="O68" s="8">
        <f>Modeloutput!N130</f>
        <v>0</v>
      </c>
      <c r="P68" s="8">
        <f>Modeloutput!O130</f>
        <v>0</v>
      </c>
      <c r="Q68" s="8">
        <f>Modeloutput!P130</f>
        <v>0</v>
      </c>
      <c r="S68" s="7" t="s">
        <v>8</v>
      </c>
      <c r="T68" s="8">
        <f t="shared" si="22"/>
        <v>0</v>
      </c>
      <c r="U68" s="8">
        <f>Modeloutput!C385</f>
        <v>0</v>
      </c>
      <c r="V68" s="8">
        <f>Modeloutput!D385</f>
        <v>0</v>
      </c>
      <c r="W68" s="8">
        <f>Modeloutput!E385</f>
        <v>0</v>
      </c>
      <c r="X68" s="8">
        <f>Modeloutput!F385</f>
        <v>0</v>
      </c>
      <c r="Y68" s="8">
        <f>Modeloutput!G385</f>
        <v>0</v>
      </c>
      <c r="Z68" s="8">
        <f>Modeloutput!H385</f>
        <v>0</v>
      </c>
      <c r="AA68" s="8">
        <f>Modeloutput!I385</f>
        <v>0</v>
      </c>
      <c r="AB68" s="8">
        <f>Modeloutput!J385</f>
        <v>0</v>
      </c>
      <c r="AC68" s="8">
        <f>Modeloutput!K385</f>
        <v>0</v>
      </c>
      <c r="AD68" s="8">
        <f>Modeloutput!L385</f>
        <v>0</v>
      </c>
      <c r="AE68" s="8">
        <f>Modeloutput!M385</f>
        <v>0</v>
      </c>
      <c r="AF68" s="8">
        <f>Modeloutput!N385</f>
        <v>0</v>
      </c>
      <c r="AG68" s="8">
        <f>Modeloutput!O385</f>
        <v>0</v>
      </c>
      <c r="AH68" s="8">
        <f>Modeloutput!P385</f>
        <v>0</v>
      </c>
      <c r="AJ68" s="7" t="s">
        <v>8</v>
      </c>
      <c r="AK68" s="8">
        <f t="shared" si="23"/>
        <v>0</v>
      </c>
      <c r="AL68" s="8">
        <f>Modeloutput!C640</f>
        <v>0</v>
      </c>
      <c r="AM68" s="8">
        <f>Modeloutput!D640</f>
        <v>0</v>
      </c>
      <c r="AN68" s="8">
        <f>Modeloutput!E640</f>
        <v>0</v>
      </c>
      <c r="AO68" s="8">
        <f>Modeloutput!F640</f>
        <v>0</v>
      </c>
      <c r="AP68" s="8">
        <f>Modeloutput!G640</f>
        <v>0</v>
      </c>
      <c r="AQ68" s="8">
        <f>Modeloutput!H640</f>
        <v>0</v>
      </c>
      <c r="AR68" s="8">
        <f>Modeloutput!I640</f>
        <v>0</v>
      </c>
      <c r="AS68" s="8">
        <f>Modeloutput!J640</f>
        <v>0</v>
      </c>
      <c r="AT68" s="8">
        <f>Modeloutput!K640</f>
        <v>0</v>
      </c>
      <c r="AU68" s="8">
        <f>Modeloutput!L640</f>
        <v>0</v>
      </c>
      <c r="AV68" s="8">
        <f>Modeloutput!M640</f>
        <v>0</v>
      </c>
      <c r="AW68" s="8">
        <f>Modeloutput!N640</f>
        <v>0</v>
      </c>
      <c r="AX68" s="8">
        <f>Modeloutput!O640</f>
        <v>0</v>
      </c>
      <c r="AY68" s="8">
        <f>Modeloutput!P640</f>
        <v>0</v>
      </c>
      <c r="BA68" s="7" t="s">
        <v>8</v>
      </c>
      <c r="BB68" s="8">
        <f t="shared" si="24"/>
        <v>0</v>
      </c>
      <c r="BC68" s="8">
        <f>Modeloutput!C895</f>
        <v>0</v>
      </c>
      <c r="BD68" s="8">
        <f>Modeloutput!D895</f>
        <v>0</v>
      </c>
      <c r="BE68" s="8">
        <f>Modeloutput!E895</f>
        <v>0</v>
      </c>
      <c r="BF68" s="8">
        <f>Modeloutput!F895</f>
        <v>0</v>
      </c>
      <c r="BG68" s="8">
        <f>Modeloutput!G895</f>
        <v>0</v>
      </c>
      <c r="BH68" s="8">
        <f>Modeloutput!H895</f>
        <v>0</v>
      </c>
      <c r="BI68" s="8">
        <f>Modeloutput!I895</f>
        <v>0</v>
      </c>
      <c r="BJ68" s="8">
        <f>Modeloutput!J895</f>
        <v>0</v>
      </c>
      <c r="BK68" s="8">
        <f>Modeloutput!K895</f>
        <v>0</v>
      </c>
      <c r="BL68" s="8">
        <f>Modeloutput!L895</f>
        <v>0</v>
      </c>
      <c r="BM68" s="8">
        <f>Modeloutput!M895</f>
        <v>0</v>
      </c>
      <c r="BN68" s="8">
        <f>Modeloutput!N895</f>
        <v>0</v>
      </c>
      <c r="BO68" s="8">
        <f>Modeloutput!O895</f>
        <v>0</v>
      </c>
      <c r="BP68" s="8">
        <f>Modeloutput!P895</f>
        <v>0</v>
      </c>
      <c r="BR68" s="7" t="s">
        <v>8</v>
      </c>
      <c r="BS68" s="8">
        <f t="shared" si="25"/>
        <v>0</v>
      </c>
      <c r="BT68" s="8">
        <f>Modeloutput!C1150</f>
        <v>0</v>
      </c>
      <c r="BU68" s="8">
        <f>Modeloutput!D1150</f>
        <v>0</v>
      </c>
      <c r="BV68" s="8">
        <f>Modeloutput!E1150</f>
        <v>0</v>
      </c>
      <c r="BW68" s="8">
        <f>Modeloutput!F1150</f>
        <v>0</v>
      </c>
      <c r="BX68" s="8">
        <f>Modeloutput!G1150</f>
        <v>0</v>
      </c>
      <c r="BY68" s="8">
        <f>Modeloutput!H1150</f>
        <v>0</v>
      </c>
      <c r="BZ68" s="8">
        <f>Modeloutput!I1150</f>
        <v>0</v>
      </c>
      <c r="CA68" s="8">
        <f>Modeloutput!J1150</f>
        <v>0</v>
      </c>
      <c r="CB68" s="8">
        <f>Modeloutput!K1150</f>
        <v>0</v>
      </c>
      <c r="CC68" s="8">
        <f>Modeloutput!L1150</f>
        <v>0</v>
      </c>
      <c r="CD68" s="8">
        <f>Modeloutput!M1150</f>
        <v>0</v>
      </c>
      <c r="CE68" s="8">
        <f>Modeloutput!N1150</f>
        <v>0</v>
      </c>
      <c r="CF68" s="8">
        <f>Modeloutput!O1150</f>
        <v>0</v>
      </c>
      <c r="CG68" s="8">
        <f>Modeloutput!P1150</f>
        <v>0</v>
      </c>
    </row>
    <row r="69" spans="1:85" s="7" customFormat="1" x14ac:dyDescent="0.25">
      <c r="A69" s="7">
        <f t="shared" si="20"/>
        <v>0</v>
      </c>
      <c r="B69" s="7" t="s">
        <v>9</v>
      </c>
      <c r="C69" s="8">
        <f t="shared" si="21"/>
        <v>0</v>
      </c>
      <c r="D69" s="8">
        <f>Modeloutput!C131</f>
        <v>0</v>
      </c>
      <c r="E69" s="8">
        <f>Modeloutput!D131</f>
        <v>0</v>
      </c>
      <c r="F69" s="8">
        <f>Modeloutput!E131</f>
        <v>0</v>
      </c>
      <c r="G69" s="8">
        <f>Modeloutput!F131</f>
        <v>0</v>
      </c>
      <c r="H69" s="8">
        <f>Modeloutput!G131</f>
        <v>0</v>
      </c>
      <c r="I69" s="8">
        <f>Modeloutput!H131</f>
        <v>0</v>
      </c>
      <c r="J69" s="8">
        <f>Modeloutput!I131</f>
        <v>0</v>
      </c>
      <c r="K69" s="8">
        <f>Modeloutput!J131</f>
        <v>0</v>
      </c>
      <c r="L69" s="8">
        <f>Modeloutput!K131</f>
        <v>0</v>
      </c>
      <c r="M69" s="8">
        <f>Modeloutput!L131</f>
        <v>0</v>
      </c>
      <c r="N69" s="8">
        <f>Modeloutput!M131</f>
        <v>0</v>
      </c>
      <c r="O69" s="8">
        <f>Modeloutput!N131</f>
        <v>0</v>
      </c>
      <c r="P69" s="8">
        <f>Modeloutput!O131</f>
        <v>0</v>
      </c>
      <c r="Q69" s="8">
        <f>Modeloutput!P131</f>
        <v>0</v>
      </c>
      <c r="S69" s="7" t="s">
        <v>9</v>
      </c>
      <c r="T69" s="8">
        <f t="shared" si="22"/>
        <v>0</v>
      </c>
      <c r="U69" s="8">
        <f>Modeloutput!C386</f>
        <v>0</v>
      </c>
      <c r="V69" s="8">
        <f>Modeloutput!D386</f>
        <v>0</v>
      </c>
      <c r="W69" s="8">
        <f>Modeloutput!E386</f>
        <v>0</v>
      </c>
      <c r="X69" s="8">
        <f>Modeloutput!F386</f>
        <v>0</v>
      </c>
      <c r="Y69" s="8">
        <f>Modeloutput!G386</f>
        <v>0</v>
      </c>
      <c r="Z69" s="8">
        <f>Modeloutput!H386</f>
        <v>0</v>
      </c>
      <c r="AA69" s="8">
        <f>Modeloutput!I386</f>
        <v>0</v>
      </c>
      <c r="AB69" s="8">
        <f>Modeloutput!J386</f>
        <v>0</v>
      </c>
      <c r="AC69" s="8">
        <f>Modeloutput!K386</f>
        <v>0</v>
      </c>
      <c r="AD69" s="8">
        <f>Modeloutput!L386</f>
        <v>0</v>
      </c>
      <c r="AE69" s="8">
        <f>Modeloutput!M386</f>
        <v>0</v>
      </c>
      <c r="AF69" s="8">
        <f>Modeloutput!N386</f>
        <v>0</v>
      </c>
      <c r="AG69" s="8">
        <f>Modeloutput!O386</f>
        <v>0</v>
      </c>
      <c r="AH69" s="8">
        <f>Modeloutput!P386</f>
        <v>0</v>
      </c>
      <c r="AJ69" s="7" t="s">
        <v>9</v>
      </c>
      <c r="AK69" s="8">
        <f t="shared" si="23"/>
        <v>0</v>
      </c>
      <c r="AL69" s="8">
        <f>Modeloutput!C641</f>
        <v>0</v>
      </c>
      <c r="AM69" s="8">
        <f>Modeloutput!D641</f>
        <v>0</v>
      </c>
      <c r="AN69" s="8">
        <f>Modeloutput!E641</f>
        <v>0</v>
      </c>
      <c r="AO69" s="8">
        <f>Modeloutput!F641</f>
        <v>0</v>
      </c>
      <c r="AP69" s="8">
        <f>Modeloutput!G641</f>
        <v>0</v>
      </c>
      <c r="AQ69" s="8">
        <f>Modeloutput!H641</f>
        <v>0</v>
      </c>
      <c r="AR69" s="8">
        <f>Modeloutput!I641</f>
        <v>0</v>
      </c>
      <c r="AS69" s="8">
        <f>Modeloutput!J641</f>
        <v>0</v>
      </c>
      <c r="AT69" s="8">
        <f>Modeloutput!K641</f>
        <v>0</v>
      </c>
      <c r="AU69" s="8">
        <f>Modeloutput!L641</f>
        <v>0</v>
      </c>
      <c r="AV69" s="8">
        <f>Modeloutput!M641</f>
        <v>0</v>
      </c>
      <c r="AW69" s="8">
        <f>Modeloutput!N641</f>
        <v>0</v>
      </c>
      <c r="AX69" s="8">
        <f>Modeloutput!O641</f>
        <v>0</v>
      </c>
      <c r="AY69" s="8">
        <f>Modeloutput!P641</f>
        <v>0</v>
      </c>
      <c r="BA69" s="7" t="s">
        <v>9</v>
      </c>
      <c r="BB69" s="8">
        <f t="shared" si="24"/>
        <v>0</v>
      </c>
      <c r="BC69" s="8">
        <f>Modeloutput!C896</f>
        <v>0</v>
      </c>
      <c r="BD69" s="8">
        <f>Modeloutput!D896</f>
        <v>0</v>
      </c>
      <c r="BE69" s="8">
        <f>Modeloutput!E896</f>
        <v>0</v>
      </c>
      <c r="BF69" s="8">
        <f>Modeloutput!F896</f>
        <v>0</v>
      </c>
      <c r="BG69" s="8">
        <f>Modeloutput!G896</f>
        <v>0</v>
      </c>
      <c r="BH69" s="8">
        <f>Modeloutput!H896</f>
        <v>0</v>
      </c>
      <c r="BI69" s="8">
        <f>Modeloutput!I896</f>
        <v>0</v>
      </c>
      <c r="BJ69" s="8">
        <f>Modeloutput!J896</f>
        <v>0</v>
      </c>
      <c r="BK69" s="8">
        <f>Modeloutput!K896</f>
        <v>0</v>
      </c>
      <c r="BL69" s="8">
        <f>Modeloutput!L896</f>
        <v>0</v>
      </c>
      <c r="BM69" s="8">
        <f>Modeloutput!M896</f>
        <v>0</v>
      </c>
      <c r="BN69" s="8">
        <f>Modeloutput!N896</f>
        <v>0</v>
      </c>
      <c r="BO69" s="8">
        <f>Modeloutput!O896</f>
        <v>0</v>
      </c>
      <c r="BP69" s="8">
        <f>Modeloutput!P896</f>
        <v>0</v>
      </c>
      <c r="BR69" s="7" t="s">
        <v>9</v>
      </c>
      <c r="BS69" s="8">
        <f t="shared" si="25"/>
        <v>0</v>
      </c>
      <c r="BT69" s="8">
        <f>Modeloutput!C1151</f>
        <v>0</v>
      </c>
      <c r="BU69" s="8">
        <f>Modeloutput!D1151</f>
        <v>0</v>
      </c>
      <c r="BV69" s="8">
        <f>Modeloutput!E1151</f>
        <v>0</v>
      </c>
      <c r="BW69" s="8">
        <f>Modeloutput!F1151</f>
        <v>0</v>
      </c>
      <c r="BX69" s="8">
        <f>Modeloutput!G1151</f>
        <v>0</v>
      </c>
      <c r="BY69" s="8">
        <f>Modeloutput!H1151</f>
        <v>0</v>
      </c>
      <c r="BZ69" s="8">
        <f>Modeloutput!I1151</f>
        <v>0</v>
      </c>
      <c r="CA69" s="8">
        <f>Modeloutput!J1151</f>
        <v>0</v>
      </c>
      <c r="CB69" s="8">
        <f>Modeloutput!K1151</f>
        <v>0</v>
      </c>
      <c r="CC69" s="8">
        <f>Modeloutput!L1151</f>
        <v>0</v>
      </c>
      <c r="CD69" s="8">
        <f>Modeloutput!M1151</f>
        <v>0</v>
      </c>
      <c r="CE69" s="8">
        <f>Modeloutput!N1151</f>
        <v>0</v>
      </c>
      <c r="CF69" s="8">
        <f>Modeloutput!O1151</f>
        <v>0</v>
      </c>
      <c r="CG69" s="8">
        <f>Modeloutput!P1151</f>
        <v>0</v>
      </c>
    </row>
    <row r="70" spans="1:85" s="7" customFormat="1" x14ac:dyDescent="0.25">
      <c r="A70" s="7">
        <f t="shared" si="20"/>
        <v>0</v>
      </c>
      <c r="B70" s="7" t="s">
        <v>10</v>
      </c>
      <c r="C70" s="13">
        <f t="shared" si="21"/>
        <v>22.520050313789998</v>
      </c>
      <c r="D70" s="8">
        <f>Modeloutput!C132</f>
        <v>0</v>
      </c>
      <c r="E70" s="8">
        <f>Modeloutput!D132</f>
        <v>22.520050300000001</v>
      </c>
      <c r="F70" s="8">
        <f>Modeloutput!E132</f>
        <v>0</v>
      </c>
      <c r="G70" s="8">
        <f>Modeloutput!F132</f>
        <v>-1.9417500000000001</v>
      </c>
      <c r="H70" s="8">
        <f>Modeloutput!G132</f>
        <v>3.60687779E-3</v>
      </c>
      <c r="I70" s="8">
        <f>Modeloutput!H132</f>
        <v>0</v>
      </c>
      <c r="J70" s="8">
        <f>Modeloutput!I132</f>
        <v>0</v>
      </c>
      <c r="K70" s="8">
        <f>Modeloutput!J132</f>
        <v>0</v>
      </c>
      <c r="L70" s="8">
        <f>Modeloutput!K132</f>
        <v>24.419343099999999</v>
      </c>
      <c r="M70" s="8">
        <f>Modeloutput!L132</f>
        <v>0</v>
      </c>
      <c r="N70" s="8">
        <f>Modeloutput!M132</f>
        <v>3.8850335999999999E-2</v>
      </c>
      <c r="O70" s="8">
        <f>Modeloutput!N132</f>
        <v>0</v>
      </c>
      <c r="P70" s="8">
        <f>Modeloutput!O132</f>
        <v>0</v>
      </c>
      <c r="Q70" s="8">
        <f>Modeloutput!P132</f>
        <v>0</v>
      </c>
      <c r="S70" s="7" t="s">
        <v>10</v>
      </c>
      <c r="T70" s="13">
        <f t="shared" si="22"/>
        <v>23.6949424791</v>
      </c>
      <c r="U70" s="8">
        <f>Modeloutput!C387</f>
        <v>0</v>
      </c>
      <c r="V70" s="8">
        <f>Modeloutput!D387</f>
        <v>23.694942399999999</v>
      </c>
      <c r="W70" s="8">
        <f>Modeloutput!E387</f>
        <v>0</v>
      </c>
      <c r="X70" s="8">
        <f>Modeloutput!F387</f>
        <v>-1.9257500000000001</v>
      </c>
      <c r="Y70" s="8">
        <f>Modeloutput!G387</f>
        <v>2.7555161500000001E-2</v>
      </c>
      <c r="Z70" s="8">
        <f>Modeloutput!H387</f>
        <v>0</v>
      </c>
      <c r="AA70" s="8">
        <f>Modeloutput!I387</f>
        <v>0</v>
      </c>
      <c r="AB70" s="8">
        <f>Modeloutput!J387</f>
        <v>0</v>
      </c>
      <c r="AC70" s="8">
        <f>Modeloutput!K387</f>
        <v>25.5544923</v>
      </c>
      <c r="AD70" s="8">
        <f>Modeloutput!L387</f>
        <v>0</v>
      </c>
      <c r="AE70" s="8">
        <f>Modeloutput!M387</f>
        <v>3.8645017599999998E-2</v>
      </c>
      <c r="AF70" s="8">
        <f>Modeloutput!N387</f>
        <v>0</v>
      </c>
      <c r="AG70" s="8">
        <f>Modeloutput!O387</f>
        <v>0</v>
      </c>
      <c r="AH70" s="8">
        <f>Modeloutput!P387</f>
        <v>0</v>
      </c>
      <c r="AJ70" s="7" t="s">
        <v>10</v>
      </c>
      <c r="AK70" s="13">
        <f t="shared" si="23"/>
        <v>4.5207574660000001</v>
      </c>
      <c r="AL70" s="8">
        <f>Modeloutput!C642</f>
        <v>0</v>
      </c>
      <c r="AM70" s="8">
        <f>Modeloutput!D642</f>
        <v>4.5207574299999997</v>
      </c>
      <c r="AN70" s="8">
        <f>Modeloutput!E642</f>
        <v>-19.768999999999998</v>
      </c>
      <c r="AO70" s="8">
        <f>Modeloutput!F642</f>
        <v>-1.9652499999999999</v>
      </c>
      <c r="AP70" s="8">
        <f>Modeloutput!G642</f>
        <v>0.29820161099999998</v>
      </c>
      <c r="AQ70" s="8">
        <f>Modeloutput!H642</f>
        <v>0</v>
      </c>
      <c r="AR70" s="8">
        <f>Modeloutput!I642</f>
        <v>0</v>
      </c>
      <c r="AS70" s="8">
        <f>Modeloutput!J642</f>
        <v>0</v>
      </c>
      <c r="AT70" s="8">
        <f>Modeloutput!K642</f>
        <v>25.5544923</v>
      </c>
      <c r="AU70" s="8">
        <f>Modeloutput!L642</f>
        <v>0</v>
      </c>
      <c r="AV70" s="8">
        <f>Modeloutput!M642</f>
        <v>0.40231355499999999</v>
      </c>
      <c r="AW70" s="8">
        <f>Modeloutput!N642</f>
        <v>0</v>
      </c>
      <c r="AX70" s="8">
        <f>Modeloutput!O642</f>
        <v>0</v>
      </c>
      <c r="AY70" s="8">
        <f>Modeloutput!P642</f>
        <v>0</v>
      </c>
      <c r="BA70" s="7" t="s">
        <v>10</v>
      </c>
      <c r="BB70" s="13">
        <f t="shared" si="24"/>
        <v>67.541498539999992</v>
      </c>
      <c r="BC70" s="8">
        <f>Modeloutput!C897</f>
        <v>0</v>
      </c>
      <c r="BD70" s="8">
        <f>Modeloutput!D897</f>
        <v>67.541498500000003</v>
      </c>
      <c r="BE70" s="8">
        <f>Modeloutput!E897</f>
        <v>34.271427799999998</v>
      </c>
      <c r="BF70" s="8">
        <f>Modeloutput!F897</f>
        <v>1.31168</v>
      </c>
      <c r="BG70" s="8">
        <f>Modeloutput!G897</f>
        <v>6.2723006799999999</v>
      </c>
      <c r="BH70" s="8">
        <f>Modeloutput!H897</f>
        <v>0.13159776000000001</v>
      </c>
      <c r="BI70" s="8">
        <f>Modeloutput!I897</f>
        <v>0</v>
      </c>
      <c r="BJ70" s="8">
        <f>Modeloutput!J897</f>
        <v>0</v>
      </c>
      <c r="BK70" s="8">
        <f>Modeloutput!K897</f>
        <v>25.5544923</v>
      </c>
      <c r="BL70" s="8">
        <f>Modeloutput!L897</f>
        <v>0</v>
      </c>
      <c r="BM70" s="8">
        <f>Modeloutput!M897</f>
        <v>0</v>
      </c>
      <c r="BN70" s="8">
        <f>Modeloutput!N897</f>
        <v>0</v>
      </c>
      <c r="BO70" s="8">
        <f>Modeloutput!O897</f>
        <v>0</v>
      </c>
      <c r="BP70" s="8">
        <f>Modeloutput!P897</f>
        <v>0</v>
      </c>
      <c r="BR70" s="7" t="s">
        <v>10</v>
      </c>
      <c r="BS70" s="13">
        <f t="shared" si="25"/>
        <v>74.694822036000005</v>
      </c>
      <c r="BT70" s="8">
        <f>Modeloutput!C1152</f>
        <v>0</v>
      </c>
      <c r="BU70" s="8">
        <f>Modeloutput!D1152</f>
        <v>74.694822000000002</v>
      </c>
      <c r="BV70" s="8">
        <f>Modeloutput!E1152</f>
        <v>0</v>
      </c>
      <c r="BW70" s="8">
        <f>Modeloutput!F1152</f>
        <v>-1.2999999999999999E-2</v>
      </c>
      <c r="BX70" s="8">
        <f>Modeloutput!G1152</f>
        <v>0</v>
      </c>
      <c r="BY70" s="8">
        <f>Modeloutput!H1152</f>
        <v>0</v>
      </c>
      <c r="BZ70" s="8">
        <f>Modeloutput!I1152</f>
        <v>0</v>
      </c>
      <c r="CA70" s="8">
        <f>Modeloutput!J1152</f>
        <v>0</v>
      </c>
      <c r="CB70" s="8">
        <f>Modeloutput!K1152</f>
        <v>50.894392000000003</v>
      </c>
      <c r="CC70" s="8">
        <f>Modeloutput!L1152</f>
        <v>23.8129405</v>
      </c>
      <c r="CD70" s="8">
        <f>Modeloutput!M1152</f>
        <v>4.8953600000000005E-4</v>
      </c>
      <c r="CE70" s="8">
        <f>Modeloutput!N1152</f>
        <v>0</v>
      </c>
      <c r="CF70" s="8">
        <f>Modeloutput!O1152</f>
        <v>0</v>
      </c>
      <c r="CG70" s="8">
        <f>Modeloutput!P1152</f>
        <v>0</v>
      </c>
    </row>
    <row r="71" spans="1:85" s="7" customFormat="1" x14ac:dyDescent="0.25">
      <c r="A71" s="7">
        <f t="shared" si="20"/>
        <v>0</v>
      </c>
      <c r="B71" s="7" t="s">
        <v>11</v>
      </c>
      <c r="C71" s="13">
        <f t="shared" si="21"/>
        <v>1.7403131120999999</v>
      </c>
      <c r="D71" s="8">
        <f>Modeloutput!C133</f>
        <v>0</v>
      </c>
      <c r="E71" s="8">
        <f>Modeloutput!D133</f>
        <v>1.74031311</v>
      </c>
      <c r="F71" s="8">
        <f>Modeloutput!E133</f>
        <v>0.79532591100000005</v>
      </c>
      <c r="G71" s="8">
        <f>Modeloutput!F133</f>
        <v>0.11881771000000001</v>
      </c>
      <c r="H71" s="8">
        <f>Modeloutput!G133</f>
        <v>0.74281170399999996</v>
      </c>
      <c r="I71" s="8">
        <f>Modeloutput!H133</f>
        <v>3.6945377100000003E-2</v>
      </c>
      <c r="J71" s="8">
        <f>Modeloutput!I133</f>
        <v>0</v>
      </c>
      <c r="K71" s="8">
        <f>Modeloutput!J133</f>
        <v>0</v>
      </c>
      <c r="L71" s="8">
        <f>Modeloutput!K133</f>
        <v>0</v>
      </c>
      <c r="M71" s="8">
        <f>Modeloutput!L133</f>
        <v>0</v>
      </c>
      <c r="N71" s="8">
        <f>Modeloutput!M133</f>
        <v>4.6412410000000001E-2</v>
      </c>
      <c r="O71" s="8">
        <f>Modeloutput!N133</f>
        <v>0</v>
      </c>
      <c r="P71" s="8">
        <f>Modeloutput!O133</f>
        <v>0</v>
      </c>
      <c r="Q71" s="8">
        <f>Modeloutput!P133</f>
        <v>0</v>
      </c>
      <c r="S71" s="7" t="s">
        <v>11</v>
      </c>
      <c r="T71" s="13">
        <f t="shared" si="22"/>
        <v>1.7401124524999998</v>
      </c>
      <c r="U71" s="8">
        <f>Modeloutput!C388</f>
        <v>0</v>
      </c>
      <c r="V71" s="8">
        <f>Modeloutput!D388</f>
        <v>1.74011245</v>
      </c>
      <c r="W71" s="8">
        <f>Modeloutput!E388</f>
        <v>0.79532591100000005</v>
      </c>
      <c r="X71" s="8">
        <f>Modeloutput!F388</f>
        <v>0.11881771000000001</v>
      </c>
      <c r="Y71" s="8">
        <f>Modeloutput!G388</f>
        <v>0.74289562799999997</v>
      </c>
      <c r="Z71" s="8">
        <f>Modeloutput!H388</f>
        <v>3.6945377100000003E-2</v>
      </c>
      <c r="AA71" s="8">
        <f>Modeloutput!I388</f>
        <v>0</v>
      </c>
      <c r="AB71" s="8">
        <f>Modeloutput!J388</f>
        <v>0</v>
      </c>
      <c r="AC71" s="8">
        <f>Modeloutput!K388</f>
        <v>0</v>
      </c>
      <c r="AD71" s="8">
        <f>Modeloutput!L388</f>
        <v>0</v>
      </c>
      <c r="AE71" s="8">
        <f>Modeloutput!M388</f>
        <v>4.6127826400000002E-2</v>
      </c>
      <c r="AF71" s="8">
        <f>Modeloutput!N388</f>
        <v>0</v>
      </c>
      <c r="AG71" s="8">
        <f>Modeloutput!O388</f>
        <v>0</v>
      </c>
      <c r="AH71" s="8">
        <f>Modeloutput!P388</f>
        <v>0</v>
      </c>
      <c r="AJ71" s="7" t="s">
        <v>11</v>
      </c>
      <c r="AK71" s="13">
        <f t="shared" si="23"/>
        <v>2.0373697400999999</v>
      </c>
      <c r="AL71" s="8">
        <f>Modeloutput!C643</f>
        <v>0</v>
      </c>
      <c r="AM71" s="8">
        <f>Modeloutput!D643</f>
        <v>2.0373697399999999</v>
      </c>
      <c r="AN71" s="8">
        <f>Modeloutput!E643</f>
        <v>0.79532591100000005</v>
      </c>
      <c r="AO71" s="8">
        <f>Modeloutput!F643</f>
        <v>0.11881771000000001</v>
      </c>
      <c r="AP71" s="8">
        <f>Modeloutput!G643</f>
        <v>0.72113998000000001</v>
      </c>
      <c r="AQ71" s="8">
        <f>Modeloutput!H643</f>
        <v>3.6945377100000003E-2</v>
      </c>
      <c r="AR71" s="8">
        <f>Modeloutput!I643</f>
        <v>0</v>
      </c>
      <c r="AS71" s="8">
        <f>Modeloutput!J643</f>
        <v>0</v>
      </c>
      <c r="AT71" s="8">
        <f>Modeloutput!K643</f>
        <v>0</v>
      </c>
      <c r="AU71" s="8">
        <f>Modeloutput!L643</f>
        <v>0</v>
      </c>
      <c r="AV71" s="8">
        <f>Modeloutput!M643</f>
        <v>0.36514076200000001</v>
      </c>
      <c r="AW71" s="8">
        <f>Modeloutput!N643</f>
        <v>0</v>
      </c>
      <c r="AX71" s="8">
        <f>Modeloutput!O643</f>
        <v>0</v>
      </c>
      <c r="AY71" s="8">
        <f>Modeloutput!P643</f>
        <v>0</v>
      </c>
      <c r="BA71" s="7" t="s">
        <v>11</v>
      </c>
      <c r="BB71" s="13">
        <f t="shared" si="24"/>
        <v>1.9180969937000001</v>
      </c>
      <c r="BC71" s="8">
        <f>Modeloutput!C898</f>
        <v>0</v>
      </c>
      <c r="BD71" s="8">
        <f>Modeloutput!D898</f>
        <v>1.91809699</v>
      </c>
      <c r="BE71" s="8">
        <f>Modeloutput!E898</f>
        <v>0.96050667300000003</v>
      </c>
      <c r="BF71" s="8">
        <f>Modeloutput!F898</f>
        <v>0.13814542499999999</v>
      </c>
      <c r="BG71" s="8">
        <f>Modeloutput!G898</f>
        <v>0.77601485599999998</v>
      </c>
      <c r="BH71" s="8">
        <f>Modeloutput!H898</f>
        <v>4.3430039699999999E-2</v>
      </c>
      <c r="BI71" s="8">
        <f>Modeloutput!I898</f>
        <v>0</v>
      </c>
      <c r="BJ71" s="8">
        <f>Modeloutput!J898</f>
        <v>0</v>
      </c>
      <c r="BK71" s="8">
        <f>Modeloutput!K898</f>
        <v>0</v>
      </c>
      <c r="BL71" s="8">
        <f>Modeloutput!L898</f>
        <v>0</v>
      </c>
      <c r="BM71" s="8">
        <f>Modeloutput!M898</f>
        <v>0</v>
      </c>
      <c r="BN71" s="8">
        <f>Modeloutput!N898</f>
        <v>0</v>
      </c>
      <c r="BO71" s="8">
        <f>Modeloutput!O898</f>
        <v>0</v>
      </c>
      <c r="BP71" s="8">
        <f>Modeloutput!P898</f>
        <v>0</v>
      </c>
      <c r="BR71" s="7" t="s">
        <v>11</v>
      </c>
      <c r="BS71" s="13">
        <f t="shared" si="25"/>
        <v>1.7022625852050002</v>
      </c>
      <c r="BT71" s="8">
        <f>Modeloutput!C1153</f>
        <v>0</v>
      </c>
      <c r="BU71" s="8">
        <f>Modeloutput!D1153</f>
        <v>1.7022625899999999</v>
      </c>
      <c r="BV71" s="8">
        <f>Modeloutput!E1153</f>
        <v>0.79532591100000005</v>
      </c>
      <c r="BW71" s="8">
        <f>Modeloutput!F1153</f>
        <v>0.11881771000000001</v>
      </c>
      <c r="BX71" s="8">
        <f>Modeloutput!G1153</f>
        <v>0.74609227499999997</v>
      </c>
      <c r="BY71" s="8">
        <f>Modeloutput!H1153</f>
        <v>4.1607910800000002E-2</v>
      </c>
      <c r="BZ71" s="8">
        <f>Modeloutput!I1153</f>
        <v>0</v>
      </c>
      <c r="CA71" s="8">
        <f>Modeloutput!J1153</f>
        <v>0</v>
      </c>
      <c r="CB71" s="8">
        <f>Modeloutput!K1153</f>
        <v>0</v>
      </c>
      <c r="CC71" s="8">
        <f>Modeloutput!L1153</f>
        <v>0</v>
      </c>
      <c r="CD71" s="8">
        <f>Modeloutput!M1153</f>
        <v>4.1877840499999998E-4</v>
      </c>
      <c r="CE71" s="8">
        <f>Modeloutput!N1153</f>
        <v>0</v>
      </c>
      <c r="CF71" s="8">
        <f>Modeloutput!O1153</f>
        <v>0</v>
      </c>
      <c r="CG71" s="8">
        <f>Modeloutput!P1153</f>
        <v>0</v>
      </c>
    </row>
    <row r="72" spans="1:85" s="7" customFormat="1" x14ac:dyDescent="0.25">
      <c r="B72" s="7" t="s">
        <v>12</v>
      </c>
      <c r="C72" s="14">
        <f t="shared" si="21"/>
        <v>78.072940957000014</v>
      </c>
      <c r="D72" s="8">
        <f>Modeloutput!C134</f>
        <v>-1.57694706</v>
      </c>
      <c r="E72" s="8">
        <f>Modeloutput!D134</f>
        <v>79.649888099999998</v>
      </c>
      <c r="F72" s="8">
        <f>Modeloutput!E134</f>
        <v>58.637180800000003</v>
      </c>
      <c r="G72" s="8">
        <f>Modeloutput!F134</f>
        <v>0.80825575299999997</v>
      </c>
      <c r="H72" s="8">
        <f>Modeloutput!G134</f>
        <v>13.7303642</v>
      </c>
      <c r="I72" s="8">
        <f>Modeloutput!H134</f>
        <v>0.234534037</v>
      </c>
      <c r="J72" s="8">
        <f>Modeloutput!I134</f>
        <v>0</v>
      </c>
      <c r="K72" s="8">
        <f>Modeloutput!J134</f>
        <v>0</v>
      </c>
      <c r="L72" s="8">
        <f>Modeloutput!K134</f>
        <v>4.3164103200000001</v>
      </c>
      <c r="M72" s="8">
        <f>Modeloutput!L134</f>
        <v>0</v>
      </c>
      <c r="N72" s="8">
        <f>Modeloutput!M134</f>
        <v>0.346195847</v>
      </c>
      <c r="O72" s="8">
        <f>Modeloutput!N134</f>
        <v>0</v>
      </c>
      <c r="P72" s="8">
        <f>Modeloutput!O134</f>
        <v>0</v>
      </c>
      <c r="Q72" s="8">
        <f>Modeloutput!P134</f>
        <v>0</v>
      </c>
      <c r="S72" s="7" t="s">
        <v>12</v>
      </c>
      <c r="T72" s="14">
        <f t="shared" si="22"/>
        <v>70.971345915000001</v>
      </c>
      <c r="U72" s="8">
        <f>Modeloutput!C389</f>
        <v>2.30671961</v>
      </c>
      <c r="V72" s="8">
        <f>Modeloutput!D389</f>
        <v>68.664626299999995</v>
      </c>
      <c r="W72" s="8">
        <f>Modeloutput!E389</f>
        <v>55.053475900000002</v>
      </c>
      <c r="X72" s="8">
        <f>Modeloutput!F389</f>
        <v>0.81887373100000005</v>
      </c>
      <c r="Y72" s="8">
        <f>Modeloutput!G389</f>
        <v>11.354708499999999</v>
      </c>
      <c r="Z72" s="8">
        <f>Modeloutput!H389</f>
        <v>0.234534037</v>
      </c>
      <c r="AA72" s="8">
        <f>Modeloutput!I389</f>
        <v>0</v>
      </c>
      <c r="AB72" s="8">
        <f>Modeloutput!J389</f>
        <v>0</v>
      </c>
      <c r="AC72" s="8">
        <f>Modeloutput!K389</f>
        <v>3.1652741600000001</v>
      </c>
      <c r="AD72" s="8">
        <f>Modeloutput!L389</f>
        <v>0</v>
      </c>
      <c r="AE72" s="8">
        <f>Modeloutput!M389</f>
        <v>0.34447958699999998</v>
      </c>
      <c r="AF72" s="8">
        <f>Modeloutput!N389</f>
        <v>0</v>
      </c>
      <c r="AG72" s="8">
        <f>Modeloutput!O389</f>
        <v>0</v>
      </c>
      <c r="AH72" s="8">
        <f>Modeloutput!P389</f>
        <v>0</v>
      </c>
      <c r="AJ72" s="7" t="s">
        <v>12</v>
      </c>
      <c r="AK72" s="14">
        <f t="shared" si="23"/>
        <v>65.169474416</v>
      </c>
      <c r="AL72" s="8">
        <f>Modeloutput!C644</f>
        <v>29.538378000000002</v>
      </c>
      <c r="AM72" s="8">
        <f>Modeloutput!D644</f>
        <v>35.631096399999997</v>
      </c>
      <c r="AN72" s="8">
        <f>Modeloutput!E644</f>
        <v>39.608156899999997</v>
      </c>
      <c r="AO72" s="8">
        <f>Modeloutput!F644</f>
        <v>0.79184430900000002</v>
      </c>
      <c r="AP72" s="8">
        <f>Modeloutput!G644</f>
        <v>8.6099013299999996</v>
      </c>
      <c r="AQ72" s="8">
        <f>Modeloutput!H644</f>
        <v>0.234534037</v>
      </c>
      <c r="AR72" s="8">
        <f>Modeloutput!I644</f>
        <v>0</v>
      </c>
      <c r="AS72" s="8">
        <f>Modeloutput!J644</f>
        <v>0</v>
      </c>
      <c r="AT72" s="8">
        <f>Modeloutput!K644</f>
        <v>2.1989291400000002</v>
      </c>
      <c r="AU72" s="8">
        <f>Modeloutput!L644</f>
        <v>0</v>
      </c>
      <c r="AV72" s="8">
        <f>Modeloutput!M644</f>
        <v>13.726108699999999</v>
      </c>
      <c r="AW72" s="8">
        <f>Modeloutput!N644</f>
        <v>0</v>
      </c>
      <c r="AX72" s="8">
        <f>Modeloutput!O644</f>
        <v>0</v>
      </c>
      <c r="AY72" s="8">
        <f>Modeloutput!P644</f>
        <v>0</v>
      </c>
      <c r="BA72" s="7" t="s">
        <v>12</v>
      </c>
      <c r="BB72" s="14">
        <f t="shared" si="24"/>
        <v>57.716282651999997</v>
      </c>
      <c r="BC72" s="8">
        <f>Modeloutput!C899</f>
        <v>28.5113436</v>
      </c>
      <c r="BD72" s="8">
        <f>Modeloutput!D899</f>
        <v>29.204939100000001</v>
      </c>
      <c r="BE72" s="8">
        <f>Modeloutput!E899</f>
        <v>44.183306899999998</v>
      </c>
      <c r="BF72" s="8">
        <f>Modeloutput!F899</f>
        <v>0.84768105400000004</v>
      </c>
      <c r="BG72" s="8">
        <f>Modeloutput!G899</f>
        <v>8.1073757900000007</v>
      </c>
      <c r="BH72" s="8">
        <f>Modeloutput!H899</f>
        <v>0.26058023800000002</v>
      </c>
      <c r="BI72" s="8">
        <f>Modeloutput!I899</f>
        <v>0</v>
      </c>
      <c r="BJ72" s="8">
        <f>Modeloutput!J899</f>
        <v>0</v>
      </c>
      <c r="BK72" s="8">
        <f>Modeloutput!K899</f>
        <v>4.3173386699999998</v>
      </c>
      <c r="BL72" s="8">
        <f>Modeloutput!L899</f>
        <v>0</v>
      </c>
      <c r="BM72" s="8">
        <f>Modeloutput!M899</f>
        <v>0</v>
      </c>
      <c r="BN72" s="8">
        <f>Modeloutput!N899</f>
        <v>0</v>
      </c>
      <c r="BO72" s="8">
        <f>Modeloutput!O899</f>
        <v>0</v>
      </c>
      <c r="BP72" s="8">
        <f>Modeloutput!P899</f>
        <v>0</v>
      </c>
      <c r="BR72" s="7" t="s">
        <v>12</v>
      </c>
      <c r="BS72" s="14">
        <f t="shared" si="25"/>
        <v>54.864386956409994</v>
      </c>
      <c r="BT72" s="8">
        <f>Modeloutput!C1154</f>
        <v>28.739719600000001</v>
      </c>
      <c r="BU72" s="8">
        <f>Modeloutput!D1154</f>
        <v>26.1246674</v>
      </c>
      <c r="BV72" s="8">
        <f>Modeloutput!E1154</f>
        <v>36.665717399999998</v>
      </c>
      <c r="BW72" s="8">
        <f>Modeloutput!F1154</f>
        <v>0.74678222500000002</v>
      </c>
      <c r="BX72" s="8">
        <f>Modeloutput!G1154</f>
        <v>7.9736802200000003</v>
      </c>
      <c r="BY72" s="8">
        <f>Modeloutput!H1154</f>
        <v>0.24964746500000001</v>
      </c>
      <c r="BZ72" s="8">
        <f>Modeloutput!I1154</f>
        <v>0</v>
      </c>
      <c r="CA72" s="8">
        <f>Modeloutput!J1154</f>
        <v>0</v>
      </c>
      <c r="CB72" s="8">
        <f>Modeloutput!K1154</f>
        <v>6.3016557999999998</v>
      </c>
      <c r="CC72" s="8">
        <f>Modeloutput!L1154</f>
        <v>2.91919649</v>
      </c>
      <c r="CD72" s="8">
        <f>Modeloutput!M1154</f>
        <v>7.7073564100000004E-3</v>
      </c>
      <c r="CE72" s="8">
        <f>Modeloutput!N1154</f>
        <v>0</v>
      </c>
      <c r="CF72" s="8">
        <f>Modeloutput!O1154</f>
        <v>0</v>
      </c>
      <c r="CG72" s="8">
        <f>Modeloutput!P1154</f>
        <v>0</v>
      </c>
    </row>
    <row r="73" spans="1:85" s="7" customFormat="1" x14ac:dyDescent="0.25">
      <c r="B73" s="7" t="s">
        <v>13</v>
      </c>
      <c r="C73" s="14">
        <f t="shared" si="21"/>
        <v>59.995290130000001</v>
      </c>
      <c r="D73" s="8">
        <f>Modeloutput!C135</f>
        <v>0</v>
      </c>
      <c r="E73" s="8">
        <f>Modeloutput!D135</f>
        <v>59.995290199999999</v>
      </c>
      <c r="F73" s="8">
        <f>Modeloutput!E135</f>
        <v>42.2715125</v>
      </c>
      <c r="G73" s="8">
        <f>Modeloutput!F135</f>
        <v>5.7173855299999996</v>
      </c>
      <c r="H73" s="8">
        <f>Modeloutput!G135</f>
        <v>0</v>
      </c>
      <c r="I73" s="8">
        <f>Modeloutput!H135</f>
        <v>0</v>
      </c>
      <c r="J73" s="8">
        <f>Modeloutput!I135</f>
        <v>0</v>
      </c>
      <c r="K73" s="8">
        <f>Modeloutput!J135</f>
        <v>0</v>
      </c>
      <c r="L73" s="8">
        <f>Modeloutput!K135</f>
        <v>11.4936171</v>
      </c>
      <c r="M73" s="8">
        <f>Modeloutput!L135</f>
        <v>0</v>
      </c>
      <c r="N73" s="8">
        <f>Modeloutput!M135</f>
        <v>0.51277499999999998</v>
      </c>
      <c r="O73" s="8">
        <f>Modeloutput!N135</f>
        <v>0</v>
      </c>
      <c r="P73" s="8">
        <f>Modeloutput!O135</f>
        <v>0</v>
      </c>
      <c r="Q73" s="8">
        <f>Modeloutput!P135</f>
        <v>0</v>
      </c>
      <c r="S73" s="7" t="s">
        <v>13</v>
      </c>
      <c r="T73" s="14">
        <f t="shared" si="22"/>
        <v>62.720110849999998</v>
      </c>
      <c r="U73" s="8">
        <f>Modeloutput!C390</f>
        <v>0</v>
      </c>
      <c r="V73" s="8">
        <f>Modeloutput!D390</f>
        <v>62.720110900000002</v>
      </c>
      <c r="W73" s="8">
        <f>Modeloutput!E390</f>
        <v>44.746603399999998</v>
      </c>
      <c r="X73" s="8">
        <f>Modeloutput!F390</f>
        <v>5.7312245500000003</v>
      </c>
      <c r="Y73" s="8">
        <f>Modeloutput!G390</f>
        <v>0</v>
      </c>
      <c r="Z73" s="8">
        <f>Modeloutput!H390</f>
        <v>0</v>
      </c>
      <c r="AA73" s="8">
        <f>Modeloutput!I390</f>
        <v>0</v>
      </c>
      <c r="AB73" s="8">
        <f>Modeloutput!J390</f>
        <v>0</v>
      </c>
      <c r="AC73" s="8">
        <f>Modeloutput!K390</f>
        <v>11.7337004</v>
      </c>
      <c r="AD73" s="8">
        <f>Modeloutput!L390</f>
        <v>0</v>
      </c>
      <c r="AE73" s="8">
        <f>Modeloutput!M390</f>
        <v>0.50858250000000005</v>
      </c>
      <c r="AF73" s="8">
        <f>Modeloutput!N390</f>
        <v>0</v>
      </c>
      <c r="AG73" s="8">
        <f>Modeloutput!O390</f>
        <v>0</v>
      </c>
      <c r="AH73" s="8">
        <f>Modeloutput!P390</f>
        <v>0</v>
      </c>
      <c r="AJ73" s="7" t="s">
        <v>13</v>
      </c>
      <c r="AK73" s="14">
        <f t="shared" si="23"/>
        <v>74.125052069999995</v>
      </c>
      <c r="AL73" s="8">
        <f>Modeloutput!C645</f>
        <v>0</v>
      </c>
      <c r="AM73" s="8">
        <f>Modeloutput!D645</f>
        <v>74.125052100000005</v>
      </c>
      <c r="AN73" s="8">
        <f>Modeloutput!E645</f>
        <v>50.676951299999999</v>
      </c>
      <c r="AO73" s="8">
        <f>Modeloutput!F645</f>
        <v>5.8292268700000003</v>
      </c>
      <c r="AP73" s="8">
        <f>Modeloutput!G645</f>
        <v>0</v>
      </c>
      <c r="AQ73" s="8">
        <f>Modeloutput!H645</f>
        <v>0</v>
      </c>
      <c r="AR73" s="8">
        <f>Modeloutput!I645</f>
        <v>0</v>
      </c>
      <c r="AS73" s="8">
        <f>Modeloutput!J645</f>
        <v>0</v>
      </c>
      <c r="AT73" s="8">
        <f>Modeloutput!K645</f>
        <v>11.7337004</v>
      </c>
      <c r="AU73" s="8">
        <f>Modeloutput!L645</f>
        <v>0</v>
      </c>
      <c r="AV73" s="8">
        <f>Modeloutput!M645</f>
        <v>5.8851734999999996</v>
      </c>
      <c r="AW73" s="8">
        <f>Modeloutput!N645</f>
        <v>0</v>
      </c>
      <c r="AX73" s="8">
        <f>Modeloutput!O645</f>
        <v>0</v>
      </c>
      <c r="AY73" s="8">
        <f>Modeloutput!P645</f>
        <v>0</v>
      </c>
      <c r="BA73" s="7" t="s">
        <v>13</v>
      </c>
      <c r="BB73" s="14">
        <f t="shared" si="24"/>
        <v>74.556111370000011</v>
      </c>
      <c r="BC73" s="8">
        <f>Modeloutput!C900</f>
        <v>0</v>
      </c>
      <c r="BD73" s="8">
        <f>Modeloutput!D900</f>
        <v>74.556111400000006</v>
      </c>
      <c r="BE73" s="8">
        <f>Modeloutput!E900</f>
        <v>58.251425500000003</v>
      </c>
      <c r="BF73" s="8">
        <f>Modeloutput!F900</f>
        <v>4.5709854700000001</v>
      </c>
      <c r="BG73" s="8">
        <f>Modeloutput!G900</f>
        <v>0</v>
      </c>
      <c r="BH73" s="8">
        <f>Modeloutput!H900</f>
        <v>0</v>
      </c>
      <c r="BI73" s="8">
        <f>Modeloutput!I900</f>
        <v>0</v>
      </c>
      <c r="BJ73" s="8">
        <f>Modeloutput!J900</f>
        <v>0</v>
      </c>
      <c r="BK73" s="8">
        <f>Modeloutput!K900</f>
        <v>11.7337004</v>
      </c>
      <c r="BL73" s="8">
        <f>Modeloutput!L900</f>
        <v>0</v>
      </c>
      <c r="BM73" s="8">
        <f>Modeloutput!M900</f>
        <v>0</v>
      </c>
      <c r="BN73" s="8">
        <f>Modeloutput!N900</f>
        <v>0</v>
      </c>
      <c r="BO73" s="8">
        <f>Modeloutput!O900</f>
        <v>0</v>
      </c>
      <c r="BP73" s="8">
        <f>Modeloutput!P900</f>
        <v>0</v>
      </c>
      <c r="BR73" s="7" t="s">
        <v>13</v>
      </c>
      <c r="BS73" s="14">
        <f t="shared" si="25"/>
        <v>106.90930565000001</v>
      </c>
      <c r="BT73" s="8">
        <f>Modeloutput!C1155</f>
        <v>0</v>
      </c>
      <c r="BU73" s="8">
        <f>Modeloutput!D1155</f>
        <v>106.909306</v>
      </c>
      <c r="BV73" s="8">
        <f>Modeloutput!E1155</f>
        <v>77.543760000000006</v>
      </c>
      <c r="BW73" s="8">
        <f>Modeloutput!F1155</f>
        <v>8.4178862199999998</v>
      </c>
      <c r="BX73" s="8">
        <f>Modeloutput!G1155</f>
        <v>0</v>
      </c>
      <c r="BY73" s="8">
        <f>Modeloutput!H1155</f>
        <v>0</v>
      </c>
      <c r="BZ73" s="8">
        <f>Modeloutput!I1155</f>
        <v>0</v>
      </c>
      <c r="CA73" s="8">
        <f>Modeloutput!J1155</f>
        <v>0</v>
      </c>
      <c r="CB73" s="8">
        <f>Modeloutput!K1155</f>
        <v>16.550072199999999</v>
      </c>
      <c r="CC73" s="8">
        <f>Modeloutput!L1155</f>
        <v>4.3941042299999999</v>
      </c>
      <c r="CD73" s="8">
        <f>Modeloutput!M1155</f>
        <v>3.483E-3</v>
      </c>
      <c r="CE73" s="8">
        <f>Modeloutput!N1155</f>
        <v>0</v>
      </c>
      <c r="CF73" s="8">
        <f>Modeloutput!O1155</f>
        <v>0</v>
      </c>
      <c r="CG73" s="8">
        <f>Modeloutput!P1155</f>
        <v>0</v>
      </c>
    </row>
    <row r="74" spans="1:85" s="7" customFormat="1" x14ac:dyDescent="0.25">
      <c r="B74" s="7" t="s">
        <v>14</v>
      </c>
      <c r="C74" s="22">
        <f t="shared" si="21"/>
        <v>1.9351399446999999</v>
      </c>
      <c r="D74" s="8">
        <f>Modeloutput!C136</f>
        <v>0</v>
      </c>
      <c r="E74" s="8">
        <f>Modeloutput!D136</f>
        <v>1.93513994</v>
      </c>
      <c r="F74" s="8">
        <f>Modeloutput!E136</f>
        <v>0.25240522999999998</v>
      </c>
      <c r="G74" s="8">
        <f>Modeloutput!F136</f>
        <v>1.02984103</v>
      </c>
      <c r="H74" s="8">
        <f>Modeloutput!G136</f>
        <v>9.5894551199999997E-2</v>
      </c>
      <c r="I74" s="8">
        <f>Modeloutput!H136</f>
        <v>8.3075126499999999E-2</v>
      </c>
      <c r="J74" s="8">
        <f>Modeloutput!I136</f>
        <v>0</v>
      </c>
      <c r="K74" s="8">
        <f>Modeloutput!J136</f>
        <v>0</v>
      </c>
      <c r="L74" s="8">
        <f>Modeloutput!K136</f>
        <v>0</v>
      </c>
      <c r="M74" s="8">
        <f>Modeloutput!L136</f>
        <v>0</v>
      </c>
      <c r="N74" s="8">
        <f>Modeloutput!M136</f>
        <v>0.47392400699999998</v>
      </c>
      <c r="O74" s="8">
        <f>Modeloutput!N136</f>
        <v>0</v>
      </c>
      <c r="P74" s="8">
        <f>Modeloutput!O136</f>
        <v>0</v>
      </c>
      <c r="Q74" s="8">
        <f>Modeloutput!P136</f>
        <v>0</v>
      </c>
      <c r="S74" s="7" t="s">
        <v>14</v>
      </c>
      <c r="T74" s="22">
        <f t="shared" si="22"/>
        <v>22.6105756155</v>
      </c>
      <c r="U74" s="8">
        <f>Modeloutput!C391</f>
        <v>0</v>
      </c>
      <c r="V74" s="8">
        <f>Modeloutput!D391</f>
        <v>22.610575600000001</v>
      </c>
      <c r="W74" s="8">
        <f>Modeloutput!E391</f>
        <v>7.6899741099999996</v>
      </c>
      <c r="X74" s="8">
        <f>Modeloutput!F391</f>
        <v>1.0234386200000001</v>
      </c>
      <c r="Y74" s="8">
        <f>Modeloutput!G391</f>
        <v>13.3486277</v>
      </c>
      <c r="Z74" s="8">
        <f>Modeloutput!H391</f>
        <v>8.3075126499999999E-2</v>
      </c>
      <c r="AA74" s="8">
        <f>Modeloutput!I391</f>
        <v>0</v>
      </c>
      <c r="AB74" s="8">
        <f>Modeloutput!J391</f>
        <v>0</v>
      </c>
      <c r="AC74" s="8">
        <f>Modeloutput!K391</f>
        <v>0</v>
      </c>
      <c r="AD74" s="8">
        <f>Modeloutput!L391</f>
        <v>0</v>
      </c>
      <c r="AE74" s="8">
        <f>Modeloutput!M391</f>
        <v>0.46546005899999998</v>
      </c>
      <c r="AF74" s="8">
        <f>Modeloutput!N391</f>
        <v>0</v>
      </c>
      <c r="AG74" s="8">
        <f>Modeloutput!O391</f>
        <v>0</v>
      </c>
      <c r="AH74" s="8">
        <f>Modeloutput!P391</f>
        <v>0</v>
      </c>
      <c r="AJ74" s="7" t="s">
        <v>14</v>
      </c>
      <c r="AK74" s="22">
        <f t="shared" si="23"/>
        <v>60.668837866499999</v>
      </c>
      <c r="AL74" s="8">
        <f>Modeloutput!C646</f>
        <v>0</v>
      </c>
      <c r="AM74" s="8">
        <f>Modeloutput!D646</f>
        <v>60.6688379</v>
      </c>
      <c r="AN74" s="8">
        <f>Modeloutput!E646</f>
        <v>16.229347799999999</v>
      </c>
      <c r="AO74" s="8">
        <f>Modeloutput!F646</f>
        <v>1.0389521399999999</v>
      </c>
      <c r="AP74" s="8">
        <f>Modeloutput!G646</f>
        <v>25.788398399999998</v>
      </c>
      <c r="AQ74" s="8">
        <f>Modeloutput!H646</f>
        <v>8.3075126499999999E-2</v>
      </c>
      <c r="AR74" s="8">
        <f>Modeloutput!I646</f>
        <v>0</v>
      </c>
      <c r="AS74" s="8">
        <f>Modeloutput!J646</f>
        <v>0</v>
      </c>
      <c r="AT74" s="8">
        <f>Modeloutput!K646</f>
        <v>0</v>
      </c>
      <c r="AU74" s="8">
        <f>Modeloutput!L646</f>
        <v>0</v>
      </c>
      <c r="AV74" s="8">
        <f>Modeloutput!M646</f>
        <v>17.529064399999999</v>
      </c>
      <c r="AW74" s="8">
        <f>Modeloutput!N646</f>
        <v>0</v>
      </c>
      <c r="AX74" s="8">
        <f>Modeloutput!O646</f>
        <v>0</v>
      </c>
      <c r="AY74" s="8">
        <f>Modeloutput!P646</f>
        <v>0</v>
      </c>
      <c r="BA74" s="7" t="s">
        <v>14</v>
      </c>
      <c r="BB74" s="22">
        <f t="shared" si="24"/>
        <v>37.947001303</v>
      </c>
      <c r="BC74" s="8">
        <f>Modeloutput!C901</f>
        <v>0</v>
      </c>
      <c r="BD74" s="8">
        <f>Modeloutput!D901</f>
        <v>37.947001299999997</v>
      </c>
      <c r="BE74" s="8">
        <f>Modeloutput!E901</f>
        <v>18.801254400000001</v>
      </c>
      <c r="BF74" s="8">
        <f>Modeloutput!F901</f>
        <v>0.461595476</v>
      </c>
      <c r="BG74" s="8">
        <f>Modeloutput!G901</f>
        <v>18.572249100000001</v>
      </c>
      <c r="BH74" s="8">
        <f>Modeloutput!H901</f>
        <v>0.111902327</v>
      </c>
      <c r="BI74" s="8">
        <f>Modeloutput!I901</f>
        <v>0</v>
      </c>
      <c r="BJ74" s="8">
        <f>Modeloutput!J901</f>
        <v>0</v>
      </c>
      <c r="BK74" s="8">
        <f>Modeloutput!K901</f>
        <v>0</v>
      </c>
      <c r="BL74" s="8">
        <f>Modeloutput!L901</f>
        <v>0</v>
      </c>
      <c r="BM74" s="8">
        <f>Modeloutput!M901</f>
        <v>0</v>
      </c>
      <c r="BN74" s="8">
        <f>Modeloutput!N901</f>
        <v>0</v>
      </c>
      <c r="BO74" s="8">
        <f>Modeloutput!O901</f>
        <v>0</v>
      </c>
      <c r="BP74" s="8">
        <f>Modeloutput!P901</f>
        <v>0</v>
      </c>
      <c r="BR74" s="7" t="s">
        <v>14</v>
      </c>
      <c r="BS74" s="22">
        <f t="shared" si="25"/>
        <v>41.215849461199994</v>
      </c>
      <c r="BT74" s="8">
        <f>Modeloutput!C1156</f>
        <v>0</v>
      </c>
      <c r="BU74" s="8">
        <f>Modeloutput!D1156</f>
        <v>41.215849499999997</v>
      </c>
      <c r="BV74" s="8">
        <f>Modeloutput!E1156</f>
        <v>8.4278746099999999</v>
      </c>
      <c r="BW74" s="8">
        <f>Modeloutput!F1156</f>
        <v>0.595940358</v>
      </c>
      <c r="BX74" s="8">
        <f>Modeloutput!G1156</f>
        <v>14.2176253</v>
      </c>
      <c r="BY74" s="8">
        <f>Modeloutput!H1156</f>
        <v>6.3682588999999998E-2</v>
      </c>
      <c r="BZ74" s="8">
        <f>Modeloutput!I1156</f>
        <v>0</v>
      </c>
      <c r="CA74" s="8">
        <f>Modeloutput!J1156</f>
        <v>0</v>
      </c>
      <c r="CB74" s="8">
        <f>Modeloutput!K1156</f>
        <v>7.6810681699999996</v>
      </c>
      <c r="CC74" s="8">
        <f>Modeloutput!L1156</f>
        <v>10.213582799999999</v>
      </c>
      <c r="CD74" s="8">
        <f>Modeloutput!M1156</f>
        <v>1.6075634200000001E-2</v>
      </c>
      <c r="CE74" s="8">
        <f>Modeloutput!N1156</f>
        <v>0</v>
      </c>
      <c r="CF74" s="8">
        <f>Modeloutput!O1156</f>
        <v>0</v>
      </c>
      <c r="CG74" s="8">
        <f>Modeloutput!P1156</f>
        <v>0</v>
      </c>
    </row>
    <row r="75" spans="1:85" s="7" customFormat="1" x14ac:dyDescent="0.25">
      <c r="B75" s="28" t="s">
        <v>18</v>
      </c>
      <c r="C75" s="29">
        <f t="shared" ref="C75:Q75" si="26">SUM(C61:C74)</f>
        <v>449.55178841254002</v>
      </c>
      <c r="D75" s="29">
        <f t="shared" si="26"/>
        <v>62.858974969999998</v>
      </c>
      <c r="E75" s="29">
        <f t="shared" si="26"/>
        <v>386.69281313800002</v>
      </c>
      <c r="F75" s="29">
        <f t="shared" si="26"/>
        <v>244.23532181100001</v>
      </c>
      <c r="G75" s="29">
        <f t="shared" si="26"/>
        <v>32.031122051000004</v>
      </c>
      <c r="H75" s="29">
        <f t="shared" si="26"/>
        <v>106.41823113974002</v>
      </c>
      <c r="I75" s="29">
        <f t="shared" si="26"/>
        <v>4.0081384707999996</v>
      </c>
      <c r="J75" s="29">
        <f t="shared" si="26"/>
        <v>0</v>
      </c>
      <c r="K75" s="29">
        <f t="shared" si="26"/>
        <v>0</v>
      </c>
      <c r="L75" s="29">
        <f t="shared" si="26"/>
        <v>55.435264370000006</v>
      </c>
      <c r="M75" s="29">
        <f t="shared" si="26"/>
        <v>0</v>
      </c>
      <c r="N75" s="29">
        <f t="shared" si="26"/>
        <v>9.000657630000001</v>
      </c>
      <c r="O75" s="29">
        <f t="shared" si="26"/>
        <v>0</v>
      </c>
      <c r="P75" s="29">
        <f t="shared" si="26"/>
        <v>0</v>
      </c>
      <c r="Q75" s="29">
        <f t="shared" si="26"/>
        <v>-1.5769470600000002</v>
      </c>
      <c r="S75" s="28" t="s">
        <v>18</v>
      </c>
      <c r="T75" s="29">
        <f t="shared" ref="T75:AH75" si="27">SUM(T61:T74)</f>
        <v>508.70435993619992</v>
      </c>
      <c r="U75" s="29">
        <f t="shared" si="27"/>
        <v>62.728694220000001</v>
      </c>
      <c r="V75" s="29">
        <f t="shared" si="27"/>
        <v>445.97566547000002</v>
      </c>
      <c r="W75" s="29">
        <f t="shared" si="27"/>
        <v>278.26560332099996</v>
      </c>
      <c r="X75" s="29">
        <f t="shared" si="27"/>
        <v>32.120458696999997</v>
      </c>
      <c r="Y75" s="29">
        <f t="shared" si="27"/>
        <v>131.57466461040002</v>
      </c>
      <c r="Z75" s="29">
        <f t="shared" si="27"/>
        <v>4.0149390677999994</v>
      </c>
      <c r="AA75" s="29">
        <f t="shared" si="27"/>
        <v>0</v>
      </c>
      <c r="AB75" s="29">
        <f t="shared" si="27"/>
        <v>0</v>
      </c>
      <c r="AC75" s="29">
        <f t="shared" si="27"/>
        <v>51.507523630000009</v>
      </c>
      <c r="AD75" s="29">
        <f t="shared" si="27"/>
        <v>0</v>
      </c>
      <c r="AE75" s="29">
        <f t="shared" si="27"/>
        <v>8.9144510000000015</v>
      </c>
      <c r="AF75" s="29">
        <f t="shared" si="27"/>
        <v>0</v>
      </c>
      <c r="AG75" s="29">
        <f t="shared" si="27"/>
        <v>0</v>
      </c>
      <c r="AH75" s="29">
        <f t="shared" si="27"/>
        <v>2.30671961</v>
      </c>
      <c r="AJ75" s="28" t="s">
        <v>18</v>
      </c>
      <c r="AK75" s="29">
        <f t="shared" ref="AK75:AY75" si="28">SUM(AK61:AK74)</f>
        <v>717.39292792179992</v>
      </c>
      <c r="AL75" s="29">
        <f t="shared" si="28"/>
        <v>200.90536339999997</v>
      </c>
      <c r="AM75" s="29">
        <f t="shared" si="28"/>
        <v>516.48756403999994</v>
      </c>
      <c r="AN75" s="29">
        <f t="shared" si="28"/>
        <v>313.32574089100001</v>
      </c>
      <c r="AO75" s="29">
        <f t="shared" si="28"/>
        <v>32.661152258999998</v>
      </c>
      <c r="AP75" s="29">
        <f t="shared" si="28"/>
        <v>166.48115356199997</v>
      </c>
      <c r="AQ75" s="29">
        <f t="shared" si="28"/>
        <v>4.0195175127999994</v>
      </c>
      <c r="AR75" s="29">
        <f t="shared" si="28"/>
        <v>0</v>
      </c>
      <c r="AS75" s="29">
        <f t="shared" si="28"/>
        <v>0</v>
      </c>
      <c r="AT75" s="29">
        <f t="shared" si="28"/>
        <v>47.187126409999991</v>
      </c>
      <c r="AU75" s="29">
        <f t="shared" si="28"/>
        <v>0</v>
      </c>
      <c r="AV75" s="29">
        <f t="shared" si="28"/>
        <v>124.17985921699999</v>
      </c>
      <c r="AW75" s="29">
        <f t="shared" si="28"/>
        <v>0</v>
      </c>
      <c r="AX75" s="29">
        <f t="shared" si="28"/>
        <v>0</v>
      </c>
      <c r="AY75" s="29">
        <f t="shared" si="28"/>
        <v>29.53837807</v>
      </c>
      <c r="BA75" s="28" t="s">
        <v>18</v>
      </c>
      <c r="BB75" s="29">
        <f t="shared" ref="BB75:BP75" si="29">SUM(BB61:BB74)</f>
        <v>639.06211766169997</v>
      </c>
      <c r="BC75" s="29">
        <f t="shared" si="29"/>
        <v>85.325890799999996</v>
      </c>
      <c r="BD75" s="29">
        <f t="shared" si="29"/>
        <v>553.73622728299995</v>
      </c>
      <c r="BE75" s="29">
        <f t="shared" si="29"/>
        <v>372.29579387299998</v>
      </c>
      <c r="BF75" s="29">
        <f t="shared" si="29"/>
        <v>26.799178404999999</v>
      </c>
      <c r="BG75" s="29">
        <f t="shared" si="29"/>
        <v>150.66901702600001</v>
      </c>
      <c r="BH75" s="29">
        <f t="shared" si="29"/>
        <v>3.9722375677000001</v>
      </c>
      <c r="BI75" s="29">
        <f t="shared" si="29"/>
        <v>0</v>
      </c>
      <c r="BJ75" s="29">
        <f t="shared" si="29"/>
        <v>0</v>
      </c>
      <c r="BK75" s="29">
        <f t="shared" si="29"/>
        <v>56.814547210000001</v>
      </c>
      <c r="BL75" s="29">
        <f t="shared" si="29"/>
        <v>0</v>
      </c>
      <c r="BM75" s="29">
        <f t="shared" si="29"/>
        <v>0</v>
      </c>
      <c r="BN75" s="29">
        <f t="shared" si="29"/>
        <v>0</v>
      </c>
      <c r="BO75" s="29">
        <f t="shared" si="29"/>
        <v>0</v>
      </c>
      <c r="BP75" s="29">
        <f t="shared" si="29"/>
        <v>28.511343580000002</v>
      </c>
      <c r="BR75" s="28" t="s">
        <v>18</v>
      </c>
      <c r="BS75" s="29">
        <f t="shared" ref="BS75:CG75" si="30">SUM(BS61:BS74)</f>
        <v>952.58939791411399</v>
      </c>
      <c r="BT75" s="29">
        <f t="shared" si="30"/>
        <v>244.758737865</v>
      </c>
      <c r="BU75" s="29">
        <f t="shared" si="30"/>
        <v>707.83066036620005</v>
      </c>
      <c r="BV75" s="29">
        <f t="shared" si="30"/>
        <v>467.97759680200005</v>
      </c>
      <c r="BW75" s="29">
        <f t="shared" si="30"/>
        <v>49.085999121770001</v>
      </c>
      <c r="BX75" s="29">
        <f t="shared" si="30"/>
        <v>185.35659415009999</v>
      </c>
      <c r="BY75" s="29">
        <f t="shared" si="30"/>
        <v>5.4104695247999999</v>
      </c>
      <c r="BZ75" s="29">
        <f t="shared" si="30"/>
        <v>0</v>
      </c>
      <c r="CA75" s="29">
        <f t="shared" si="30"/>
        <v>0</v>
      </c>
      <c r="CB75" s="29">
        <f t="shared" si="30"/>
        <v>132.90921048000001</v>
      </c>
      <c r="CC75" s="29">
        <f t="shared" si="30"/>
        <v>82.976787890628998</v>
      </c>
      <c r="CD75" s="29">
        <f t="shared" si="30"/>
        <v>0.13302036481500001</v>
      </c>
      <c r="CE75" s="29">
        <f t="shared" si="30"/>
        <v>0</v>
      </c>
      <c r="CF75" s="29">
        <f t="shared" si="30"/>
        <v>0</v>
      </c>
      <c r="CG75" s="29">
        <f t="shared" si="30"/>
        <v>28.739719579999999</v>
      </c>
    </row>
    <row r="77" spans="1:85" x14ac:dyDescent="0.25">
      <c r="B77" s="11" t="s">
        <v>34</v>
      </c>
      <c r="C77" s="16">
        <f>SUM(Cost_Flow!C61:C64)+SUM(Cost_Flow!C70:C71)</f>
        <v>241.24288879884</v>
      </c>
      <c r="S77" s="11" t="s">
        <v>34</v>
      </c>
      <c r="T77" s="16">
        <f>SUM(Cost_Flow!T61:T64)+SUM(Cost_Flow!T70:T71)</f>
        <v>293.33756376669999</v>
      </c>
      <c r="AJ77" s="11" t="s">
        <v>34</v>
      </c>
      <c r="AK77" s="16">
        <f>SUM(Cost_Flow!AK61:AK64)+SUM(Cost_Flow!AK70:AK71)</f>
        <v>391.86052994529996</v>
      </c>
      <c r="BA77" s="11" t="s">
        <v>34</v>
      </c>
      <c r="BB77" s="16">
        <f>SUM(Cost_Flow!BB61:BB64)+SUM(Cost_Flow!BB70:BB71)</f>
        <v>412.76443494069997</v>
      </c>
      <c r="BR77" s="11" t="s">
        <v>34</v>
      </c>
      <c r="BS77" s="16">
        <f>SUM(Cost_Flow!BS61:BS64)+SUM(Cost_Flow!BS70:BS71)</f>
        <v>395.13275858240399</v>
      </c>
    </row>
    <row r="78" spans="1:85" x14ac:dyDescent="0.25">
      <c r="B78" s="17" t="s">
        <v>36</v>
      </c>
      <c r="C78" s="18">
        <f>Cost_Flow!C72+Cost_Flow!C73</f>
        <v>138.06823108700002</v>
      </c>
      <c r="S78" s="17" t="s">
        <v>36</v>
      </c>
      <c r="T78" s="18">
        <f>Cost_Flow!T72+Cost_Flow!T73</f>
        <v>133.691456765</v>
      </c>
      <c r="AJ78" s="17" t="s">
        <v>36</v>
      </c>
      <c r="AK78" s="18">
        <f>Cost_Flow!AK72+Cost_Flow!AK73</f>
        <v>139.294526486</v>
      </c>
      <c r="BA78" s="17" t="s">
        <v>36</v>
      </c>
      <c r="BB78" s="18">
        <f>Cost_Flow!BB72+Cost_Flow!BB73</f>
        <v>132.27239402200001</v>
      </c>
      <c r="BR78" s="17" t="s">
        <v>36</v>
      </c>
      <c r="BS78" s="18">
        <f>Cost_Flow!BS72+Cost_Flow!BS73</f>
        <v>161.77369260641001</v>
      </c>
    </row>
    <row r="79" spans="1:85" x14ac:dyDescent="0.25">
      <c r="B79" s="20" t="s">
        <v>35</v>
      </c>
      <c r="C79" s="19">
        <f>SUM(Cost_Flow!E65:E69)</f>
        <v>3.8696065180000003</v>
      </c>
      <c r="S79" s="20" t="s">
        <v>35</v>
      </c>
      <c r="T79" s="19">
        <f>SUM(Cost_Flow!V65:V69)</f>
        <v>-1.3572108299999996</v>
      </c>
      <c r="AJ79" s="20" t="s">
        <v>35</v>
      </c>
      <c r="AK79" s="19">
        <f>SUM(Cost_Flow!AM65:AM69)</f>
        <v>-45.797952179999996</v>
      </c>
      <c r="BA79" s="20" t="s">
        <v>35</v>
      </c>
      <c r="BB79" s="19">
        <f>SUM(Cost_Flow!BD65:BD69)</f>
        <v>-0.73625980700000004</v>
      </c>
      <c r="BR79" s="20" t="s">
        <v>35</v>
      </c>
      <c r="BS79" s="19">
        <f>SUM(Cost_Flow!BU65:BU69)</f>
        <v>138.44807877619999</v>
      </c>
    </row>
    <row r="80" spans="1:85" x14ac:dyDescent="0.25">
      <c r="B80" s="21" t="s">
        <v>37</v>
      </c>
      <c r="C80" s="23">
        <f>Cost_Flow!C74</f>
        <v>1.9351399446999999</v>
      </c>
      <c r="S80" s="21" t="s">
        <v>37</v>
      </c>
      <c r="T80" s="23">
        <f>Cost_Flow!T74</f>
        <v>22.6105756155</v>
      </c>
      <c r="AJ80" s="21" t="s">
        <v>37</v>
      </c>
      <c r="AK80" s="23">
        <f>Cost_Flow!AK74</f>
        <v>60.668837866499999</v>
      </c>
      <c r="BA80" s="21" t="s">
        <v>37</v>
      </c>
      <c r="BB80" s="23">
        <f>Cost_Flow!BB74</f>
        <v>37.947001303</v>
      </c>
      <c r="BR80" s="21" t="s">
        <v>37</v>
      </c>
      <c r="BS80" s="23">
        <f>Cost_Flow!BS74</f>
        <v>41.215849461199994</v>
      </c>
    </row>
    <row r="82" spans="1:85" ht="21" x14ac:dyDescent="0.35">
      <c r="A82" s="5">
        <v>2040</v>
      </c>
      <c r="R82" s="5">
        <v>2040</v>
      </c>
      <c r="AI82" s="5">
        <v>2040</v>
      </c>
      <c r="AZ82" s="5">
        <v>2040</v>
      </c>
      <c r="BQ82" s="5">
        <v>2040</v>
      </c>
    </row>
    <row r="83" spans="1:85" x14ac:dyDescent="0.25">
      <c r="B83" s="4" t="str">
        <f>$B$6</f>
        <v>ReferentieUtrecht</v>
      </c>
      <c r="S83" s="4" t="str">
        <f>$S$6</f>
        <v>Utrecht_Label B</v>
      </c>
      <c r="AJ83" s="4" t="str">
        <f>$AJ$6</f>
        <v>Utrecht_Label Aplus</v>
      </c>
      <c r="BA83" s="4" t="str">
        <f>BA$6</f>
        <v>Utrecht_Label Aplus, met eWP</v>
      </c>
      <c r="BR83" s="4" t="str">
        <f>BR$6</f>
        <v>Utrecht_Label B_Warmtenetten</v>
      </c>
    </row>
    <row r="84" spans="1:85" x14ac:dyDescent="0.25">
      <c r="C84" s="1" t="s">
        <v>18</v>
      </c>
      <c r="D84" s="1" t="s">
        <v>19</v>
      </c>
      <c r="E84" s="1" t="s">
        <v>20</v>
      </c>
      <c r="F84" s="1" t="s">
        <v>21</v>
      </c>
      <c r="G84" s="1" t="s">
        <v>22</v>
      </c>
      <c r="H84" s="1" t="s">
        <v>23</v>
      </c>
      <c r="I84" s="1" t="s">
        <v>24</v>
      </c>
      <c r="J84" s="1" t="s">
        <v>25</v>
      </c>
      <c r="K84" s="1" t="s">
        <v>26</v>
      </c>
      <c r="L84" s="1" t="s">
        <v>5</v>
      </c>
      <c r="M84" s="1" t="s">
        <v>6</v>
      </c>
      <c r="N84" s="1" t="s">
        <v>7</v>
      </c>
      <c r="O84" s="1" t="s">
        <v>8</v>
      </c>
      <c r="P84" s="1" t="s">
        <v>9</v>
      </c>
      <c r="Q84" s="1" t="s">
        <v>27</v>
      </c>
      <c r="T84" s="1" t="s">
        <v>18</v>
      </c>
      <c r="U84" s="1" t="s">
        <v>19</v>
      </c>
      <c r="V84" s="1" t="s">
        <v>20</v>
      </c>
      <c r="W84" s="1" t="s">
        <v>21</v>
      </c>
      <c r="X84" s="1" t="s">
        <v>22</v>
      </c>
      <c r="Y84" s="1" t="s">
        <v>23</v>
      </c>
      <c r="Z84" s="1" t="s">
        <v>24</v>
      </c>
      <c r="AA84" s="1" t="s">
        <v>25</v>
      </c>
      <c r="AB84" s="1" t="s">
        <v>26</v>
      </c>
      <c r="AC84" s="1" t="s">
        <v>5</v>
      </c>
      <c r="AD84" s="1" t="s">
        <v>6</v>
      </c>
      <c r="AE84" s="1" t="s">
        <v>7</v>
      </c>
      <c r="AF84" s="1" t="s">
        <v>8</v>
      </c>
      <c r="AG84" s="1" t="s">
        <v>9</v>
      </c>
      <c r="AH84" s="1" t="s">
        <v>27</v>
      </c>
      <c r="AK84" s="1" t="s">
        <v>18</v>
      </c>
      <c r="AL84" s="1" t="s">
        <v>19</v>
      </c>
      <c r="AM84" s="1" t="s">
        <v>20</v>
      </c>
      <c r="AN84" s="1" t="s">
        <v>21</v>
      </c>
      <c r="AO84" s="1" t="s">
        <v>22</v>
      </c>
      <c r="AP84" s="1" t="s">
        <v>23</v>
      </c>
      <c r="AQ84" s="1" t="s">
        <v>24</v>
      </c>
      <c r="AR84" s="1" t="s">
        <v>25</v>
      </c>
      <c r="AS84" s="1" t="s">
        <v>26</v>
      </c>
      <c r="AT84" s="1" t="s">
        <v>5</v>
      </c>
      <c r="AU84" s="1" t="s">
        <v>6</v>
      </c>
      <c r="AV84" s="1" t="s">
        <v>7</v>
      </c>
      <c r="AW84" s="1" t="s">
        <v>8</v>
      </c>
      <c r="AX84" s="1" t="s">
        <v>9</v>
      </c>
      <c r="AY84" s="1" t="s">
        <v>27</v>
      </c>
      <c r="BB84" s="1" t="s">
        <v>18</v>
      </c>
      <c r="BC84" s="1" t="s">
        <v>19</v>
      </c>
      <c r="BD84" s="1" t="s">
        <v>20</v>
      </c>
      <c r="BE84" s="1" t="s">
        <v>21</v>
      </c>
      <c r="BF84" s="1" t="s">
        <v>22</v>
      </c>
      <c r="BG84" s="1" t="s">
        <v>23</v>
      </c>
      <c r="BH84" s="1" t="s">
        <v>24</v>
      </c>
      <c r="BI84" s="1" t="s">
        <v>25</v>
      </c>
      <c r="BJ84" s="1" t="s">
        <v>26</v>
      </c>
      <c r="BK84" s="1" t="s">
        <v>5</v>
      </c>
      <c r="BL84" s="1" t="s">
        <v>6</v>
      </c>
      <c r="BM84" s="1" t="s">
        <v>7</v>
      </c>
      <c r="BN84" s="1" t="s">
        <v>8</v>
      </c>
      <c r="BO84" s="1" t="s">
        <v>9</v>
      </c>
      <c r="BP84" s="1" t="s">
        <v>27</v>
      </c>
      <c r="BS84" s="1" t="s">
        <v>18</v>
      </c>
      <c r="BT84" s="1" t="s">
        <v>19</v>
      </c>
      <c r="BU84" s="1" t="s">
        <v>20</v>
      </c>
      <c r="BV84" s="1" t="s">
        <v>21</v>
      </c>
      <c r="BW84" s="1" t="s">
        <v>22</v>
      </c>
      <c r="BX84" s="1" t="s">
        <v>23</v>
      </c>
      <c r="BY84" s="1" t="s">
        <v>24</v>
      </c>
      <c r="BZ84" s="1" t="s">
        <v>25</v>
      </c>
      <c r="CA84" s="1" t="s">
        <v>26</v>
      </c>
      <c r="CB84" s="1" t="s">
        <v>5</v>
      </c>
      <c r="CC84" s="1" t="s">
        <v>6</v>
      </c>
      <c r="CD84" s="1" t="s">
        <v>7</v>
      </c>
      <c r="CE84" s="1" t="s">
        <v>8</v>
      </c>
      <c r="CF84" s="1" t="s">
        <v>9</v>
      </c>
      <c r="CG84" s="1" t="s">
        <v>27</v>
      </c>
    </row>
    <row r="85" spans="1:85" x14ac:dyDescent="0.25">
      <c r="C85" s="1" t="s">
        <v>29</v>
      </c>
      <c r="D85" s="1" t="s">
        <v>29</v>
      </c>
      <c r="E85" s="1" t="s">
        <v>29</v>
      </c>
      <c r="F85" s="1" t="s">
        <v>29</v>
      </c>
      <c r="G85" s="1" t="s">
        <v>29</v>
      </c>
      <c r="H85" s="1" t="s">
        <v>29</v>
      </c>
      <c r="I85" s="1" t="s">
        <v>29</v>
      </c>
      <c r="J85" s="1" t="s">
        <v>29</v>
      </c>
      <c r="K85" s="1" t="s">
        <v>29</v>
      </c>
      <c r="L85" s="1" t="s">
        <v>29</v>
      </c>
      <c r="M85" s="1" t="s">
        <v>29</v>
      </c>
      <c r="N85" s="1" t="s">
        <v>29</v>
      </c>
      <c r="O85" s="1" t="s">
        <v>29</v>
      </c>
      <c r="P85" s="1" t="s">
        <v>29</v>
      </c>
      <c r="Q85" s="1" t="s">
        <v>29</v>
      </c>
      <c r="T85" s="1" t="s">
        <v>29</v>
      </c>
      <c r="U85" s="1" t="s">
        <v>29</v>
      </c>
      <c r="V85" s="1" t="s">
        <v>29</v>
      </c>
      <c r="W85" s="1" t="s">
        <v>29</v>
      </c>
      <c r="X85" s="1" t="s">
        <v>29</v>
      </c>
      <c r="Y85" s="1" t="s">
        <v>29</v>
      </c>
      <c r="Z85" s="1" t="s">
        <v>29</v>
      </c>
      <c r="AA85" s="1" t="s">
        <v>29</v>
      </c>
      <c r="AB85" s="1" t="s">
        <v>29</v>
      </c>
      <c r="AC85" s="1" t="s">
        <v>29</v>
      </c>
      <c r="AD85" s="1" t="s">
        <v>29</v>
      </c>
      <c r="AE85" s="1" t="s">
        <v>29</v>
      </c>
      <c r="AF85" s="1" t="s">
        <v>29</v>
      </c>
      <c r="AG85" s="1" t="s">
        <v>29</v>
      </c>
      <c r="AH85" s="1" t="s">
        <v>29</v>
      </c>
      <c r="AK85" s="1" t="s">
        <v>29</v>
      </c>
      <c r="AL85" s="1" t="s">
        <v>29</v>
      </c>
      <c r="AM85" s="1" t="s">
        <v>29</v>
      </c>
      <c r="AN85" s="1" t="s">
        <v>29</v>
      </c>
      <c r="AO85" s="1" t="s">
        <v>29</v>
      </c>
      <c r="AP85" s="1" t="s">
        <v>29</v>
      </c>
      <c r="AQ85" s="1" t="s">
        <v>29</v>
      </c>
      <c r="AR85" s="1" t="s">
        <v>29</v>
      </c>
      <c r="AS85" s="1" t="s">
        <v>29</v>
      </c>
      <c r="AT85" s="1" t="s">
        <v>29</v>
      </c>
      <c r="AU85" s="1" t="s">
        <v>29</v>
      </c>
      <c r="AV85" s="1" t="s">
        <v>29</v>
      </c>
      <c r="AW85" s="1" t="s">
        <v>29</v>
      </c>
      <c r="AX85" s="1" t="s">
        <v>29</v>
      </c>
      <c r="AY85" s="1" t="s">
        <v>29</v>
      </c>
      <c r="BB85" s="1" t="s">
        <v>29</v>
      </c>
      <c r="BC85" s="1" t="s">
        <v>29</v>
      </c>
      <c r="BD85" s="1" t="s">
        <v>29</v>
      </c>
      <c r="BE85" s="1" t="s">
        <v>29</v>
      </c>
      <c r="BF85" s="1" t="s">
        <v>29</v>
      </c>
      <c r="BG85" s="1" t="s">
        <v>29</v>
      </c>
      <c r="BH85" s="1" t="s">
        <v>29</v>
      </c>
      <c r="BI85" s="1" t="s">
        <v>29</v>
      </c>
      <c r="BJ85" s="1" t="s">
        <v>29</v>
      </c>
      <c r="BK85" s="1" t="s">
        <v>29</v>
      </c>
      <c r="BL85" s="1" t="s">
        <v>29</v>
      </c>
      <c r="BM85" s="1" t="s">
        <v>29</v>
      </c>
      <c r="BN85" s="1" t="s">
        <v>29</v>
      </c>
      <c r="BO85" s="1" t="s">
        <v>29</v>
      </c>
      <c r="BP85" s="1" t="s">
        <v>29</v>
      </c>
      <c r="BS85" s="1" t="s">
        <v>29</v>
      </c>
      <c r="BT85" s="1" t="s">
        <v>29</v>
      </c>
      <c r="BU85" s="1" t="s">
        <v>29</v>
      </c>
      <c r="BV85" s="1" t="s">
        <v>29</v>
      </c>
      <c r="BW85" s="1" t="s">
        <v>29</v>
      </c>
      <c r="BX85" s="1" t="s">
        <v>29</v>
      </c>
      <c r="BY85" s="1" t="s">
        <v>29</v>
      </c>
      <c r="BZ85" s="1" t="s">
        <v>29</v>
      </c>
      <c r="CA85" s="1" t="s">
        <v>29</v>
      </c>
      <c r="CB85" s="1" t="s">
        <v>29</v>
      </c>
      <c r="CC85" s="1" t="s">
        <v>29</v>
      </c>
      <c r="CD85" s="1" t="s">
        <v>29</v>
      </c>
      <c r="CE85" s="1" t="s">
        <v>29</v>
      </c>
      <c r="CF85" s="1" t="s">
        <v>29</v>
      </c>
      <c r="CG85" s="1" t="s">
        <v>29</v>
      </c>
    </row>
    <row r="86" spans="1:85" s="7" customFormat="1" x14ac:dyDescent="0.25">
      <c r="B86" s="7" t="s">
        <v>1</v>
      </c>
      <c r="C86" s="13">
        <f>SUM(F86:Q86)</f>
        <v>10.809905436999999</v>
      </c>
      <c r="D86" s="8">
        <f>Modeloutput!C174</f>
        <v>0</v>
      </c>
      <c r="E86" s="8">
        <f>Modeloutput!D174</f>
        <v>10.8099054</v>
      </c>
      <c r="F86" s="8">
        <f>Modeloutput!E174</f>
        <v>1.17176467</v>
      </c>
      <c r="G86" s="8">
        <f>Modeloutput!F174</f>
        <v>0</v>
      </c>
      <c r="H86" s="8">
        <f>Modeloutput!G174</f>
        <v>0.207354067</v>
      </c>
      <c r="I86" s="8">
        <f>Modeloutput!H174</f>
        <v>0</v>
      </c>
      <c r="J86" s="8">
        <f>Modeloutput!I174</f>
        <v>0</v>
      </c>
      <c r="K86" s="8">
        <f>Modeloutput!J174</f>
        <v>0</v>
      </c>
      <c r="L86" s="8">
        <f>Modeloutput!K174</f>
        <v>2.25967188</v>
      </c>
      <c r="M86" s="8">
        <f>Modeloutput!L174</f>
        <v>0</v>
      </c>
      <c r="N86" s="8">
        <f>Modeloutput!M174</f>
        <v>7.1711148199999997</v>
      </c>
      <c r="O86" s="8">
        <f>Modeloutput!N174</f>
        <v>0</v>
      </c>
      <c r="P86" s="8">
        <f>Modeloutput!O174</f>
        <v>0</v>
      </c>
      <c r="Q86" s="8">
        <f>Modeloutput!P174</f>
        <v>0</v>
      </c>
      <c r="S86" s="7" t="s">
        <v>1</v>
      </c>
      <c r="T86" s="13">
        <f>SUM(W86:AH86)</f>
        <v>67.631786990000009</v>
      </c>
      <c r="U86" s="8">
        <f>Modeloutput!C429</f>
        <v>0</v>
      </c>
      <c r="V86" s="8">
        <f>Modeloutput!D429</f>
        <v>67.631787099999997</v>
      </c>
      <c r="W86" s="8">
        <f>Modeloutput!E429</f>
        <v>35.699894</v>
      </c>
      <c r="X86" s="8">
        <f>Modeloutput!F429</f>
        <v>0</v>
      </c>
      <c r="Y86" s="8">
        <f>Modeloutput!G429</f>
        <v>24.882240800000002</v>
      </c>
      <c r="Z86" s="8">
        <f>Modeloutput!H429</f>
        <v>0</v>
      </c>
      <c r="AA86" s="8">
        <f>Modeloutput!I429</f>
        <v>0</v>
      </c>
      <c r="AB86" s="8">
        <f>Modeloutput!J429</f>
        <v>0</v>
      </c>
      <c r="AC86" s="8">
        <f>Modeloutput!K429</f>
        <v>0</v>
      </c>
      <c r="AD86" s="8">
        <f>Modeloutput!L429</f>
        <v>0</v>
      </c>
      <c r="AE86" s="8">
        <f>Modeloutput!M429</f>
        <v>7.0496521899999998</v>
      </c>
      <c r="AF86" s="8">
        <f>Modeloutput!N429</f>
        <v>0</v>
      </c>
      <c r="AG86" s="8">
        <f>Modeloutput!O429</f>
        <v>0</v>
      </c>
      <c r="AH86" s="8">
        <f>Modeloutput!P429</f>
        <v>0</v>
      </c>
      <c r="AJ86" s="7" t="s">
        <v>1</v>
      </c>
      <c r="AK86" s="13">
        <f>SUM(AN86:AY86)</f>
        <v>214.526749</v>
      </c>
      <c r="AL86" s="8">
        <f>Modeloutput!C684</f>
        <v>0</v>
      </c>
      <c r="AM86" s="8">
        <f>Modeloutput!D684</f>
        <v>214.526749</v>
      </c>
      <c r="AN86" s="8">
        <f>Modeloutput!E684</f>
        <v>69.634953499999995</v>
      </c>
      <c r="AO86" s="8">
        <f>Modeloutput!F684</f>
        <v>0</v>
      </c>
      <c r="AP86" s="8">
        <f>Modeloutput!G684</f>
        <v>45.6777522</v>
      </c>
      <c r="AQ86" s="8">
        <f>Modeloutput!H684</f>
        <v>0</v>
      </c>
      <c r="AR86" s="8">
        <f>Modeloutput!I684</f>
        <v>0</v>
      </c>
      <c r="AS86" s="8">
        <f>Modeloutput!J684</f>
        <v>0</v>
      </c>
      <c r="AT86" s="8">
        <f>Modeloutput!K684</f>
        <v>0</v>
      </c>
      <c r="AU86" s="8">
        <f>Modeloutput!L684</f>
        <v>0</v>
      </c>
      <c r="AV86" s="8">
        <f>Modeloutput!M684</f>
        <v>99.2140433</v>
      </c>
      <c r="AW86" s="8">
        <f>Modeloutput!N684</f>
        <v>0</v>
      </c>
      <c r="AX86" s="8">
        <f>Modeloutput!O684</f>
        <v>0</v>
      </c>
      <c r="AY86" s="8">
        <f>Modeloutput!P684</f>
        <v>0</v>
      </c>
      <c r="BA86" s="7" t="s">
        <v>1</v>
      </c>
      <c r="BB86" s="13">
        <f>SUM(BE86:BP86)</f>
        <v>78.368869599999996</v>
      </c>
      <c r="BC86" s="8">
        <f>Modeloutput!C939</f>
        <v>0</v>
      </c>
      <c r="BD86" s="8">
        <f>Modeloutput!D939</f>
        <v>78.368869700000005</v>
      </c>
      <c r="BE86" s="8">
        <f>Modeloutput!E939</f>
        <v>49.995046799999997</v>
      </c>
      <c r="BF86" s="8">
        <f>Modeloutput!F939</f>
        <v>0</v>
      </c>
      <c r="BG86" s="8">
        <f>Modeloutput!G939</f>
        <v>28.373822799999999</v>
      </c>
      <c r="BH86" s="8">
        <f>Modeloutput!H939</f>
        <v>0</v>
      </c>
      <c r="BI86" s="8">
        <f>Modeloutput!I939</f>
        <v>0</v>
      </c>
      <c r="BJ86" s="8">
        <f>Modeloutput!J939</f>
        <v>0</v>
      </c>
      <c r="BK86" s="8">
        <f>Modeloutput!K939</f>
        <v>0</v>
      </c>
      <c r="BL86" s="8">
        <f>Modeloutput!L939</f>
        <v>0</v>
      </c>
      <c r="BM86" s="8">
        <f>Modeloutput!M939</f>
        <v>0</v>
      </c>
      <c r="BN86" s="8">
        <f>Modeloutput!N939</f>
        <v>0</v>
      </c>
      <c r="BO86" s="8">
        <f>Modeloutput!O939</f>
        <v>0</v>
      </c>
      <c r="BP86" s="8">
        <f>Modeloutput!P939</f>
        <v>0</v>
      </c>
      <c r="BR86" s="7" t="s">
        <v>1</v>
      </c>
      <c r="BS86" s="13">
        <f>SUM(BV86:CG86)</f>
        <v>128.46533755200002</v>
      </c>
      <c r="BT86" s="8">
        <f>Modeloutput!C1194</f>
        <v>0</v>
      </c>
      <c r="BU86" s="8">
        <f>Modeloutput!D1194</f>
        <v>128.465338</v>
      </c>
      <c r="BV86" s="8">
        <f>Modeloutput!E1194</f>
        <v>35.699894</v>
      </c>
      <c r="BW86" s="8">
        <f>Modeloutput!F1194</f>
        <v>0</v>
      </c>
      <c r="BX86" s="8">
        <f>Modeloutput!G1194</f>
        <v>24.6858124</v>
      </c>
      <c r="BY86" s="8">
        <f>Modeloutput!H1194</f>
        <v>0</v>
      </c>
      <c r="BZ86" s="8">
        <f>Modeloutput!I1194</f>
        <v>0</v>
      </c>
      <c r="CA86" s="8">
        <f>Modeloutput!J1194</f>
        <v>0</v>
      </c>
      <c r="CB86" s="8">
        <f>Modeloutput!K1194</f>
        <v>29.729580800000001</v>
      </c>
      <c r="CC86" s="8">
        <f>Modeloutput!L1194</f>
        <v>38.233194400000002</v>
      </c>
      <c r="CD86" s="8">
        <f>Modeloutput!M1194</f>
        <v>0.116855952</v>
      </c>
      <c r="CE86" s="8">
        <f>Modeloutput!N1194</f>
        <v>0</v>
      </c>
      <c r="CF86" s="8">
        <f>Modeloutput!O1194</f>
        <v>0</v>
      </c>
      <c r="CG86" s="8">
        <f>Modeloutput!P1194</f>
        <v>0</v>
      </c>
    </row>
    <row r="87" spans="1:85" s="7" customFormat="1" x14ac:dyDescent="0.25">
      <c r="B87" s="7" t="s">
        <v>2</v>
      </c>
      <c r="C87" s="13">
        <f t="shared" ref="C87:C99" si="31">SUM(F87:Q87)</f>
        <v>13.7784299795</v>
      </c>
      <c r="D87" s="8">
        <f>Modeloutput!C175</f>
        <v>0</v>
      </c>
      <c r="E87" s="8">
        <f>Modeloutput!D175</f>
        <v>13.77843</v>
      </c>
      <c r="F87" s="8">
        <f>Modeloutput!E175</f>
        <v>0</v>
      </c>
      <c r="G87" s="8">
        <f>Modeloutput!F175</f>
        <v>0</v>
      </c>
      <c r="H87" s="8">
        <f>Modeloutput!G175</f>
        <v>4.0729379500000003E-2</v>
      </c>
      <c r="I87" s="8">
        <f>Modeloutput!H175</f>
        <v>0</v>
      </c>
      <c r="J87" s="8">
        <f>Modeloutput!I175</f>
        <v>0</v>
      </c>
      <c r="K87" s="8">
        <f>Modeloutput!J175</f>
        <v>0</v>
      </c>
      <c r="L87" s="8">
        <f>Modeloutput!K175</f>
        <v>13.7377006</v>
      </c>
      <c r="M87" s="8">
        <f>Modeloutput!L175</f>
        <v>0</v>
      </c>
      <c r="N87" s="8">
        <f>Modeloutput!M175</f>
        <v>0</v>
      </c>
      <c r="O87" s="8">
        <f>Modeloutput!N175</f>
        <v>0</v>
      </c>
      <c r="P87" s="8">
        <f>Modeloutput!O175</f>
        <v>0</v>
      </c>
      <c r="Q87" s="8">
        <f>Modeloutput!P175</f>
        <v>0</v>
      </c>
      <c r="S87" s="7" t="s">
        <v>2</v>
      </c>
      <c r="T87" s="13">
        <f t="shared" ref="T87:T99" si="32">SUM(W87:AH87)</f>
        <v>9.0834468319999999</v>
      </c>
      <c r="U87" s="8">
        <f>Modeloutput!C430</f>
        <v>0</v>
      </c>
      <c r="V87" s="8">
        <f>Modeloutput!D430</f>
        <v>9.0834468299999997</v>
      </c>
      <c r="W87" s="8">
        <f>Modeloutput!E430</f>
        <v>0</v>
      </c>
      <c r="X87" s="8">
        <f>Modeloutput!F430</f>
        <v>0</v>
      </c>
      <c r="Y87" s="8">
        <f>Modeloutput!G430</f>
        <v>0.28204183199999999</v>
      </c>
      <c r="Z87" s="8">
        <f>Modeloutput!H430</f>
        <v>0</v>
      </c>
      <c r="AA87" s="8">
        <f>Modeloutput!I430</f>
        <v>0</v>
      </c>
      <c r="AB87" s="8">
        <f>Modeloutput!J430</f>
        <v>0</v>
      </c>
      <c r="AC87" s="8">
        <f>Modeloutput!K430</f>
        <v>8.8014050000000008</v>
      </c>
      <c r="AD87" s="8">
        <f>Modeloutput!L430</f>
        <v>0</v>
      </c>
      <c r="AE87" s="8">
        <f>Modeloutput!M430</f>
        <v>0</v>
      </c>
      <c r="AF87" s="8">
        <f>Modeloutput!N430</f>
        <v>0</v>
      </c>
      <c r="AG87" s="8">
        <f>Modeloutput!O430</f>
        <v>0</v>
      </c>
      <c r="AH87" s="8">
        <f>Modeloutput!P430</f>
        <v>0</v>
      </c>
      <c r="AJ87" s="7" t="s">
        <v>2</v>
      </c>
      <c r="AK87" s="13">
        <f t="shared" ref="AK87:AK99" si="33">SUM(AN87:AY87)</f>
        <v>6.8376865559999995</v>
      </c>
      <c r="AL87" s="8">
        <f>Modeloutput!C685</f>
        <v>0</v>
      </c>
      <c r="AM87" s="8">
        <f>Modeloutput!D685</f>
        <v>6.8376865499999999</v>
      </c>
      <c r="AN87" s="8">
        <f>Modeloutput!E685</f>
        <v>0</v>
      </c>
      <c r="AO87" s="8">
        <f>Modeloutput!F685</f>
        <v>0</v>
      </c>
      <c r="AP87" s="8">
        <f>Modeloutput!G685</f>
        <v>0.76044335600000001</v>
      </c>
      <c r="AQ87" s="8">
        <f>Modeloutput!H685</f>
        <v>0</v>
      </c>
      <c r="AR87" s="8">
        <f>Modeloutput!I685</f>
        <v>0</v>
      </c>
      <c r="AS87" s="8">
        <f>Modeloutput!J685</f>
        <v>0</v>
      </c>
      <c r="AT87" s="8">
        <f>Modeloutput!K685</f>
        <v>6.0772431999999998</v>
      </c>
      <c r="AU87" s="8">
        <f>Modeloutput!L685</f>
        <v>0</v>
      </c>
      <c r="AV87" s="8">
        <f>Modeloutput!M685</f>
        <v>0</v>
      </c>
      <c r="AW87" s="8">
        <f>Modeloutput!N685</f>
        <v>0</v>
      </c>
      <c r="AX87" s="8">
        <f>Modeloutput!O685</f>
        <v>0</v>
      </c>
      <c r="AY87" s="8">
        <f>Modeloutput!P685</f>
        <v>0</v>
      </c>
      <c r="BA87" s="7" t="s">
        <v>2</v>
      </c>
      <c r="BB87" s="13">
        <f t="shared" ref="BB87:BB99" si="34">SUM(BE87:BP87)</f>
        <v>78.323644870999999</v>
      </c>
      <c r="BC87" s="8">
        <f>Modeloutput!C940</f>
        <v>0</v>
      </c>
      <c r="BD87" s="8">
        <f>Modeloutput!D940</f>
        <v>78.323644900000005</v>
      </c>
      <c r="BE87" s="8">
        <f>Modeloutput!E940</f>
        <v>54.423800300000003</v>
      </c>
      <c r="BF87" s="8">
        <f>Modeloutput!F940</f>
        <v>2.0829774200000002</v>
      </c>
      <c r="BG87" s="8">
        <f>Modeloutput!G940</f>
        <v>9.9605549399999997</v>
      </c>
      <c r="BH87" s="8">
        <f>Modeloutput!H940</f>
        <v>0.208980211</v>
      </c>
      <c r="BI87" s="8">
        <f>Modeloutput!I940</f>
        <v>0</v>
      </c>
      <c r="BJ87" s="8">
        <f>Modeloutput!J940</f>
        <v>0</v>
      </c>
      <c r="BK87" s="8">
        <f>Modeloutput!K940</f>
        <v>11.647332</v>
      </c>
      <c r="BL87" s="8">
        <f>Modeloutput!L940</f>
        <v>0</v>
      </c>
      <c r="BM87" s="8">
        <f>Modeloutput!M940</f>
        <v>0</v>
      </c>
      <c r="BN87" s="8">
        <f>Modeloutput!N940</f>
        <v>0</v>
      </c>
      <c r="BO87" s="8">
        <f>Modeloutput!O940</f>
        <v>0</v>
      </c>
      <c r="BP87" s="8">
        <f>Modeloutput!P940</f>
        <v>0</v>
      </c>
      <c r="BR87" s="7" t="s">
        <v>2</v>
      </c>
      <c r="BS87" s="13">
        <f t="shared" ref="BS87:BS99" si="35">SUM(BV87:CG87)</f>
        <v>18.161308082268999</v>
      </c>
      <c r="BT87" s="8">
        <f>Modeloutput!C1195</f>
        <v>0</v>
      </c>
      <c r="BU87" s="8">
        <f>Modeloutput!D1195</f>
        <v>18.161308099999999</v>
      </c>
      <c r="BV87" s="8">
        <f>Modeloutput!E1195</f>
        <v>0</v>
      </c>
      <c r="BW87" s="8">
        <f>Modeloutput!F1195</f>
        <v>0</v>
      </c>
      <c r="BX87" s="8">
        <f>Modeloutput!G1195</f>
        <v>0</v>
      </c>
      <c r="BY87" s="8">
        <f>Modeloutput!H1195</f>
        <v>0</v>
      </c>
      <c r="BZ87" s="8">
        <f>Modeloutput!I1195</f>
        <v>0</v>
      </c>
      <c r="CA87" s="8">
        <f>Modeloutput!J1195</f>
        <v>0</v>
      </c>
      <c r="CB87" s="8">
        <f>Modeloutput!K1195</f>
        <v>18.16114</v>
      </c>
      <c r="CC87" s="8">
        <f>Modeloutput!L1195</f>
        <v>1.6808226899999999E-4</v>
      </c>
      <c r="CD87" s="8">
        <f>Modeloutput!M1195</f>
        <v>0</v>
      </c>
      <c r="CE87" s="8">
        <f>Modeloutput!N1195</f>
        <v>0</v>
      </c>
      <c r="CF87" s="8">
        <f>Modeloutput!O1195</f>
        <v>0</v>
      </c>
      <c r="CG87" s="8">
        <f>Modeloutput!P1195</f>
        <v>0</v>
      </c>
    </row>
    <row r="88" spans="1:85" s="7" customFormat="1" x14ac:dyDescent="0.25">
      <c r="B88" s="7" t="s">
        <v>3</v>
      </c>
      <c r="C88" s="13">
        <f t="shared" si="31"/>
        <v>67.164155067500005</v>
      </c>
      <c r="D88" s="8">
        <f>Modeloutput!C176</f>
        <v>0</v>
      </c>
      <c r="E88" s="8">
        <f>Modeloutput!D176</f>
        <v>67.164155100000002</v>
      </c>
      <c r="F88" s="8">
        <f>Modeloutput!E176</f>
        <v>43.5529741</v>
      </c>
      <c r="G88" s="8">
        <f>Modeloutput!F176</f>
        <v>0.160650342</v>
      </c>
      <c r="H88" s="8">
        <f>Modeloutput!G176</f>
        <v>8.7286698299999994</v>
      </c>
      <c r="I88" s="8">
        <f>Modeloutput!H176</f>
        <v>3.2610595499999999E-2</v>
      </c>
      <c r="J88" s="8">
        <f>Modeloutput!I176</f>
        <v>0</v>
      </c>
      <c r="K88" s="8">
        <f>Modeloutput!J176</f>
        <v>0</v>
      </c>
      <c r="L88" s="8">
        <f>Modeloutput!K176</f>
        <v>6.0595447599999996</v>
      </c>
      <c r="M88" s="8">
        <f>Modeloutput!L176</f>
        <v>0</v>
      </c>
      <c r="N88" s="8">
        <f>Modeloutput!M176</f>
        <v>0</v>
      </c>
      <c r="O88" s="8">
        <f>Modeloutput!N176</f>
        <v>0</v>
      </c>
      <c r="P88" s="8">
        <f>Modeloutput!O176</f>
        <v>0</v>
      </c>
      <c r="Q88" s="8">
        <f>Modeloutput!P176</f>
        <v>8.6297054400000004</v>
      </c>
      <c r="S88" s="7" t="s">
        <v>3</v>
      </c>
      <c r="T88" s="13">
        <f t="shared" si="32"/>
        <v>62.663851758200003</v>
      </c>
      <c r="U88" s="8">
        <f>Modeloutput!C431</f>
        <v>0</v>
      </c>
      <c r="V88" s="8">
        <f>Modeloutput!D431</f>
        <v>62.663851800000003</v>
      </c>
      <c r="W88" s="8">
        <f>Modeloutput!E431</f>
        <v>39.7226</v>
      </c>
      <c r="X88" s="8">
        <f>Modeloutput!F431</f>
        <v>0.189233295</v>
      </c>
      <c r="Y88" s="8">
        <f>Modeloutput!G431</f>
        <v>10.8632919</v>
      </c>
      <c r="Z88" s="8">
        <f>Modeloutput!H431</f>
        <v>3.9576973199999997E-2</v>
      </c>
      <c r="AA88" s="8">
        <f>Modeloutput!I431</f>
        <v>0</v>
      </c>
      <c r="AB88" s="8">
        <f>Modeloutput!J431</f>
        <v>0</v>
      </c>
      <c r="AC88" s="8">
        <f>Modeloutput!K431</f>
        <v>3.7250657899999999</v>
      </c>
      <c r="AD88" s="8">
        <f>Modeloutput!L431</f>
        <v>0</v>
      </c>
      <c r="AE88" s="8">
        <f>Modeloutput!M431</f>
        <v>0</v>
      </c>
      <c r="AF88" s="8">
        <f>Modeloutput!N431</f>
        <v>0</v>
      </c>
      <c r="AG88" s="8">
        <f>Modeloutput!O431</f>
        <v>0</v>
      </c>
      <c r="AH88" s="8">
        <f>Modeloutput!P431</f>
        <v>8.1240837999999993</v>
      </c>
      <c r="AJ88" s="7" t="s">
        <v>3</v>
      </c>
      <c r="AK88" s="13">
        <f t="shared" si="33"/>
        <v>48.3373017033</v>
      </c>
      <c r="AL88" s="8">
        <f>Modeloutput!C686</f>
        <v>0</v>
      </c>
      <c r="AM88" s="8">
        <f>Modeloutput!D686</f>
        <v>48.337301699999998</v>
      </c>
      <c r="AN88" s="8">
        <f>Modeloutput!E686</f>
        <v>6.2507944499999999</v>
      </c>
      <c r="AO88" s="8">
        <f>Modeloutput!F686</f>
        <v>0.121993029</v>
      </c>
      <c r="AP88" s="8">
        <f>Modeloutput!G686</f>
        <v>2.40855518</v>
      </c>
      <c r="AQ88" s="8">
        <f>Modeloutput!H686</f>
        <v>3.2096424300000002E-2</v>
      </c>
      <c r="AR88" s="8">
        <f>Modeloutput!I686</f>
        <v>0</v>
      </c>
      <c r="AS88" s="8">
        <f>Modeloutput!J686</f>
        <v>0</v>
      </c>
      <c r="AT88" s="8">
        <f>Modeloutput!K686</f>
        <v>2.5939873200000001</v>
      </c>
      <c r="AU88" s="8">
        <f>Modeloutput!L686</f>
        <v>0</v>
      </c>
      <c r="AV88" s="8">
        <f>Modeloutput!M686</f>
        <v>0</v>
      </c>
      <c r="AW88" s="8">
        <f>Modeloutput!N686</f>
        <v>0</v>
      </c>
      <c r="AX88" s="8">
        <f>Modeloutput!O686</f>
        <v>0</v>
      </c>
      <c r="AY88" s="8">
        <f>Modeloutput!P686</f>
        <v>36.929875299999999</v>
      </c>
      <c r="BA88" s="7" t="s">
        <v>3</v>
      </c>
      <c r="BB88" s="13">
        <f t="shared" si="34"/>
        <v>40.043230190000003</v>
      </c>
      <c r="BC88" s="8">
        <f>Modeloutput!C941</f>
        <v>0</v>
      </c>
      <c r="BD88" s="8">
        <f>Modeloutput!D941</f>
        <v>40.043230200000004</v>
      </c>
      <c r="BE88" s="8">
        <f>Modeloutput!E941</f>
        <v>0</v>
      </c>
      <c r="BF88" s="8">
        <f>Modeloutput!F941</f>
        <v>0</v>
      </c>
      <c r="BG88" s="8">
        <f>Modeloutput!G941</f>
        <v>0</v>
      </c>
      <c r="BH88" s="8">
        <f>Modeloutput!H941</f>
        <v>0</v>
      </c>
      <c r="BI88" s="8">
        <f>Modeloutput!I941</f>
        <v>0</v>
      </c>
      <c r="BJ88" s="8">
        <f>Modeloutput!J941</f>
        <v>0</v>
      </c>
      <c r="BK88" s="8">
        <f>Modeloutput!K941</f>
        <v>5.0681900899999999</v>
      </c>
      <c r="BL88" s="8">
        <f>Modeloutput!L941</f>
        <v>0</v>
      </c>
      <c r="BM88" s="8">
        <f>Modeloutput!M941</f>
        <v>0</v>
      </c>
      <c r="BN88" s="8">
        <f>Modeloutput!N941</f>
        <v>0</v>
      </c>
      <c r="BO88" s="8">
        <f>Modeloutput!O941</f>
        <v>0</v>
      </c>
      <c r="BP88" s="8">
        <f>Modeloutput!P941</f>
        <v>34.975040100000001</v>
      </c>
      <c r="BR88" s="7" t="s">
        <v>3</v>
      </c>
      <c r="BS88" s="13">
        <f t="shared" si="35"/>
        <v>46.003417204690003</v>
      </c>
      <c r="BT88" s="8">
        <f>Modeloutput!C1196</f>
        <v>0</v>
      </c>
      <c r="BU88" s="8">
        <f>Modeloutput!D1196</f>
        <v>46.003417200000001</v>
      </c>
      <c r="BV88" s="8">
        <f>Modeloutput!E1196</f>
        <v>0.15164973200000001</v>
      </c>
      <c r="BW88" s="8">
        <f>Modeloutput!F1196</f>
        <v>4.9902737900000002E-3</v>
      </c>
      <c r="BX88" s="8">
        <f>Modeloutput!G1196</f>
        <v>2.36674789E-2</v>
      </c>
      <c r="BY88" s="8">
        <f>Modeloutput!H1196</f>
        <v>0</v>
      </c>
      <c r="BZ88" s="8">
        <f>Modeloutput!I1196</f>
        <v>0</v>
      </c>
      <c r="CA88" s="8">
        <f>Modeloutput!J1196</f>
        <v>0</v>
      </c>
      <c r="CB88" s="8">
        <f>Modeloutput!K1196</f>
        <v>7.4155935599999996</v>
      </c>
      <c r="CC88" s="8">
        <f>Modeloutput!L1196</f>
        <v>3.4364493600000001</v>
      </c>
      <c r="CD88" s="8">
        <f>Modeloutput!M1196</f>
        <v>0</v>
      </c>
      <c r="CE88" s="8">
        <f>Modeloutput!N1196</f>
        <v>0</v>
      </c>
      <c r="CF88" s="8">
        <f>Modeloutput!O1196</f>
        <v>0</v>
      </c>
      <c r="CG88" s="8">
        <f>Modeloutput!P1196</f>
        <v>34.971066800000003</v>
      </c>
    </row>
    <row r="89" spans="1:85" s="7" customFormat="1" x14ac:dyDescent="0.25">
      <c r="B89" s="7" t="s">
        <v>4</v>
      </c>
      <c r="C89" s="13">
        <f t="shared" si="31"/>
        <v>136.41492185000001</v>
      </c>
      <c r="D89" s="8">
        <f>Modeloutput!C177</f>
        <v>0</v>
      </c>
      <c r="E89" s="8">
        <f>Modeloutput!D177</f>
        <v>136.41492199999999</v>
      </c>
      <c r="F89" s="8">
        <f>Modeloutput!E177</f>
        <v>70.165140100000002</v>
      </c>
      <c r="G89" s="8">
        <f>Modeloutput!F177</f>
        <v>11.3600032</v>
      </c>
      <c r="H89" s="8">
        <f>Modeloutput!G177</f>
        <v>55.951275799999998</v>
      </c>
      <c r="I89" s="8">
        <f>Modeloutput!H177</f>
        <v>2.5383908800000001</v>
      </c>
      <c r="J89" s="8">
        <f>Modeloutput!I177</f>
        <v>0</v>
      </c>
      <c r="K89" s="8">
        <f>Modeloutput!J177</f>
        <v>0</v>
      </c>
      <c r="L89" s="8">
        <f>Modeloutput!K177</f>
        <v>0</v>
      </c>
      <c r="M89" s="8">
        <f>Modeloutput!L177</f>
        <v>0</v>
      </c>
      <c r="N89" s="8">
        <f>Modeloutput!M177</f>
        <v>2.5186273899999998</v>
      </c>
      <c r="O89" s="8">
        <f>Modeloutput!N177</f>
        <v>0</v>
      </c>
      <c r="P89" s="8">
        <f>Modeloutput!O177</f>
        <v>0</v>
      </c>
      <c r="Q89" s="8">
        <f>Modeloutput!P177</f>
        <v>-6.1185155199999999</v>
      </c>
      <c r="S89" s="7" t="s">
        <v>4</v>
      </c>
      <c r="T89" s="13">
        <f t="shared" si="32"/>
        <v>136.40224265000001</v>
      </c>
      <c r="U89" s="8">
        <f>Modeloutput!C432</f>
        <v>0</v>
      </c>
      <c r="V89" s="8">
        <f>Modeloutput!D432</f>
        <v>136.402243</v>
      </c>
      <c r="W89" s="8">
        <f>Modeloutput!E432</f>
        <v>70.165140100000002</v>
      </c>
      <c r="X89" s="8">
        <f>Modeloutput!F432</f>
        <v>11.3600032</v>
      </c>
      <c r="Y89" s="8">
        <f>Modeloutput!G432</f>
        <v>55.988255299999999</v>
      </c>
      <c r="Z89" s="8">
        <f>Modeloutput!H432</f>
        <v>2.5383908800000001</v>
      </c>
      <c r="AA89" s="8">
        <f>Modeloutput!I432</f>
        <v>0</v>
      </c>
      <c r="AB89" s="8">
        <f>Modeloutput!J432</f>
        <v>0</v>
      </c>
      <c r="AC89" s="8">
        <f>Modeloutput!K432</f>
        <v>0</v>
      </c>
      <c r="AD89" s="8">
        <f>Modeloutput!L432</f>
        <v>0</v>
      </c>
      <c r="AE89" s="8">
        <f>Modeloutput!M432</f>
        <v>2.4731846700000002</v>
      </c>
      <c r="AF89" s="8">
        <f>Modeloutput!N432</f>
        <v>0</v>
      </c>
      <c r="AG89" s="8">
        <f>Modeloutput!O432</f>
        <v>0</v>
      </c>
      <c r="AH89" s="8">
        <f>Modeloutput!P432</f>
        <v>-6.1227315000000004</v>
      </c>
      <c r="AJ89" s="7" t="s">
        <v>4</v>
      </c>
      <c r="AK89" s="13">
        <f t="shared" si="33"/>
        <v>150.65615286999997</v>
      </c>
      <c r="AL89" s="8">
        <f>Modeloutput!C687</f>
        <v>0</v>
      </c>
      <c r="AM89" s="8">
        <f>Modeloutput!D687</f>
        <v>150.65615299999999</v>
      </c>
      <c r="AN89" s="8">
        <f>Modeloutput!E687</f>
        <v>70.165140100000002</v>
      </c>
      <c r="AO89" s="8">
        <f>Modeloutput!F687</f>
        <v>11.3600032</v>
      </c>
      <c r="AP89" s="8">
        <f>Modeloutput!G687</f>
        <v>54.6897728</v>
      </c>
      <c r="AQ89" s="8">
        <f>Modeloutput!H687</f>
        <v>2.5312764099999998</v>
      </c>
      <c r="AR89" s="8">
        <f>Modeloutput!I687</f>
        <v>0</v>
      </c>
      <c r="AS89" s="8">
        <f>Modeloutput!J687</f>
        <v>0</v>
      </c>
      <c r="AT89" s="8">
        <f>Modeloutput!K687</f>
        <v>0</v>
      </c>
      <c r="AU89" s="8">
        <f>Modeloutput!L687</f>
        <v>0</v>
      </c>
      <c r="AV89" s="8">
        <f>Modeloutput!M687</f>
        <v>17.537620100000002</v>
      </c>
      <c r="AW89" s="8">
        <f>Modeloutput!N687</f>
        <v>0</v>
      </c>
      <c r="AX89" s="8">
        <f>Modeloutput!O687</f>
        <v>0</v>
      </c>
      <c r="AY89" s="8">
        <f>Modeloutput!P687</f>
        <v>-5.6276597400000004</v>
      </c>
      <c r="BA89" s="7" t="s">
        <v>4</v>
      </c>
      <c r="BB89" s="13">
        <f t="shared" si="34"/>
        <v>143.76858258999999</v>
      </c>
      <c r="BC89" s="8">
        <f>Modeloutput!C942</f>
        <v>0</v>
      </c>
      <c r="BD89" s="8">
        <f>Modeloutput!D942</f>
        <v>143.76858300000001</v>
      </c>
      <c r="BE89" s="8">
        <f>Modeloutput!E942</f>
        <v>77.250410200000005</v>
      </c>
      <c r="BF89" s="8">
        <f>Modeloutput!F942</f>
        <v>12.3812011</v>
      </c>
      <c r="BG89" s="8">
        <f>Modeloutput!G942</f>
        <v>57.691937199999998</v>
      </c>
      <c r="BH89" s="8">
        <f>Modeloutput!H942</f>
        <v>2.8887239600000001</v>
      </c>
      <c r="BI89" s="8">
        <f>Modeloutput!I942</f>
        <v>0</v>
      </c>
      <c r="BJ89" s="8">
        <f>Modeloutput!J942</f>
        <v>0</v>
      </c>
      <c r="BK89" s="8">
        <f>Modeloutput!K942</f>
        <v>0</v>
      </c>
      <c r="BL89" s="8">
        <f>Modeloutput!L942</f>
        <v>0</v>
      </c>
      <c r="BM89" s="8">
        <f>Modeloutput!M942</f>
        <v>0</v>
      </c>
      <c r="BN89" s="8">
        <f>Modeloutput!N942</f>
        <v>0</v>
      </c>
      <c r="BO89" s="8">
        <f>Modeloutput!O942</f>
        <v>0</v>
      </c>
      <c r="BP89" s="8">
        <f>Modeloutput!P942</f>
        <v>-6.44368987</v>
      </c>
      <c r="BR89" s="7" t="s">
        <v>4</v>
      </c>
      <c r="BS89" s="13">
        <f t="shared" si="35"/>
        <v>134.25517053479999</v>
      </c>
      <c r="BT89" s="8">
        <f>Modeloutput!C1197</f>
        <v>0</v>
      </c>
      <c r="BU89" s="8">
        <f>Modeloutput!D1197</f>
        <v>134.25517099999999</v>
      </c>
      <c r="BV89" s="8">
        <f>Modeloutput!E1197</f>
        <v>70.165140100000002</v>
      </c>
      <c r="BW89" s="8">
        <f>Modeloutput!F1197</f>
        <v>11.3600032</v>
      </c>
      <c r="BX89" s="8">
        <f>Modeloutput!G1197</f>
        <v>56.144135599999998</v>
      </c>
      <c r="BY89" s="8">
        <f>Modeloutput!H1197</f>
        <v>2.79249897</v>
      </c>
      <c r="BZ89" s="8">
        <f>Modeloutput!I1197</f>
        <v>0</v>
      </c>
      <c r="CA89" s="8">
        <f>Modeloutput!J1197</f>
        <v>0</v>
      </c>
      <c r="CB89" s="8">
        <f>Modeloutput!K1197</f>
        <v>0</v>
      </c>
      <c r="CC89" s="8">
        <f>Modeloutput!L1197</f>
        <v>0</v>
      </c>
      <c r="CD89" s="8">
        <f>Modeloutput!M1197</f>
        <v>2.3454884799999999E-2</v>
      </c>
      <c r="CE89" s="8">
        <f>Modeloutput!N1197</f>
        <v>0</v>
      </c>
      <c r="CF89" s="8">
        <f>Modeloutput!O1197</f>
        <v>0</v>
      </c>
      <c r="CG89" s="8">
        <f>Modeloutput!P1197</f>
        <v>-6.2300622199999998</v>
      </c>
    </row>
    <row r="90" spans="1:85" s="7" customFormat="1" x14ac:dyDescent="0.25">
      <c r="B90" s="7" t="s">
        <v>5</v>
      </c>
      <c r="C90" s="8">
        <f t="shared" si="31"/>
        <v>67.521380872000009</v>
      </c>
      <c r="D90" s="8">
        <f>Modeloutput!C178</f>
        <v>66.781367700000004</v>
      </c>
      <c r="E90" s="8">
        <f>Modeloutput!D178</f>
        <v>0.74001322300000005</v>
      </c>
      <c r="F90" s="8">
        <f>Modeloutput!E178</f>
        <v>29.3254181</v>
      </c>
      <c r="G90" s="8">
        <f>Modeloutput!F178</f>
        <v>4.9131758400000001</v>
      </c>
      <c r="H90" s="8">
        <f>Modeloutput!G178</f>
        <v>32.865479999999998</v>
      </c>
      <c r="I90" s="8">
        <f>Modeloutput!H178</f>
        <v>0.41730693200000002</v>
      </c>
      <c r="J90" s="8">
        <f>Modeloutput!I178</f>
        <v>0</v>
      </c>
      <c r="K90" s="8">
        <f>Modeloutput!J178</f>
        <v>0</v>
      </c>
      <c r="L90" s="8">
        <f>Modeloutput!K178</f>
        <v>0</v>
      </c>
      <c r="M90" s="8">
        <f>Modeloutput!L178</f>
        <v>0</v>
      </c>
      <c r="N90" s="8">
        <f>Modeloutput!M178</f>
        <v>0</v>
      </c>
      <c r="O90" s="8">
        <f>Modeloutput!N178</f>
        <v>0</v>
      </c>
      <c r="P90" s="8">
        <f>Modeloutput!O178</f>
        <v>0</v>
      </c>
      <c r="Q90" s="8">
        <f>Modeloutput!P178</f>
        <v>0</v>
      </c>
      <c r="S90" s="7" t="s">
        <v>5</v>
      </c>
      <c r="T90" s="8">
        <f t="shared" si="32"/>
        <v>46.032024548000003</v>
      </c>
      <c r="U90" s="8">
        <f>Modeloutput!C433</f>
        <v>50.508915199999997</v>
      </c>
      <c r="V90" s="8">
        <f>Modeloutput!D433</f>
        <v>-4.4768905500000002</v>
      </c>
      <c r="W90" s="8">
        <f>Modeloutput!E433</f>
        <v>26.071112800000002</v>
      </c>
      <c r="X90" s="8">
        <f>Modeloutput!F433</f>
        <v>4.9698063699999997</v>
      </c>
      <c r="Y90" s="8">
        <f>Modeloutput!G433</f>
        <v>14.584304400000001</v>
      </c>
      <c r="Z90" s="8">
        <f>Modeloutput!H433</f>
        <v>0.40680097799999998</v>
      </c>
      <c r="AA90" s="8">
        <f>Modeloutput!I433</f>
        <v>0</v>
      </c>
      <c r="AB90" s="8">
        <f>Modeloutput!J433</f>
        <v>0</v>
      </c>
      <c r="AC90" s="8">
        <f>Modeloutput!K433</f>
        <v>0</v>
      </c>
      <c r="AD90" s="8">
        <f>Modeloutput!L433</f>
        <v>0</v>
      </c>
      <c r="AE90" s="8">
        <f>Modeloutput!M433</f>
        <v>0</v>
      </c>
      <c r="AF90" s="8">
        <f>Modeloutput!N433</f>
        <v>0</v>
      </c>
      <c r="AG90" s="8">
        <f>Modeloutput!O433</f>
        <v>0</v>
      </c>
      <c r="AH90" s="8">
        <f>Modeloutput!P433</f>
        <v>0</v>
      </c>
      <c r="AJ90" s="7" t="s">
        <v>5</v>
      </c>
      <c r="AK90" s="8">
        <f t="shared" si="33"/>
        <v>38.432802903999999</v>
      </c>
      <c r="AL90" s="8">
        <f>Modeloutput!C688</f>
        <v>46.957018400000003</v>
      </c>
      <c r="AM90" s="8">
        <f>Modeloutput!D688</f>
        <v>-8.5242153900000002</v>
      </c>
      <c r="AN90" s="8">
        <f>Modeloutput!E688</f>
        <v>20.313536299999999</v>
      </c>
      <c r="AO90" s="8">
        <f>Modeloutput!F688</f>
        <v>5.1616030200000003</v>
      </c>
      <c r="AP90" s="8">
        <f>Modeloutput!G688</f>
        <v>12.5484797</v>
      </c>
      <c r="AQ90" s="8">
        <f>Modeloutput!H688</f>
        <v>0.409183884</v>
      </c>
      <c r="AR90" s="8">
        <f>Modeloutput!I688</f>
        <v>0</v>
      </c>
      <c r="AS90" s="8">
        <f>Modeloutput!J688</f>
        <v>0</v>
      </c>
      <c r="AT90" s="8">
        <f>Modeloutput!K688</f>
        <v>0</v>
      </c>
      <c r="AU90" s="8">
        <f>Modeloutput!L688</f>
        <v>0</v>
      </c>
      <c r="AV90" s="8">
        <f>Modeloutput!M688</f>
        <v>0</v>
      </c>
      <c r="AW90" s="8">
        <f>Modeloutput!N688</f>
        <v>0</v>
      </c>
      <c r="AX90" s="8">
        <f>Modeloutput!O688</f>
        <v>0</v>
      </c>
      <c r="AY90" s="8">
        <f>Modeloutput!P688</f>
        <v>0</v>
      </c>
      <c r="BA90" s="7" t="s">
        <v>5</v>
      </c>
      <c r="BB90" s="8">
        <f t="shared" si="34"/>
        <v>55.197818933999997</v>
      </c>
      <c r="BC90" s="8">
        <f>Modeloutput!C943</f>
        <v>57.054181100000001</v>
      </c>
      <c r="BD90" s="8">
        <f>Modeloutput!D943</f>
        <v>-1.8563621699999999</v>
      </c>
      <c r="BE90" s="8">
        <f>Modeloutput!E943</f>
        <v>28.563512299999999</v>
      </c>
      <c r="BF90" s="8">
        <f>Modeloutput!F943</f>
        <v>4.9264393999999996</v>
      </c>
      <c r="BG90" s="8">
        <f>Modeloutput!G943</f>
        <v>21.305279599999999</v>
      </c>
      <c r="BH90" s="8">
        <f>Modeloutput!H943</f>
        <v>0.40258763400000003</v>
      </c>
      <c r="BI90" s="8">
        <f>Modeloutput!I943</f>
        <v>0</v>
      </c>
      <c r="BJ90" s="8">
        <f>Modeloutput!J943</f>
        <v>0</v>
      </c>
      <c r="BK90" s="8">
        <f>Modeloutput!K943</f>
        <v>0</v>
      </c>
      <c r="BL90" s="8">
        <f>Modeloutput!L943</f>
        <v>0</v>
      </c>
      <c r="BM90" s="8">
        <f>Modeloutput!M943</f>
        <v>0</v>
      </c>
      <c r="BN90" s="8">
        <f>Modeloutput!N943</f>
        <v>0</v>
      </c>
      <c r="BO90" s="8">
        <f>Modeloutput!O943</f>
        <v>0</v>
      </c>
      <c r="BP90" s="8">
        <f>Modeloutput!P943</f>
        <v>0</v>
      </c>
      <c r="BR90" s="7" t="s">
        <v>5</v>
      </c>
      <c r="BS90" s="8">
        <f t="shared" si="35"/>
        <v>235.43308784999999</v>
      </c>
      <c r="BT90" s="8">
        <f>Modeloutput!C1198</f>
        <v>134.28677200000001</v>
      </c>
      <c r="BU90" s="8">
        <f>Modeloutput!D1198</f>
        <v>101.146316</v>
      </c>
      <c r="BV90" s="8">
        <f>Modeloutput!E1198</f>
        <v>151.97590299999999</v>
      </c>
      <c r="BW90" s="8">
        <f>Modeloutput!F1198</f>
        <v>20.2088611</v>
      </c>
      <c r="BX90" s="8">
        <f>Modeloutput!G1198</f>
        <v>61.875527900000002</v>
      </c>
      <c r="BY90" s="8">
        <f>Modeloutput!H1198</f>
        <v>1.3727958499999999</v>
      </c>
      <c r="BZ90" s="8">
        <f>Modeloutput!I1198</f>
        <v>0</v>
      </c>
      <c r="CA90" s="8">
        <f>Modeloutput!J1198</f>
        <v>0</v>
      </c>
      <c r="CB90" s="8">
        <f>Modeloutput!K1198</f>
        <v>0</v>
      </c>
      <c r="CC90" s="8">
        <f>Modeloutput!L1198</f>
        <v>0</v>
      </c>
      <c r="CD90" s="8">
        <f>Modeloutput!M1198</f>
        <v>0</v>
      </c>
      <c r="CE90" s="8">
        <f>Modeloutput!N1198</f>
        <v>0</v>
      </c>
      <c r="CF90" s="8">
        <f>Modeloutput!O1198</f>
        <v>0</v>
      </c>
      <c r="CG90" s="8">
        <f>Modeloutput!P1198</f>
        <v>0</v>
      </c>
    </row>
    <row r="91" spans="1:85" s="7" customFormat="1" x14ac:dyDescent="0.25">
      <c r="B91" s="7" t="s">
        <v>6</v>
      </c>
      <c r="C91" s="8">
        <f t="shared" si="31"/>
        <v>0</v>
      </c>
      <c r="D91" s="8">
        <f>Modeloutput!C179</f>
        <v>0</v>
      </c>
      <c r="E91" s="8">
        <f>Modeloutput!D179</f>
        <v>0</v>
      </c>
      <c r="F91" s="8">
        <f>Modeloutput!E179</f>
        <v>0</v>
      </c>
      <c r="G91" s="8">
        <f>Modeloutput!F179</f>
        <v>0</v>
      </c>
      <c r="H91" s="8">
        <f>Modeloutput!G179</f>
        <v>0</v>
      </c>
      <c r="I91" s="8">
        <f>Modeloutput!H179</f>
        <v>0</v>
      </c>
      <c r="J91" s="8">
        <f>Modeloutput!I179</f>
        <v>0</v>
      </c>
      <c r="K91" s="8">
        <f>Modeloutput!J179</f>
        <v>0</v>
      </c>
      <c r="L91" s="8">
        <f>Modeloutput!K179</f>
        <v>0</v>
      </c>
      <c r="M91" s="8">
        <f>Modeloutput!L179</f>
        <v>0</v>
      </c>
      <c r="N91" s="8">
        <f>Modeloutput!M179</f>
        <v>0</v>
      </c>
      <c r="O91" s="8">
        <f>Modeloutput!N179</f>
        <v>0</v>
      </c>
      <c r="P91" s="8">
        <f>Modeloutput!O179</f>
        <v>0</v>
      </c>
      <c r="Q91" s="8">
        <f>Modeloutput!P179</f>
        <v>0</v>
      </c>
      <c r="S91" s="7" t="s">
        <v>6</v>
      </c>
      <c r="T91" s="8">
        <f t="shared" si="32"/>
        <v>0</v>
      </c>
      <c r="U91" s="8">
        <f>Modeloutput!C434</f>
        <v>0</v>
      </c>
      <c r="V91" s="8">
        <f>Modeloutput!D434</f>
        <v>0</v>
      </c>
      <c r="W91" s="8">
        <f>Modeloutput!E434</f>
        <v>0</v>
      </c>
      <c r="X91" s="8">
        <f>Modeloutput!F434</f>
        <v>0</v>
      </c>
      <c r="Y91" s="8">
        <f>Modeloutput!G434</f>
        <v>0</v>
      </c>
      <c r="Z91" s="8">
        <f>Modeloutput!H434</f>
        <v>0</v>
      </c>
      <c r="AA91" s="8">
        <f>Modeloutput!I434</f>
        <v>0</v>
      </c>
      <c r="AB91" s="8">
        <f>Modeloutput!J434</f>
        <v>0</v>
      </c>
      <c r="AC91" s="8">
        <f>Modeloutput!K434</f>
        <v>0</v>
      </c>
      <c r="AD91" s="8">
        <f>Modeloutput!L434</f>
        <v>0</v>
      </c>
      <c r="AE91" s="8">
        <f>Modeloutput!M434</f>
        <v>0</v>
      </c>
      <c r="AF91" s="8">
        <f>Modeloutput!N434</f>
        <v>0</v>
      </c>
      <c r="AG91" s="8">
        <f>Modeloutput!O434</f>
        <v>0</v>
      </c>
      <c r="AH91" s="8">
        <f>Modeloutput!P434</f>
        <v>0</v>
      </c>
      <c r="AJ91" s="7" t="s">
        <v>6</v>
      </c>
      <c r="AK91" s="8">
        <f t="shared" si="33"/>
        <v>0</v>
      </c>
      <c r="AL91" s="8">
        <f>Modeloutput!C689</f>
        <v>0</v>
      </c>
      <c r="AM91" s="8">
        <f>Modeloutput!D689</f>
        <v>0</v>
      </c>
      <c r="AN91" s="8">
        <f>Modeloutput!E689</f>
        <v>0</v>
      </c>
      <c r="AO91" s="8">
        <f>Modeloutput!F689</f>
        <v>0</v>
      </c>
      <c r="AP91" s="8">
        <f>Modeloutput!G689</f>
        <v>0</v>
      </c>
      <c r="AQ91" s="8">
        <f>Modeloutput!H689</f>
        <v>0</v>
      </c>
      <c r="AR91" s="8">
        <f>Modeloutput!I689</f>
        <v>0</v>
      </c>
      <c r="AS91" s="8">
        <f>Modeloutput!J689</f>
        <v>0</v>
      </c>
      <c r="AT91" s="8">
        <f>Modeloutput!K689</f>
        <v>0</v>
      </c>
      <c r="AU91" s="8">
        <f>Modeloutput!L689</f>
        <v>0</v>
      </c>
      <c r="AV91" s="8">
        <f>Modeloutput!M689</f>
        <v>0</v>
      </c>
      <c r="AW91" s="8">
        <f>Modeloutput!N689</f>
        <v>0</v>
      </c>
      <c r="AX91" s="8">
        <f>Modeloutput!O689</f>
        <v>0</v>
      </c>
      <c r="AY91" s="8">
        <f>Modeloutput!P689</f>
        <v>0</v>
      </c>
      <c r="BA91" s="7" t="s">
        <v>6</v>
      </c>
      <c r="BB91" s="8">
        <f t="shared" si="34"/>
        <v>0</v>
      </c>
      <c r="BC91" s="8">
        <f>Modeloutput!C944</f>
        <v>0</v>
      </c>
      <c r="BD91" s="8">
        <f>Modeloutput!D944</f>
        <v>0</v>
      </c>
      <c r="BE91" s="8">
        <f>Modeloutput!E944</f>
        <v>0</v>
      </c>
      <c r="BF91" s="8">
        <f>Modeloutput!F944</f>
        <v>0</v>
      </c>
      <c r="BG91" s="8">
        <f>Modeloutput!G944</f>
        <v>0</v>
      </c>
      <c r="BH91" s="8">
        <f>Modeloutput!H944</f>
        <v>0</v>
      </c>
      <c r="BI91" s="8">
        <f>Modeloutput!I944</f>
        <v>0</v>
      </c>
      <c r="BJ91" s="8">
        <f>Modeloutput!J944</f>
        <v>0</v>
      </c>
      <c r="BK91" s="8">
        <f>Modeloutput!K944</f>
        <v>0</v>
      </c>
      <c r="BL91" s="8">
        <f>Modeloutput!L944</f>
        <v>0</v>
      </c>
      <c r="BM91" s="8">
        <f>Modeloutput!M944</f>
        <v>0</v>
      </c>
      <c r="BN91" s="8">
        <f>Modeloutput!N944</f>
        <v>0</v>
      </c>
      <c r="BO91" s="8">
        <f>Modeloutput!O944</f>
        <v>0</v>
      </c>
      <c r="BP91" s="8">
        <f>Modeloutput!P944</f>
        <v>0</v>
      </c>
      <c r="BR91" s="7" t="s">
        <v>6</v>
      </c>
      <c r="BS91" s="8">
        <f t="shared" si="35"/>
        <v>109.572997794</v>
      </c>
      <c r="BT91" s="8">
        <f>Modeloutput!C1199</f>
        <v>82.132599200000001</v>
      </c>
      <c r="BU91" s="8">
        <f>Modeloutput!D1199</f>
        <v>27.440398600000002</v>
      </c>
      <c r="BV91" s="8">
        <f>Modeloutput!E1199</f>
        <v>81.926983300000003</v>
      </c>
      <c r="BW91" s="8">
        <f>Modeloutput!F1199</f>
        <v>6.9834196200000003</v>
      </c>
      <c r="BX91" s="8">
        <f>Modeloutput!G1199</f>
        <v>19.768613800000001</v>
      </c>
      <c r="BY91" s="8">
        <f>Modeloutput!H1199</f>
        <v>0.89398107400000004</v>
      </c>
      <c r="BZ91" s="8">
        <f>Modeloutput!I1199</f>
        <v>0</v>
      </c>
      <c r="CA91" s="8">
        <f>Modeloutput!J1199</f>
        <v>0</v>
      </c>
      <c r="CB91" s="8">
        <f>Modeloutput!K1199</f>
        <v>0</v>
      </c>
      <c r="CC91" s="8">
        <f>Modeloutput!L1199</f>
        <v>0</v>
      </c>
      <c r="CD91" s="8">
        <f>Modeloutput!M1199</f>
        <v>0</v>
      </c>
      <c r="CE91" s="8">
        <f>Modeloutput!N1199</f>
        <v>0</v>
      </c>
      <c r="CF91" s="8">
        <f>Modeloutput!O1199</f>
        <v>0</v>
      </c>
      <c r="CG91" s="8">
        <f>Modeloutput!P1199</f>
        <v>0</v>
      </c>
    </row>
    <row r="92" spans="1:85" s="7" customFormat="1" x14ac:dyDescent="0.25">
      <c r="B92" s="7" t="s">
        <v>7</v>
      </c>
      <c r="C92" s="8">
        <f t="shared" si="31"/>
        <v>14.249827122999999</v>
      </c>
      <c r="D92" s="8">
        <f>Modeloutput!C180</f>
        <v>11.271517100000001</v>
      </c>
      <c r="E92" s="8">
        <f>Modeloutput!D180</f>
        <v>2.9783099599999998</v>
      </c>
      <c r="F92" s="8">
        <f>Modeloutput!E180</f>
        <v>0</v>
      </c>
      <c r="G92" s="8">
        <f>Modeloutput!F180</f>
        <v>11.7379736</v>
      </c>
      <c r="H92" s="8">
        <f>Modeloutput!G180</f>
        <v>1.69989627</v>
      </c>
      <c r="I92" s="8">
        <f>Modeloutput!H180</f>
        <v>0.81195725299999999</v>
      </c>
      <c r="J92" s="8">
        <f>Modeloutput!I180</f>
        <v>0</v>
      </c>
      <c r="K92" s="8">
        <f>Modeloutput!J180</f>
        <v>0</v>
      </c>
      <c r="L92" s="8">
        <f>Modeloutput!K180</f>
        <v>0</v>
      </c>
      <c r="M92" s="8">
        <f>Modeloutput!L180</f>
        <v>0</v>
      </c>
      <c r="N92" s="8">
        <f>Modeloutput!M180</f>
        <v>0</v>
      </c>
      <c r="O92" s="8">
        <f>Modeloutput!N180</f>
        <v>0</v>
      </c>
      <c r="P92" s="8">
        <f>Modeloutput!O180</f>
        <v>0</v>
      </c>
      <c r="Q92" s="8">
        <f>Modeloutput!P180</f>
        <v>0</v>
      </c>
      <c r="S92" s="7" t="s">
        <v>7</v>
      </c>
      <c r="T92" s="8">
        <f t="shared" si="32"/>
        <v>14.108052011</v>
      </c>
      <c r="U92" s="8">
        <f>Modeloutput!C435</f>
        <v>11.0701649</v>
      </c>
      <c r="V92" s="8">
        <f>Modeloutput!D435</f>
        <v>3.0378871200000002</v>
      </c>
      <c r="W92" s="8">
        <f>Modeloutput!E435</f>
        <v>0</v>
      </c>
      <c r="X92" s="8">
        <f>Modeloutput!F435</f>
        <v>11.6933226</v>
      </c>
      <c r="Y92" s="8">
        <f>Modeloutput!G435</f>
        <v>1.5992471699999999</v>
      </c>
      <c r="Z92" s="8">
        <f>Modeloutput!H435</f>
        <v>0.815482241</v>
      </c>
      <c r="AA92" s="8">
        <f>Modeloutput!I435</f>
        <v>0</v>
      </c>
      <c r="AB92" s="8">
        <f>Modeloutput!J435</f>
        <v>0</v>
      </c>
      <c r="AC92" s="8">
        <f>Modeloutput!K435</f>
        <v>0</v>
      </c>
      <c r="AD92" s="8">
        <f>Modeloutput!L435</f>
        <v>0</v>
      </c>
      <c r="AE92" s="8">
        <f>Modeloutput!M435</f>
        <v>0</v>
      </c>
      <c r="AF92" s="8">
        <f>Modeloutput!N435</f>
        <v>0</v>
      </c>
      <c r="AG92" s="8">
        <f>Modeloutput!O435</f>
        <v>0</v>
      </c>
      <c r="AH92" s="8">
        <f>Modeloutput!P435</f>
        <v>0</v>
      </c>
      <c r="AJ92" s="7" t="s">
        <v>7</v>
      </c>
      <c r="AK92" s="8">
        <f t="shared" si="33"/>
        <v>95.571574572000003</v>
      </c>
      <c r="AL92" s="8">
        <f>Modeloutput!C690</f>
        <v>162.64832799999999</v>
      </c>
      <c r="AM92" s="8">
        <f>Modeloutput!D690</f>
        <v>-67.076753400000001</v>
      </c>
      <c r="AN92" s="8">
        <f>Modeloutput!E690</f>
        <v>63.733814899999999</v>
      </c>
      <c r="AO92" s="8">
        <f>Modeloutput!F690</f>
        <v>12.1036143</v>
      </c>
      <c r="AP92" s="8">
        <f>Modeloutput!G690</f>
        <v>18.8931006</v>
      </c>
      <c r="AQ92" s="8">
        <f>Modeloutput!H690</f>
        <v>0.84104477200000005</v>
      </c>
      <c r="AR92" s="8">
        <f>Modeloutput!I690</f>
        <v>0</v>
      </c>
      <c r="AS92" s="8">
        <f>Modeloutput!J690</f>
        <v>0</v>
      </c>
      <c r="AT92" s="8">
        <f>Modeloutput!K690</f>
        <v>0</v>
      </c>
      <c r="AU92" s="8">
        <f>Modeloutput!L690</f>
        <v>0</v>
      </c>
      <c r="AV92" s="8">
        <f>Modeloutput!M690</f>
        <v>0</v>
      </c>
      <c r="AW92" s="8">
        <f>Modeloutput!N690</f>
        <v>0</v>
      </c>
      <c r="AX92" s="8">
        <f>Modeloutput!O690</f>
        <v>0</v>
      </c>
      <c r="AY92" s="8">
        <f>Modeloutput!P690</f>
        <v>0</v>
      </c>
      <c r="BA92" s="7" t="s">
        <v>7</v>
      </c>
      <c r="BB92" s="8">
        <f t="shared" si="34"/>
        <v>0</v>
      </c>
      <c r="BC92" s="8">
        <f>Modeloutput!C945</f>
        <v>0</v>
      </c>
      <c r="BD92" s="8">
        <f>Modeloutput!D945</f>
        <v>0</v>
      </c>
      <c r="BE92" s="8">
        <f>Modeloutput!E945</f>
        <v>0</v>
      </c>
      <c r="BF92" s="8">
        <f>Modeloutput!F945</f>
        <v>0</v>
      </c>
      <c r="BG92" s="8">
        <f>Modeloutput!G945</f>
        <v>0</v>
      </c>
      <c r="BH92" s="8">
        <f>Modeloutput!H945</f>
        <v>0</v>
      </c>
      <c r="BI92" s="8">
        <f>Modeloutput!I945</f>
        <v>0</v>
      </c>
      <c r="BJ92" s="8">
        <f>Modeloutput!J945</f>
        <v>0</v>
      </c>
      <c r="BK92" s="8">
        <f>Modeloutput!K945</f>
        <v>0</v>
      </c>
      <c r="BL92" s="8">
        <f>Modeloutput!L945</f>
        <v>0</v>
      </c>
      <c r="BM92" s="8">
        <f>Modeloutput!M945</f>
        <v>0</v>
      </c>
      <c r="BN92" s="8">
        <f>Modeloutput!N945</f>
        <v>0</v>
      </c>
      <c r="BO92" s="8">
        <f>Modeloutput!O945</f>
        <v>0</v>
      </c>
      <c r="BP92" s="8">
        <f>Modeloutput!P945</f>
        <v>0</v>
      </c>
      <c r="BR92" s="7" t="s">
        <v>7</v>
      </c>
      <c r="BS92" s="8">
        <f t="shared" si="35"/>
        <v>0.21419496589999998</v>
      </c>
      <c r="BT92" s="8">
        <f>Modeloutput!C1200</f>
        <v>0.17535761599999999</v>
      </c>
      <c r="BU92" s="8">
        <f>Modeloutput!D1200</f>
        <v>3.8837349899999998E-2</v>
      </c>
      <c r="BV92" s="8">
        <f>Modeloutput!E1200</f>
        <v>0</v>
      </c>
      <c r="BW92" s="8">
        <f>Modeloutput!F1200</f>
        <v>0.122582306</v>
      </c>
      <c r="BX92" s="8">
        <f>Modeloutput!G1200</f>
        <v>4.1749461299999999E-2</v>
      </c>
      <c r="BY92" s="8">
        <f>Modeloutput!H1200</f>
        <v>4.9863198599999999E-2</v>
      </c>
      <c r="BZ92" s="8">
        <f>Modeloutput!I1200</f>
        <v>0</v>
      </c>
      <c r="CA92" s="8">
        <f>Modeloutput!J1200</f>
        <v>0</v>
      </c>
      <c r="CB92" s="8">
        <f>Modeloutput!K1200</f>
        <v>0</v>
      </c>
      <c r="CC92" s="8">
        <f>Modeloutput!L1200</f>
        <v>0</v>
      </c>
      <c r="CD92" s="8">
        <f>Modeloutput!M1200</f>
        <v>0</v>
      </c>
      <c r="CE92" s="8">
        <f>Modeloutput!N1200</f>
        <v>0</v>
      </c>
      <c r="CF92" s="8">
        <f>Modeloutput!O1200</f>
        <v>0</v>
      </c>
      <c r="CG92" s="8">
        <f>Modeloutput!P1200</f>
        <v>0</v>
      </c>
    </row>
    <row r="93" spans="1:85" s="7" customFormat="1" x14ac:dyDescent="0.25">
      <c r="B93" s="7" t="s">
        <v>8</v>
      </c>
      <c r="C93" s="8">
        <f t="shared" si="31"/>
        <v>0</v>
      </c>
      <c r="D93" s="8">
        <f>Modeloutput!C181</f>
        <v>0</v>
      </c>
      <c r="E93" s="8">
        <f>Modeloutput!D181</f>
        <v>0</v>
      </c>
      <c r="F93" s="8">
        <f>Modeloutput!E181</f>
        <v>0</v>
      </c>
      <c r="G93" s="8">
        <f>Modeloutput!F181</f>
        <v>0</v>
      </c>
      <c r="H93" s="8">
        <f>Modeloutput!G181</f>
        <v>0</v>
      </c>
      <c r="I93" s="8">
        <f>Modeloutput!H181</f>
        <v>0</v>
      </c>
      <c r="J93" s="8">
        <f>Modeloutput!I181</f>
        <v>0</v>
      </c>
      <c r="K93" s="8">
        <f>Modeloutput!J181</f>
        <v>0</v>
      </c>
      <c r="L93" s="8">
        <f>Modeloutput!K181</f>
        <v>0</v>
      </c>
      <c r="M93" s="8">
        <f>Modeloutput!L181</f>
        <v>0</v>
      </c>
      <c r="N93" s="8">
        <f>Modeloutput!M181</f>
        <v>0</v>
      </c>
      <c r="O93" s="8">
        <f>Modeloutput!N181</f>
        <v>0</v>
      </c>
      <c r="P93" s="8">
        <f>Modeloutput!O181</f>
        <v>0</v>
      </c>
      <c r="Q93" s="8">
        <f>Modeloutput!P181</f>
        <v>0</v>
      </c>
      <c r="S93" s="7" t="s">
        <v>8</v>
      </c>
      <c r="T93" s="8">
        <f t="shared" si="32"/>
        <v>0</v>
      </c>
      <c r="U93" s="8">
        <f>Modeloutput!C436</f>
        <v>0</v>
      </c>
      <c r="V93" s="8">
        <f>Modeloutput!D436</f>
        <v>0</v>
      </c>
      <c r="W93" s="8">
        <f>Modeloutput!E436</f>
        <v>0</v>
      </c>
      <c r="X93" s="8">
        <f>Modeloutput!F436</f>
        <v>0</v>
      </c>
      <c r="Y93" s="8">
        <f>Modeloutput!G436</f>
        <v>0</v>
      </c>
      <c r="Z93" s="8">
        <f>Modeloutput!H436</f>
        <v>0</v>
      </c>
      <c r="AA93" s="8">
        <f>Modeloutput!I436</f>
        <v>0</v>
      </c>
      <c r="AB93" s="8">
        <f>Modeloutput!J436</f>
        <v>0</v>
      </c>
      <c r="AC93" s="8">
        <f>Modeloutput!K436</f>
        <v>0</v>
      </c>
      <c r="AD93" s="8">
        <f>Modeloutput!L436</f>
        <v>0</v>
      </c>
      <c r="AE93" s="8">
        <f>Modeloutput!M436</f>
        <v>0</v>
      </c>
      <c r="AF93" s="8">
        <f>Modeloutput!N436</f>
        <v>0</v>
      </c>
      <c r="AG93" s="8">
        <f>Modeloutput!O436</f>
        <v>0</v>
      </c>
      <c r="AH93" s="8">
        <f>Modeloutput!P436</f>
        <v>0</v>
      </c>
      <c r="AJ93" s="7" t="s">
        <v>8</v>
      </c>
      <c r="AK93" s="8">
        <f t="shared" si="33"/>
        <v>0</v>
      </c>
      <c r="AL93" s="8">
        <f>Modeloutput!C691</f>
        <v>0</v>
      </c>
      <c r="AM93" s="8">
        <f>Modeloutput!D691</f>
        <v>0</v>
      </c>
      <c r="AN93" s="8">
        <f>Modeloutput!E691</f>
        <v>0</v>
      </c>
      <c r="AO93" s="8">
        <f>Modeloutput!F691</f>
        <v>0</v>
      </c>
      <c r="AP93" s="8">
        <f>Modeloutput!G691</f>
        <v>0</v>
      </c>
      <c r="AQ93" s="8">
        <f>Modeloutput!H691</f>
        <v>0</v>
      </c>
      <c r="AR93" s="8">
        <f>Modeloutput!I691</f>
        <v>0</v>
      </c>
      <c r="AS93" s="8">
        <f>Modeloutput!J691</f>
        <v>0</v>
      </c>
      <c r="AT93" s="8">
        <f>Modeloutput!K691</f>
        <v>0</v>
      </c>
      <c r="AU93" s="8">
        <f>Modeloutput!L691</f>
        <v>0</v>
      </c>
      <c r="AV93" s="8">
        <f>Modeloutput!M691</f>
        <v>0</v>
      </c>
      <c r="AW93" s="8">
        <f>Modeloutput!N691</f>
        <v>0</v>
      </c>
      <c r="AX93" s="8">
        <f>Modeloutput!O691</f>
        <v>0</v>
      </c>
      <c r="AY93" s="8">
        <f>Modeloutput!P691</f>
        <v>0</v>
      </c>
      <c r="BA93" s="7" t="s">
        <v>8</v>
      </c>
      <c r="BB93" s="8">
        <f t="shared" si="34"/>
        <v>0</v>
      </c>
      <c r="BC93" s="8">
        <f>Modeloutput!C946</f>
        <v>0</v>
      </c>
      <c r="BD93" s="8">
        <f>Modeloutput!D946</f>
        <v>0</v>
      </c>
      <c r="BE93" s="8">
        <f>Modeloutput!E946</f>
        <v>0</v>
      </c>
      <c r="BF93" s="8">
        <f>Modeloutput!F946</f>
        <v>0</v>
      </c>
      <c r="BG93" s="8">
        <f>Modeloutput!G946</f>
        <v>0</v>
      </c>
      <c r="BH93" s="8">
        <f>Modeloutput!H946</f>
        <v>0</v>
      </c>
      <c r="BI93" s="8">
        <f>Modeloutput!I946</f>
        <v>0</v>
      </c>
      <c r="BJ93" s="8">
        <f>Modeloutput!J946</f>
        <v>0</v>
      </c>
      <c r="BK93" s="8">
        <f>Modeloutput!K946</f>
        <v>0</v>
      </c>
      <c r="BL93" s="8">
        <f>Modeloutput!L946</f>
        <v>0</v>
      </c>
      <c r="BM93" s="8">
        <f>Modeloutput!M946</f>
        <v>0</v>
      </c>
      <c r="BN93" s="8">
        <f>Modeloutput!N946</f>
        <v>0</v>
      </c>
      <c r="BO93" s="8">
        <f>Modeloutput!O946</f>
        <v>0</v>
      </c>
      <c r="BP93" s="8">
        <f>Modeloutput!P946</f>
        <v>0</v>
      </c>
      <c r="BR93" s="7" t="s">
        <v>8</v>
      </c>
      <c r="BS93" s="8">
        <f t="shared" si="35"/>
        <v>0</v>
      </c>
      <c r="BT93" s="8">
        <f>Modeloutput!C1201</f>
        <v>0</v>
      </c>
      <c r="BU93" s="8">
        <f>Modeloutput!D1201</f>
        <v>0</v>
      </c>
      <c r="BV93" s="8">
        <f>Modeloutput!E1201</f>
        <v>0</v>
      </c>
      <c r="BW93" s="8">
        <f>Modeloutput!F1201</f>
        <v>0</v>
      </c>
      <c r="BX93" s="8">
        <f>Modeloutput!G1201</f>
        <v>0</v>
      </c>
      <c r="BY93" s="8">
        <f>Modeloutput!H1201</f>
        <v>0</v>
      </c>
      <c r="BZ93" s="8">
        <f>Modeloutput!I1201</f>
        <v>0</v>
      </c>
      <c r="CA93" s="8">
        <f>Modeloutput!J1201</f>
        <v>0</v>
      </c>
      <c r="CB93" s="8">
        <f>Modeloutput!K1201</f>
        <v>0</v>
      </c>
      <c r="CC93" s="8">
        <f>Modeloutput!L1201</f>
        <v>0</v>
      </c>
      <c r="CD93" s="8">
        <f>Modeloutput!M1201</f>
        <v>0</v>
      </c>
      <c r="CE93" s="8">
        <f>Modeloutput!N1201</f>
        <v>0</v>
      </c>
      <c r="CF93" s="8">
        <f>Modeloutput!O1201</f>
        <v>0</v>
      </c>
      <c r="CG93" s="8">
        <f>Modeloutput!P1201</f>
        <v>0</v>
      </c>
    </row>
    <row r="94" spans="1:85" s="7" customFormat="1" x14ac:dyDescent="0.25">
      <c r="B94" s="7" t="s">
        <v>9</v>
      </c>
      <c r="C94" s="8">
        <f t="shared" si="31"/>
        <v>0</v>
      </c>
      <c r="D94" s="8">
        <f>Modeloutput!C182</f>
        <v>0</v>
      </c>
      <c r="E94" s="8">
        <f>Modeloutput!D182</f>
        <v>0</v>
      </c>
      <c r="F94" s="8">
        <f>Modeloutput!E182</f>
        <v>0</v>
      </c>
      <c r="G94" s="8">
        <f>Modeloutput!F182</f>
        <v>0</v>
      </c>
      <c r="H94" s="8">
        <f>Modeloutput!G182</f>
        <v>0</v>
      </c>
      <c r="I94" s="8">
        <f>Modeloutput!H182</f>
        <v>0</v>
      </c>
      <c r="J94" s="8">
        <f>Modeloutput!I182</f>
        <v>0</v>
      </c>
      <c r="K94" s="8">
        <f>Modeloutput!J182</f>
        <v>0</v>
      </c>
      <c r="L94" s="8">
        <f>Modeloutput!K182</f>
        <v>0</v>
      </c>
      <c r="M94" s="8">
        <f>Modeloutput!L182</f>
        <v>0</v>
      </c>
      <c r="N94" s="8">
        <f>Modeloutput!M182</f>
        <v>0</v>
      </c>
      <c r="O94" s="8">
        <f>Modeloutput!N182</f>
        <v>0</v>
      </c>
      <c r="P94" s="8">
        <f>Modeloutput!O182</f>
        <v>0</v>
      </c>
      <c r="Q94" s="8">
        <f>Modeloutput!P182</f>
        <v>0</v>
      </c>
      <c r="S94" s="7" t="s">
        <v>9</v>
      </c>
      <c r="T94" s="8">
        <f t="shared" si="32"/>
        <v>0</v>
      </c>
      <c r="U94" s="8">
        <f>Modeloutput!C437</f>
        <v>0</v>
      </c>
      <c r="V94" s="8">
        <f>Modeloutput!D437</f>
        <v>0</v>
      </c>
      <c r="W94" s="8">
        <f>Modeloutput!E437</f>
        <v>0</v>
      </c>
      <c r="X94" s="8">
        <f>Modeloutput!F437</f>
        <v>0</v>
      </c>
      <c r="Y94" s="8">
        <f>Modeloutput!G437</f>
        <v>0</v>
      </c>
      <c r="Z94" s="8">
        <f>Modeloutput!H437</f>
        <v>0</v>
      </c>
      <c r="AA94" s="8">
        <f>Modeloutput!I437</f>
        <v>0</v>
      </c>
      <c r="AB94" s="8">
        <f>Modeloutput!J437</f>
        <v>0</v>
      </c>
      <c r="AC94" s="8">
        <f>Modeloutput!K437</f>
        <v>0</v>
      </c>
      <c r="AD94" s="8">
        <f>Modeloutput!L437</f>
        <v>0</v>
      </c>
      <c r="AE94" s="8">
        <f>Modeloutput!M437</f>
        <v>0</v>
      </c>
      <c r="AF94" s="8">
        <f>Modeloutput!N437</f>
        <v>0</v>
      </c>
      <c r="AG94" s="8">
        <f>Modeloutput!O437</f>
        <v>0</v>
      </c>
      <c r="AH94" s="8">
        <f>Modeloutput!P437</f>
        <v>0</v>
      </c>
      <c r="AJ94" s="7" t="s">
        <v>9</v>
      </c>
      <c r="AK94" s="8">
        <f t="shared" si="33"/>
        <v>0</v>
      </c>
      <c r="AL94" s="8">
        <f>Modeloutput!C692</f>
        <v>0</v>
      </c>
      <c r="AM94" s="8">
        <f>Modeloutput!D692</f>
        <v>0</v>
      </c>
      <c r="AN94" s="8">
        <f>Modeloutput!E692</f>
        <v>0</v>
      </c>
      <c r="AO94" s="8">
        <f>Modeloutput!F692</f>
        <v>0</v>
      </c>
      <c r="AP94" s="8">
        <f>Modeloutput!G692</f>
        <v>0</v>
      </c>
      <c r="AQ94" s="8">
        <f>Modeloutput!H692</f>
        <v>0</v>
      </c>
      <c r="AR94" s="8">
        <f>Modeloutput!I692</f>
        <v>0</v>
      </c>
      <c r="AS94" s="8">
        <f>Modeloutput!J692</f>
        <v>0</v>
      </c>
      <c r="AT94" s="8">
        <f>Modeloutput!K692</f>
        <v>0</v>
      </c>
      <c r="AU94" s="8">
        <f>Modeloutput!L692</f>
        <v>0</v>
      </c>
      <c r="AV94" s="8">
        <f>Modeloutput!M692</f>
        <v>0</v>
      </c>
      <c r="AW94" s="8">
        <f>Modeloutput!N692</f>
        <v>0</v>
      </c>
      <c r="AX94" s="8">
        <f>Modeloutput!O692</f>
        <v>0</v>
      </c>
      <c r="AY94" s="8">
        <f>Modeloutput!P692</f>
        <v>0</v>
      </c>
      <c r="BA94" s="7" t="s">
        <v>9</v>
      </c>
      <c r="BB94" s="8">
        <f t="shared" si="34"/>
        <v>0</v>
      </c>
      <c r="BC94" s="8">
        <f>Modeloutput!C947</f>
        <v>0</v>
      </c>
      <c r="BD94" s="8">
        <f>Modeloutput!D947</f>
        <v>0</v>
      </c>
      <c r="BE94" s="8">
        <f>Modeloutput!E947</f>
        <v>0</v>
      </c>
      <c r="BF94" s="8">
        <f>Modeloutput!F947</f>
        <v>0</v>
      </c>
      <c r="BG94" s="8">
        <f>Modeloutput!G947</f>
        <v>0</v>
      </c>
      <c r="BH94" s="8">
        <f>Modeloutput!H947</f>
        <v>0</v>
      </c>
      <c r="BI94" s="8">
        <f>Modeloutput!I947</f>
        <v>0</v>
      </c>
      <c r="BJ94" s="8">
        <f>Modeloutput!J947</f>
        <v>0</v>
      </c>
      <c r="BK94" s="8">
        <f>Modeloutput!K947</f>
        <v>0</v>
      </c>
      <c r="BL94" s="8">
        <f>Modeloutput!L947</f>
        <v>0</v>
      </c>
      <c r="BM94" s="8">
        <f>Modeloutput!M947</f>
        <v>0</v>
      </c>
      <c r="BN94" s="8">
        <f>Modeloutput!N947</f>
        <v>0</v>
      </c>
      <c r="BO94" s="8">
        <f>Modeloutput!O947</f>
        <v>0</v>
      </c>
      <c r="BP94" s="8">
        <f>Modeloutput!P947</f>
        <v>0</v>
      </c>
      <c r="BR94" s="7" t="s">
        <v>9</v>
      </c>
      <c r="BS94" s="8">
        <f t="shared" si="35"/>
        <v>0</v>
      </c>
      <c r="BT94" s="8">
        <f>Modeloutput!C1202</f>
        <v>0</v>
      </c>
      <c r="BU94" s="8">
        <f>Modeloutput!D1202</f>
        <v>0</v>
      </c>
      <c r="BV94" s="8">
        <f>Modeloutput!E1202</f>
        <v>0</v>
      </c>
      <c r="BW94" s="8">
        <f>Modeloutput!F1202</f>
        <v>0</v>
      </c>
      <c r="BX94" s="8">
        <f>Modeloutput!G1202</f>
        <v>0</v>
      </c>
      <c r="BY94" s="8">
        <f>Modeloutput!H1202</f>
        <v>0</v>
      </c>
      <c r="BZ94" s="8">
        <f>Modeloutput!I1202</f>
        <v>0</v>
      </c>
      <c r="CA94" s="8">
        <f>Modeloutput!J1202</f>
        <v>0</v>
      </c>
      <c r="CB94" s="8">
        <f>Modeloutput!K1202</f>
        <v>0</v>
      </c>
      <c r="CC94" s="8">
        <f>Modeloutput!L1202</f>
        <v>0</v>
      </c>
      <c r="CD94" s="8">
        <f>Modeloutput!M1202</f>
        <v>0</v>
      </c>
      <c r="CE94" s="8">
        <f>Modeloutput!N1202</f>
        <v>0</v>
      </c>
      <c r="CF94" s="8">
        <f>Modeloutput!O1202</f>
        <v>0</v>
      </c>
      <c r="CG94" s="8">
        <f>Modeloutput!P1202</f>
        <v>0</v>
      </c>
    </row>
    <row r="95" spans="1:85" s="7" customFormat="1" x14ac:dyDescent="0.25">
      <c r="B95" s="7" t="s">
        <v>10</v>
      </c>
      <c r="C95" s="13">
        <f t="shared" si="31"/>
        <v>25.452173197699999</v>
      </c>
      <c r="D95" s="8">
        <f>Modeloutput!C183</f>
        <v>0</v>
      </c>
      <c r="E95" s="8">
        <f>Modeloutput!D183</f>
        <v>25.452173200000001</v>
      </c>
      <c r="F95" s="8">
        <f>Modeloutput!E183</f>
        <v>0</v>
      </c>
      <c r="G95" s="8">
        <f>Modeloutput!F183</f>
        <v>-1.9417500000000001</v>
      </c>
      <c r="H95" s="8">
        <f>Modeloutput!G183</f>
        <v>2.26422511E-2</v>
      </c>
      <c r="I95" s="8">
        <f>Modeloutput!H183</f>
        <v>0</v>
      </c>
      <c r="J95" s="8">
        <f>Modeloutput!I183</f>
        <v>0</v>
      </c>
      <c r="K95" s="8">
        <f>Modeloutput!J183</f>
        <v>0</v>
      </c>
      <c r="L95" s="8">
        <f>Modeloutput!K183</f>
        <v>27.3362455</v>
      </c>
      <c r="M95" s="8">
        <f>Modeloutput!L183</f>
        <v>0</v>
      </c>
      <c r="N95" s="8">
        <f>Modeloutput!M183</f>
        <v>3.5035446599999999E-2</v>
      </c>
      <c r="O95" s="8">
        <f>Modeloutput!N183</f>
        <v>0</v>
      </c>
      <c r="P95" s="8">
        <f>Modeloutput!O183</f>
        <v>0</v>
      </c>
      <c r="Q95" s="8">
        <f>Modeloutput!P183</f>
        <v>0</v>
      </c>
      <c r="S95" s="7" t="s">
        <v>10</v>
      </c>
      <c r="T95" s="13">
        <f t="shared" si="32"/>
        <v>21.663261222599999</v>
      </c>
      <c r="U95" s="8">
        <f>Modeloutput!C438</f>
        <v>0</v>
      </c>
      <c r="V95" s="8">
        <f>Modeloutput!D438</f>
        <v>21.663261200000001</v>
      </c>
      <c r="W95" s="8">
        <f>Modeloutput!E438</f>
        <v>0</v>
      </c>
      <c r="X95" s="8">
        <f>Modeloutput!F438</f>
        <v>-1.9257500000000001</v>
      </c>
      <c r="Y95" s="8">
        <f>Modeloutput!G438</f>
        <v>0.15679251799999999</v>
      </c>
      <c r="Z95" s="8">
        <f>Modeloutput!H438</f>
        <v>0</v>
      </c>
      <c r="AA95" s="8">
        <f>Modeloutput!I438</f>
        <v>0</v>
      </c>
      <c r="AB95" s="8">
        <f>Modeloutput!J438</f>
        <v>0</v>
      </c>
      <c r="AC95" s="8">
        <f>Modeloutput!K438</f>
        <v>23.398102399999999</v>
      </c>
      <c r="AD95" s="8">
        <f>Modeloutput!L438</f>
        <v>0</v>
      </c>
      <c r="AE95" s="8">
        <f>Modeloutput!M438</f>
        <v>3.4116304600000001E-2</v>
      </c>
      <c r="AF95" s="8">
        <f>Modeloutput!N438</f>
        <v>0</v>
      </c>
      <c r="AG95" s="8">
        <f>Modeloutput!O438</f>
        <v>0</v>
      </c>
      <c r="AH95" s="8">
        <f>Modeloutput!P438</f>
        <v>0</v>
      </c>
      <c r="AJ95" s="7" t="s">
        <v>10</v>
      </c>
      <c r="AK95" s="13">
        <f t="shared" si="33"/>
        <v>2.8152266300000015</v>
      </c>
      <c r="AL95" s="8">
        <f>Modeloutput!C693</f>
        <v>0</v>
      </c>
      <c r="AM95" s="8">
        <f>Modeloutput!D693</f>
        <v>2.8152266500000001</v>
      </c>
      <c r="AN95" s="8">
        <f>Modeloutput!E693</f>
        <v>-20.432749999999999</v>
      </c>
      <c r="AO95" s="8">
        <f>Modeloutput!F693</f>
        <v>-1.9672499999999999</v>
      </c>
      <c r="AP95" s="8">
        <f>Modeloutput!G693</f>
        <v>0.42274519300000002</v>
      </c>
      <c r="AQ95" s="8">
        <f>Modeloutput!H693</f>
        <v>0</v>
      </c>
      <c r="AR95" s="8">
        <f>Modeloutput!I693</f>
        <v>0</v>
      </c>
      <c r="AS95" s="8">
        <f>Modeloutput!J693</f>
        <v>0</v>
      </c>
      <c r="AT95" s="8">
        <f>Modeloutput!K693</f>
        <v>24.399829799999999</v>
      </c>
      <c r="AU95" s="8">
        <f>Modeloutput!L693</f>
        <v>0</v>
      </c>
      <c r="AV95" s="8">
        <f>Modeloutput!M693</f>
        <v>0.392651637</v>
      </c>
      <c r="AW95" s="8">
        <f>Modeloutput!N693</f>
        <v>0</v>
      </c>
      <c r="AX95" s="8">
        <f>Modeloutput!O693</f>
        <v>0</v>
      </c>
      <c r="AY95" s="8">
        <f>Modeloutput!P693</f>
        <v>0</v>
      </c>
      <c r="BA95" s="7" t="s">
        <v>10</v>
      </c>
      <c r="BB95" s="13">
        <f t="shared" si="34"/>
        <v>61.466483788000005</v>
      </c>
      <c r="BC95" s="8">
        <f>Modeloutput!C948</f>
        <v>0</v>
      </c>
      <c r="BD95" s="8">
        <f>Modeloutput!D948</f>
        <v>61.466483799999999</v>
      </c>
      <c r="BE95" s="8">
        <f>Modeloutput!E948</f>
        <v>30.255244900000001</v>
      </c>
      <c r="BF95" s="8">
        <f>Modeloutput!F948</f>
        <v>1.1579675</v>
      </c>
      <c r="BG95" s="8">
        <f>Modeloutput!G948</f>
        <v>5.5372654399999996</v>
      </c>
      <c r="BH95" s="8">
        <f>Modeloutput!H948</f>
        <v>0.11617614800000001</v>
      </c>
      <c r="BI95" s="8">
        <f>Modeloutput!I948</f>
        <v>0</v>
      </c>
      <c r="BJ95" s="8">
        <f>Modeloutput!J948</f>
        <v>0</v>
      </c>
      <c r="BK95" s="8">
        <f>Modeloutput!K948</f>
        <v>24.399829799999999</v>
      </c>
      <c r="BL95" s="8">
        <f>Modeloutput!L948</f>
        <v>0</v>
      </c>
      <c r="BM95" s="8">
        <f>Modeloutput!M948</f>
        <v>0</v>
      </c>
      <c r="BN95" s="8">
        <f>Modeloutput!N948</f>
        <v>0</v>
      </c>
      <c r="BO95" s="8">
        <f>Modeloutput!O948</f>
        <v>0</v>
      </c>
      <c r="BP95" s="8">
        <f>Modeloutput!P948</f>
        <v>0</v>
      </c>
      <c r="BR95" s="7" t="s">
        <v>10</v>
      </c>
      <c r="BS95" s="13">
        <f t="shared" si="35"/>
        <v>71.467714168499995</v>
      </c>
      <c r="BT95" s="8">
        <f>Modeloutput!C1203</f>
        <v>0</v>
      </c>
      <c r="BU95" s="8">
        <f>Modeloutput!D1203</f>
        <v>71.467714099999995</v>
      </c>
      <c r="BV95" s="8">
        <f>Modeloutput!E1203</f>
        <v>0</v>
      </c>
      <c r="BW95" s="8">
        <f>Modeloutput!F1203</f>
        <v>-1.2999999999999999E-2</v>
      </c>
      <c r="BX95" s="8">
        <f>Modeloutput!G1203</f>
        <v>0</v>
      </c>
      <c r="BY95" s="8">
        <f>Modeloutput!H1203</f>
        <v>0</v>
      </c>
      <c r="BZ95" s="8">
        <f>Modeloutput!I1203</f>
        <v>0</v>
      </c>
      <c r="CA95" s="8">
        <f>Modeloutput!J1203</f>
        <v>0</v>
      </c>
      <c r="CB95" s="8">
        <f>Modeloutput!K1203</f>
        <v>48.534378599999997</v>
      </c>
      <c r="CC95" s="8">
        <f>Modeloutput!L1203</f>
        <v>22.945903399999999</v>
      </c>
      <c r="CD95" s="8">
        <f>Modeloutput!M1203</f>
        <v>4.3216849999999998E-4</v>
      </c>
      <c r="CE95" s="8">
        <f>Modeloutput!N1203</f>
        <v>0</v>
      </c>
      <c r="CF95" s="8">
        <f>Modeloutput!O1203</f>
        <v>0</v>
      </c>
      <c r="CG95" s="8">
        <f>Modeloutput!P1203</f>
        <v>0</v>
      </c>
    </row>
    <row r="96" spans="1:85" s="7" customFormat="1" x14ac:dyDescent="0.25">
      <c r="B96" s="7" t="s">
        <v>11</v>
      </c>
      <c r="C96" s="13">
        <f t="shared" si="31"/>
        <v>3.4795888895999996</v>
      </c>
      <c r="D96" s="8">
        <f>Modeloutput!C184</f>
        <v>0</v>
      </c>
      <c r="E96" s="8">
        <f>Modeloutput!D184</f>
        <v>3.47958889</v>
      </c>
      <c r="F96" s="8">
        <f>Modeloutput!E184</f>
        <v>1.5906518199999999</v>
      </c>
      <c r="G96" s="8">
        <f>Modeloutput!F184</f>
        <v>0.23763541899999999</v>
      </c>
      <c r="H96" s="8">
        <f>Modeloutput!G184</f>
        <v>1.4850662299999999</v>
      </c>
      <c r="I96" s="8">
        <f>Modeloutput!H184</f>
        <v>7.38907543E-2</v>
      </c>
      <c r="J96" s="8">
        <f>Modeloutput!I184</f>
        <v>0</v>
      </c>
      <c r="K96" s="8">
        <f>Modeloutput!J184</f>
        <v>0</v>
      </c>
      <c r="L96" s="8">
        <f>Modeloutput!K184</f>
        <v>0</v>
      </c>
      <c r="M96" s="8">
        <f>Modeloutput!L184</f>
        <v>0</v>
      </c>
      <c r="N96" s="8">
        <f>Modeloutput!M184</f>
        <v>9.2344666300000003E-2</v>
      </c>
      <c r="O96" s="8">
        <f>Modeloutput!N184</f>
        <v>0</v>
      </c>
      <c r="P96" s="8">
        <f>Modeloutput!O184</f>
        <v>0</v>
      </c>
      <c r="Q96" s="8">
        <f>Modeloutput!P184</f>
        <v>0</v>
      </c>
      <c r="S96" s="7" t="s">
        <v>11</v>
      </c>
      <c r="T96" s="13">
        <f t="shared" si="32"/>
        <v>3.4792621535000001</v>
      </c>
      <c r="U96" s="8">
        <f>Modeloutput!C439</f>
        <v>0</v>
      </c>
      <c r="V96" s="8">
        <f>Modeloutput!D439</f>
        <v>3.4792621499999998</v>
      </c>
      <c r="W96" s="8">
        <f>Modeloutput!E439</f>
        <v>1.5906518199999999</v>
      </c>
      <c r="X96" s="8">
        <f>Modeloutput!F439</f>
        <v>0.23763541899999999</v>
      </c>
      <c r="Y96" s="8">
        <f>Modeloutput!G439</f>
        <v>1.4864071999999999</v>
      </c>
      <c r="Z96" s="8">
        <f>Modeloutput!H439</f>
        <v>7.38907543E-2</v>
      </c>
      <c r="AA96" s="8">
        <f>Modeloutput!I439</f>
        <v>0</v>
      </c>
      <c r="AB96" s="8">
        <f>Modeloutput!J439</f>
        <v>0</v>
      </c>
      <c r="AC96" s="8">
        <f>Modeloutput!K439</f>
        <v>0</v>
      </c>
      <c r="AD96" s="8">
        <f>Modeloutput!L439</f>
        <v>0</v>
      </c>
      <c r="AE96" s="8">
        <f>Modeloutput!M439</f>
        <v>9.0676960200000004E-2</v>
      </c>
      <c r="AF96" s="8">
        <f>Modeloutput!N439</f>
        <v>0</v>
      </c>
      <c r="AG96" s="8">
        <f>Modeloutput!O439</f>
        <v>0</v>
      </c>
      <c r="AH96" s="8">
        <f>Modeloutput!P439</f>
        <v>0</v>
      </c>
      <c r="AJ96" s="7" t="s">
        <v>11</v>
      </c>
      <c r="AK96" s="13">
        <f t="shared" si="33"/>
        <v>4.0935336810000003</v>
      </c>
      <c r="AL96" s="8">
        <f>Modeloutput!C694</f>
        <v>0</v>
      </c>
      <c r="AM96" s="8">
        <f>Modeloutput!D694</f>
        <v>4.0935336800000002</v>
      </c>
      <c r="AN96" s="8">
        <f>Modeloutput!E694</f>
        <v>1.5906518199999999</v>
      </c>
      <c r="AO96" s="8">
        <f>Modeloutput!F694</f>
        <v>0.23763541899999999</v>
      </c>
      <c r="AP96" s="8">
        <f>Modeloutput!G694</f>
        <v>1.43804591</v>
      </c>
      <c r="AQ96" s="8">
        <f>Modeloutput!H694</f>
        <v>7.3621811999999995E-2</v>
      </c>
      <c r="AR96" s="8">
        <f>Modeloutput!I694</f>
        <v>0</v>
      </c>
      <c r="AS96" s="8">
        <f>Modeloutput!J694</f>
        <v>0</v>
      </c>
      <c r="AT96" s="8">
        <f>Modeloutput!K694</f>
        <v>0</v>
      </c>
      <c r="AU96" s="8">
        <f>Modeloutput!L694</f>
        <v>0</v>
      </c>
      <c r="AV96" s="8">
        <f>Modeloutput!M694</f>
        <v>0.75357872000000004</v>
      </c>
      <c r="AW96" s="8">
        <f>Modeloutput!N694</f>
        <v>0</v>
      </c>
      <c r="AX96" s="8">
        <f>Modeloutput!O694</f>
        <v>0</v>
      </c>
      <c r="AY96" s="8">
        <f>Modeloutput!P694</f>
        <v>0</v>
      </c>
      <c r="BA96" s="7" t="s">
        <v>11</v>
      </c>
      <c r="BB96" s="13">
        <f t="shared" si="34"/>
        <v>3.8239715059000003</v>
      </c>
      <c r="BC96" s="8">
        <f>Modeloutput!C949</f>
        <v>0</v>
      </c>
      <c r="BD96" s="8">
        <f>Modeloutput!D949</f>
        <v>3.8239715099999998</v>
      </c>
      <c r="BE96" s="8">
        <f>Modeloutput!E949</f>
        <v>1.91270955</v>
      </c>
      <c r="BF96" s="8">
        <f>Modeloutput!F949</f>
        <v>0.275217932</v>
      </c>
      <c r="BG96" s="8">
        <f>Modeloutput!G949</f>
        <v>1.5492970100000001</v>
      </c>
      <c r="BH96" s="8">
        <f>Modeloutput!H949</f>
        <v>8.6747013900000003E-2</v>
      </c>
      <c r="BI96" s="8">
        <f>Modeloutput!I949</f>
        <v>0</v>
      </c>
      <c r="BJ96" s="8">
        <f>Modeloutput!J949</f>
        <v>0</v>
      </c>
      <c r="BK96" s="8">
        <f>Modeloutput!K949</f>
        <v>0</v>
      </c>
      <c r="BL96" s="8">
        <f>Modeloutput!L949</f>
        <v>0</v>
      </c>
      <c r="BM96" s="8">
        <f>Modeloutput!M949</f>
        <v>0</v>
      </c>
      <c r="BN96" s="8">
        <f>Modeloutput!N949</f>
        <v>0</v>
      </c>
      <c r="BO96" s="8">
        <f>Modeloutput!O949</f>
        <v>0</v>
      </c>
      <c r="BP96" s="8">
        <f>Modeloutput!P949</f>
        <v>0</v>
      </c>
      <c r="BR96" s="7" t="s">
        <v>11</v>
      </c>
      <c r="BS96" s="13">
        <f t="shared" si="35"/>
        <v>3.4045098260239999</v>
      </c>
      <c r="BT96" s="8">
        <f>Modeloutput!C1204</f>
        <v>0</v>
      </c>
      <c r="BU96" s="8">
        <f>Modeloutput!D1204</f>
        <v>3.4045098299999998</v>
      </c>
      <c r="BV96" s="8">
        <f>Modeloutput!E1204</f>
        <v>1.5906518199999999</v>
      </c>
      <c r="BW96" s="8">
        <f>Modeloutput!F1204</f>
        <v>0.23763541899999999</v>
      </c>
      <c r="BX96" s="8">
        <f>Modeloutput!G1204</f>
        <v>1.4921845499999999</v>
      </c>
      <c r="BY96" s="8">
        <f>Modeloutput!H1204</f>
        <v>8.3215821600000003E-2</v>
      </c>
      <c r="BZ96" s="8">
        <f>Modeloutput!I1204</f>
        <v>0</v>
      </c>
      <c r="CA96" s="8">
        <f>Modeloutput!J1204</f>
        <v>0</v>
      </c>
      <c r="CB96" s="8">
        <f>Modeloutput!K1204</f>
        <v>0</v>
      </c>
      <c r="CC96" s="8">
        <f>Modeloutput!L1204</f>
        <v>0</v>
      </c>
      <c r="CD96" s="8">
        <f>Modeloutput!M1204</f>
        <v>8.2221542399999999E-4</v>
      </c>
      <c r="CE96" s="8">
        <f>Modeloutput!N1204</f>
        <v>0</v>
      </c>
      <c r="CF96" s="8">
        <f>Modeloutput!O1204</f>
        <v>0</v>
      </c>
      <c r="CG96" s="8">
        <f>Modeloutput!P1204</f>
        <v>0</v>
      </c>
    </row>
    <row r="97" spans="1:85" s="7" customFormat="1" x14ac:dyDescent="0.25">
      <c r="B97" s="7" t="s">
        <v>12</v>
      </c>
      <c r="C97" s="14">
        <f t="shared" si="31"/>
        <v>76.073027664000008</v>
      </c>
      <c r="D97" s="8">
        <f>Modeloutput!C185</f>
        <v>2.5111899200000001</v>
      </c>
      <c r="E97" s="8">
        <f>Modeloutput!D185</f>
        <v>73.561837699999998</v>
      </c>
      <c r="F97" s="8">
        <f>Modeloutput!E185</f>
        <v>57.897280100000003</v>
      </c>
      <c r="G97" s="8">
        <f>Modeloutput!F185</f>
        <v>0.80600626799999997</v>
      </c>
      <c r="H97" s="8">
        <f>Modeloutput!G185</f>
        <v>11.765344900000001</v>
      </c>
      <c r="I97" s="8">
        <f>Modeloutput!H185</f>
        <v>0.23166683299999999</v>
      </c>
      <c r="J97" s="8">
        <f>Modeloutput!I185</f>
        <v>0</v>
      </c>
      <c r="K97" s="8">
        <f>Modeloutput!J185</f>
        <v>0</v>
      </c>
      <c r="L97" s="8">
        <f>Modeloutput!K185</f>
        <v>5.0276657599999997</v>
      </c>
      <c r="M97" s="8">
        <f>Modeloutput!L185</f>
        <v>0</v>
      </c>
      <c r="N97" s="8">
        <f>Modeloutput!M185</f>
        <v>0.345063803</v>
      </c>
      <c r="O97" s="8">
        <f>Modeloutput!N185</f>
        <v>0</v>
      </c>
      <c r="P97" s="8">
        <f>Modeloutput!O185</f>
        <v>0</v>
      </c>
      <c r="Q97" s="8">
        <f>Modeloutput!P185</f>
        <v>0</v>
      </c>
      <c r="S97" s="7" t="s">
        <v>12</v>
      </c>
      <c r="T97" s="14">
        <f t="shared" si="32"/>
        <v>70.369427802999994</v>
      </c>
      <c r="U97" s="8">
        <f>Modeloutput!C440</f>
        <v>2.0013522899999998</v>
      </c>
      <c r="V97" s="8">
        <f>Modeloutput!D440</f>
        <v>68.368075500000003</v>
      </c>
      <c r="W97" s="8">
        <f>Modeloutput!E440</f>
        <v>54.680672299999998</v>
      </c>
      <c r="X97" s="8">
        <f>Modeloutput!F440</f>
        <v>0.81741666300000004</v>
      </c>
      <c r="Y97" s="8">
        <f>Modeloutput!G440</f>
        <v>11.206355800000001</v>
      </c>
      <c r="Z97" s="8">
        <f>Modeloutput!H440</f>
        <v>0.23420613000000001</v>
      </c>
      <c r="AA97" s="8">
        <f>Modeloutput!I440</f>
        <v>0</v>
      </c>
      <c r="AB97" s="8">
        <f>Modeloutput!J440</f>
        <v>0</v>
      </c>
      <c r="AC97" s="8">
        <f>Modeloutput!K440</f>
        <v>3.0907248799999998</v>
      </c>
      <c r="AD97" s="8">
        <f>Modeloutput!L440</f>
        <v>0</v>
      </c>
      <c r="AE97" s="8">
        <f>Modeloutput!M440</f>
        <v>0.34005203000000001</v>
      </c>
      <c r="AF97" s="8">
        <f>Modeloutput!N440</f>
        <v>0</v>
      </c>
      <c r="AG97" s="8">
        <f>Modeloutput!O440</f>
        <v>0</v>
      </c>
      <c r="AH97" s="8">
        <f>Modeloutput!P440</f>
        <v>0</v>
      </c>
      <c r="AJ97" s="7" t="s">
        <v>12</v>
      </c>
      <c r="AK97" s="14">
        <f t="shared" si="33"/>
        <v>64.719765167999995</v>
      </c>
      <c r="AL97" s="8">
        <f>Modeloutput!C695</f>
        <v>31.3022156</v>
      </c>
      <c r="AM97" s="8">
        <f>Modeloutput!D695</f>
        <v>33.417549600000001</v>
      </c>
      <c r="AN97" s="8">
        <f>Modeloutput!E695</f>
        <v>39.198862599999998</v>
      </c>
      <c r="AO97" s="8">
        <f>Modeloutput!F695</f>
        <v>0.78992372399999999</v>
      </c>
      <c r="AP97" s="8">
        <f>Modeloutput!G695</f>
        <v>8.2352713200000007</v>
      </c>
      <c r="AQ97" s="8">
        <f>Modeloutput!H695</f>
        <v>0.23148142399999999</v>
      </c>
      <c r="AR97" s="8">
        <f>Modeloutput!I695</f>
        <v>0</v>
      </c>
      <c r="AS97" s="8">
        <f>Modeloutput!J695</f>
        <v>0</v>
      </c>
      <c r="AT97" s="8">
        <f>Modeloutput!K695</f>
        <v>2.1522576</v>
      </c>
      <c r="AU97" s="8">
        <f>Modeloutput!L695</f>
        <v>0</v>
      </c>
      <c r="AV97" s="8">
        <f>Modeloutput!M695</f>
        <v>14.1119685</v>
      </c>
      <c r="AW97" s="8">
        <f>Modeloutput!N695</f>
        <v>0</v>
      </c>
      <c r="AX97" s="8">
        <f>Modeloutput!O695</f>
        <v>0</v>
      </c>
      <c r="AY97" s="8">
        <f>Modeloutput!P695</f>
        <v>0</v>
      </c>
      <c r="BA97" s="7" t="s">
        <v>12</v>
      </c>
      <c r="BB97" s="14">
        <f t="shared" si="34"/>
        <v>57.401851930999996</v>
      </c>
      <c r="BC97" s="8">
        <f>Modeloutput!C950</f>
        <v>28.531350199999999</v>
      </c>
      <c r="BD97" s="8">
        <f>Modeloutput!D950</f>
        <v>28.8705018</v>
      </c>
      <c r="BE97" s="8">
        <f>Modeloutput!E950</f>
        <v>43.992319700000003</v>
      </c>
      <c r="BF97" s="8">
        <f>Modeloutput!F950</f>
        <v>0.84434452900000001</v>
      </c>
      <c r="BG97" s="8">
        <f>Modeloutput!G950</f>
        <v>8.0998179199999996</v>
      </c>
      <c r="BH97" s="8">
        <f>Modeloutput!H950</f>
        <v>0.26024104199999998</v>
      </c>
      <c r="BI97" s="8">
        <f>Modeloutput!I950</f>
        <v>0</v>
      </c>
      <c r="BJ97" s="8">
        <f>Modeloutput!J950</f>
        <v>0</v>
      </c>
      <c r="BK97" s="8">
        <f>Modeloutput!K950</f>
        <v>4.2051287400000001</v>
      </c>
      <c r="BL97" s="8">
        <f>Modeloutput!L950</f>
        <v>0</v>
      </c>
      <c r="BM97" s="8">
        <f>Modeloutput!M950</f>
        <v>0</v>
      </c>
      <c r="BN97" s="8">
        <f>Modeloutput!N950</f>
        <v>0</v>
      </c>
      <c r="BO97" s="8">
        <f>Modeloutput!O950</f>
        <v>0</v>
      </c>
      <c r="BP97" s="8">
        <f>Modeloutput!P950</f>
        <v>0</v>
      </c>
      <c r="BR97" s="7" t="s">
        <v>12</v>
      </c>
      <c r="BS97" s="14">
        <f t="shared" si="35"/>
        <v>54.645453285320002</v>
      </c>
      <c r="BT97" s="8">
        <f>Modeloutput!C1205</f>
        <v>28.7410046</v>
      </c>
      <c r="BU97" s="8">
        <f>Modeloutput!D1205</f>
        <v>25.9044487</v>
      </c>
      <c r="BV97" s="8">
        <f>Modeloutput!E1205</f>
        <v>36.664001399999997</v>
      </c>
      <c r="BW97" s="8">
        <f>Modeloutput!F1205</f>
        <v>0.74674753199999999</v>
      </c>
      <c r="BX97" s="8">
        <f>Modeloutput!G1205</f>
        <v>7.97344249</v>
      </c>
      <c r="BY97" s="8">
        <f>Modeloutput!H1205</f>
        <v>0.24964746500000001</v>
      </c>
      <c r="BZ97" s="8">
        <f>Modeloutput!I1205</f>
        <v>0</v>
      </c>
      <c r="CA97" s="8">
        <f>Modeloutput!J1205</f>
        <v>0</v>
      </c>
      <c r="CB97" s="8">
        <f>Modeloutput!K1205</f>
        <v>6.1527932099999996</v>
      </c>
      <c r="CC97" s="8">
        <f>Modeloutput!L1205</f>
        <v>2.8512569000000001</v>
      </c>
      <c r="CD97" s="8">
        <f>Modeloutput!M1205</f>
        <v>7.5642883200000002E-3</v>
      </c>
      <c r="CE97" s="8">
        <f>Modeloutput!N1205</f>
        <v>0</v>
      </c>
      <c r="CF97" s="8">
        <f>Modeloutput!O1205</f>
        <v>0</v>
      </c>
      <c r="CG97" s="8">
        <f>Modeloutput!P1205</f>
        <v>0</v>
      </c>
    </row>
    <row r="98" spans="1:85" s="7" customFormat="1" x14ac:dyDescent="0.25">
      <c r="B98" s="7" t="s">
        <v>13</v>
      </c>
      <c r="C98" s="14">
        <f t="shared" si="31"/>
        <v>61.241138379999995</v>
      </c>
      <c r="D98" s="8">
        <f>Modeloutput!C186</f>
        <v>0</v>
      </c>
      <c r="E98" s="8">
        <f>Modeloutput!D186</f>
        <v>61.241138399999997</v>
      </c>
      <c r="F98" s="8">
        <f>Modeloutput!E186</f>
        <v>42.689795699999998</v>
      </c>
      <c r="G98" s="8">
        <f>Modeloutput!F186</f>
        <v>6.1352433800000004</v>
      </c>
      <c r="H98" s="8">
        <f>Modeloutput!G186</f>
        <v>0</v>
      </c>
      <c r="I98" s="8">
        <f>Modeloutput!H186</f>
        <v>0</v>
      </c>
      <c r="J98" s="8">
        <f>Modeloutput!I186</f>
        <v>0</v>
      </c>
      <c r="K98" s="8">
        <f>Modeloutput!J186</f>
        <v>0</v>
      </c>
      <c r="L98" s="8">
        <f>Modeloutput!K186</f>
        <v>11.9031308</v>
      </c>
      <c r="M98" s="8">
        <f>Modeloutput!L186</f>
        <v>0</v>
      </c>
      <c r="N98" s="8">
        <f>Modeloutput!M186</f>
        <v>0.51296850000000005</v>
      </c>
      <c r="O98" s="8">
        <f>Modeloutput!N186</f>
        <v>0</v>
      </c>
      <c r="P98" s="8">
        <f>Modeloutput!O186</f>
        <v>0</v>
      </c>
      <c r="Q98" s="8">
        <f>Modeloutput!P186</f>
        <v>0</v>
      </c>
      <c r="S98" s="7" t="s">
        <v>13</v>
      </c>
      <c r="T98" s="14">
        <f t="shared" si="32"/>
        <v>63.336180190000007</v>
      </c>
      <c r="U98" s="8">
        <f>Modeloutput!C441</f>
        <v>0</v>
      </c>
      <c r="V98" s="8">
        <f>Modeloutput!D441</f>
        <v>63.336180200000001</v>
      </c>
      <c r="W98" s="8">
        <f>Modeloutput!E441</f>
        <v>45.1878229</v>
      </c>
      <c r="X98" s="8">
        <f>Modeloutput!F441</f>
        <v>6.1461576899999999</v>
      </c>
      <c r="Y98" s="8">
        <f>Modeloutput!G441</f>
        <v>0</v>
      </c>
      <c r="Z98" s="8">
        <f>Modeloutput!H441</f>
        <v>0</v>
      </c>
      <c r="AA98" s="8">
        <f>Modeloutput!I441</f>
        <v>0</v>
      </c>
      <c r="AB98" s="8">
        <f>Modeloutput!J441</f>
        <v>0</v>
      </c>
      <c r="AC98" s="8">
        <f>Modeloutput!K441</f>
        <v>11.4936171</v>
      </c>
      <c r="AD98" s="8">
        <f>Modeloutput!L441</f>
        <v>0</v>
      </c>
      <c r="AE98" s="8">
        <f>Modeloutput!M441</f>
        <v>0.50858250000000005</v>
      </c>
      <c r="AF98" s="8">
        <f>Modeloutput!N441</f>
        <v>0</v>
      </c>
      <c r="AG98" s="8">
        <f>Modeloutput!O441</f>
        <v>0</v>
      </c>
      <c r="AH98" s="8">
        <f>Modeloutput!P441</f>
        <v>0</v>
      </c>
      <c r="AJ98" s="7" t="s">
        <v>13</v>
      </c>
      <c r="AK98" s="14">
        <f t="shared" si="33"/>
        <v>75.714628470000008</v>
      </c>
      <c r="AL98" s="8">
        <f>Modeloutput!C696</f>
        <v>0</v>
      </c>
      <c r="AM98" s="8">
        <f>Modeloutput!D696</f>
        <v>75.714628500000003</v>
      </c>
      <c r="AN98" s="8">
        <f>Modeloutput!E696</f>
        <v>51.663806800000003</v>
      </c>
      <c r="AO98" s="8">
        <f>Modeloutput!F696</f>
        <v>6.2527022700000003</v>
      </c>
      <c r="AP98" s="8">
        <f>Modeloutput!G696</f>
        <v>0</v>
      </c>
      <c r="AQ98" s="8">
        <f>Modeloutput!H696</f>
        <v>0</v>
      </c>
      <c r="AR98" s="8">
        <f>Modeloutput!I696</f>
        <v>0</v>
      </c>
      <c r="AS98" s="8">
        <f>Modeloutput!J696</f>
        <v>0</v>
      </c>
      <c r="AT98" s="8">
        <f>Modeloutput!K696</f>
        <v>11.7337004</v>
      </c>
      <c r="AU98" s="8">
        <f>Modeloutput!L696</f>
        <v>0</v>
      </c>
      <c r="AV98" s="8">
        <f>Modeloutput!M696</f>
        <v>6.064419</v>
      </c>
      <c r="AW98" s="8">
        <f>Modeloutput!N696</f>
        <v>0</v>
      </c>
      <c r="AX98" s="8">
        <f>Modeloutput!O696</f>
        <v>0</v>
      </c>
      <c r="AY98" s="8">
        <f>Modeloutput!P696</f>
        <v>0</v>
      </c>
      <c r="BA98" s="7" t="s">
        <v>13</v>
      </c>
      <c r="BB98" s="14">
        <f t="shared" si="34"/>
        <v>72.676922160000004</v>
      </c>
      <c r="BC98" s="8">
        <f>Modeloutput!C951</f>
        <v>0</v>
      </c>
      <c r="BD98" s="8">
        <f>Modeloutput!D951</f>
        <v>72.676922200000007</v>
      </c>
      <c r="BE98" s="8">
        <f>Modeloutput!E951</f>
        <v>56.392910700000002</v>
      </c>
      <c r="BF98" s="8">
        <f>Modeloutput!F951</f>
        <v>4.5503110600000003</v>
      </c>
      <c r="BG98" s="8">
        <f>Modeloutput!G951</f>
        <v>0</v>
      </c>
      <c r="BH98" s="8">
        <f>Modeloutput!H951</f>
        <v>0</v>
      </c>
      <c r="BI98" s="8">
        <f>Modeloutput!I951</f>
        <v>0</v>
      </c>
      <c r="BJ98" s="8">
        <f>Modeloutput!J951</f>
        <v>0</v>
      </c>
      <c r="BK98" s="8">
        <f>Modeloutput!K951</f>
        <v>11.7337004</v>
      </c>
      <c r="BL98" s="8">
        <f>Modeloutput!L951</f>
        <v>0</v>
      </c>
      <c r="BM98" s="8">
        <f>Modeloutput!M951</f>
        <v>0</v>
      </c>
      <c r="BN98" s="8">
        <f>Modeloutput!N951</f>
        <v>0</v>
      </c>
      <c r="BO98" s="8">
        <f>Modeloutput!O951</f>
        <v>0</v>
      </c>
      <c r="BP98" s="8">
        <f>Modeloutput!P951</f>
        <v>0</v>
      </c>
      <c r="BR98" s="7" t="s">
        <v>13</v>
      </c>
      <c r="BS98" s="14">
        <f t="shared" si="35"/>
        <v>106.01624453000001</v>
      </c>
      <c r="BT98" s="8">
        <f>Modeloutput!C1206</f>
        <v>0</v>
      </c>
      <c r="BU98" s="8">
        <f>Modeloutput!D1206</f>
        <v>106.016245</v>
      </c>
      <c r="BV98" s="8">
        <f>Modeloutput!E1206</f>
        <v>76.739094800000004</v>
      </c>
      <c r="BW98" s="8">
        <f>Modeloutput!F1206</f>
        <v>8.3294902999999998</v>
      </c>
      <c r="BX98" s="8">
        <f>Modeloutput!G1206</f>
        <v>0</v>
      </c>
      <c r="BY98" s="8">
        <f>Modeloutput!H1206</f>
        <v>0</v>
      </c>
      <c r="BZ98" s="8">
        <f>Modeloutput!I1206</f>
        <v>0</v>
      </c>
      <c r="CA98" s="8">
        <f>Modeloutput!J1206</f>
        <v>0</v>
      </c>
      <c r="CB98" s="8">
        <f>Modeloutput!K1206</f>
        <v>16.550072199999999</v>
      </c>
      <c r="CC98" s="8">
        <f>Modeloutput!L1206</f>
        <v>4.3941042299999999</v>
      </c>
      <c r="CD98" s="8">
        <f>Modeloutput!M1206</f>
        <v>3.483E-3</v>
      </c>
      <c r="CE98" s="8">
        <f>Modeloutput!N1206</f>
        <v>0</v>
      </c>
      <c r="CF98" s="8">
        <f>Modeloutput!O1206</f>
        <v>0</v>
      </c>
      <c r="CG98" s="8">
        <f>Modeloutput!P1206</f>
        <v>0</v>
      </c>
    </row>
    <row r="99" spans="1:85" s="7" customFormat="1" x14ac:dyDescent="0.25">
      <c r="B99" s="7" t="s">
        <v>14</v>
      </c>
      <c r="C99" s="22">
        <f t="shared" si="31"/>
        <v>3.477043203</v>
      </c>
      <c r="D99" s="8">
        <f>Modeloutput!C187</f>
        <v>0</v>
      </c>
      <c r="E99" s="8">
        <f>Modeloutput!D187</f>
        <v>3.4770431999999998</v>
      </c>
      <c r="F99" s="8">
        <f>Modeloutput!E187</f>
        <v>0.263651527</v>
      </c>
      <c r="G99" s="8">
        <f>Modeloutput!F187</f>
        <v>1.41843016</v>
      </c>
      <c r="H99" s="8">
        <f>Modeloutput!G187</f>
        <v>0.64060446699999996</v>
      </c>
      <c r="I99" s="8">
        <f>Modeloutput!H187</f>
        <v>0.100586202</v>
      </c>
      <c r="J99" s="8">
        <f>Modeloutput!I187</f>
        <v>0</v>
      </c>
      <c r="K99" s="8">
        <f>Modeloutput!J187</f>
        <v>0</v>
      </c>
      <c r="L99" s="8">
        <f>Modeloutput!K187</f>
        <v>0.457408325</v>
      </c>
      <c r="M99" s="8">
        <f>Modeloutput!L187</f>
        <v>0</v>
      </c>
      <c r="N99" s="8">
        <f>Modeloutput!M187</f>
        <v>0.59636252199999995</v>
      </c>
      <c r="O99" s="8">
        <f>Modeloutput!N187</f>
        <v>0</v>
      </c>
      <c r="P99" s="8">
        <f>Modeloutput!O187</f>
        <v>0</v>
      </c>
      <c r="Q99" s="8">
        <f>Modeloutput!P187</f>
        <v>0</v>
      </c>
      <c r="S99" s="7" t="s">
        <v>14</v>
      </c>
      <c r="T99" s="22">
        <f t="shared" si="32"/>
        <v>23.318105632000002</v>
      </c>
      <c r="U99" s="8">
        <f>Modeloutput!C442</f>
        <v>0</v>
      </c>
      <c r="V99" s="8">
        <f>Modeloutput!D442</f>
        <v>23.318105599999999</v>
      </c>
      <c r="W99" s="8">
        <f>Modeloutput!E442</f>
        <v>7.6899741099999996</v>
      </c>
      <c r="X99" s="8">
        <f>Modeloutput!F442</f>
        <v>1.4085246199999999</v>
      </c>
      <c r="Y99" s="8">
        <f>Modeloutput!G442</f>
        <v>13.5450848</v>
      </c>
      <c r="Z99" s="8">
        <f>Modeloutput!H442</f>
        <v>0.100621891</v>
      </c>
      <c r="AA99" s="8">
        <f>Modeloutput!I442</f>
        <v>0</v>
      </c>
      <c r="AB99" s="8">
        <f>Modeloutput!J442</f>
        <v>0</v>
      </c>
      <c r="AC99" s="8">
        <f>Modeloutput!K442</f>
        <v>0</v>
      </c>
      <c r="AD99" s="8">
        <f>Modeloutput!L442</f>
        <v>0</v>
      </c>
      <c r="AE99" s="8">
        <f>Modeloutput!M442</f>
        <v>0.57390021099999999</v>
      </c>
      <c r="AF99" s="8">
        <f>Modeloutput!N442</f>
        <v>0</v>
      </c>
      <c r="AG99" s="8">
        <f>Modeloutput!O442</f>
        <v>0</v>
      </c>
      <c r="AH99" s="8">
        <f>Modeloutput!P442</f>
        <v>0</v>
      </c>
      <c r="AJ99" s="7" t="s">
        <v>14</v>
      </c>
      <c r="AK99" s="22">
        <f t="shared" si="33"/>
        <v>69.411444223000004</v>
      </c>
      <c r="AL99" s="8">
        <f>Modeloutput!C697</f>
        <v>0</v>
      </c>
      <c r="AM99" s="8">
        <f>Modeloutput!D697</f>
        <v>69.411444200000005</v>
      </c>
      <c r="AN99" s="8">
        <f>Modeloutput!E697</f>
        <v>16.798846699999999</v>
      </c>
      <c r="AO99" s="8">
        <f>Modeloutput!F697</f>
        <v>1.4322404799999999</v>
      </c>
      <c r="AP99" s="8">
        <f>Modeloutput!G697</f>
        <v>26.505653599999999</v>
      </c>
      <c r="AQ99" s="8">
        <f>Modeloutput!H697</f>
        <v>0.100656843</v>
      </c>
      <c r="AR99" s="8">
        <f>Modeloutput!I697</f>
        <v>0</v>
      </c>
      <c r="AS99" s="8">
        <f>Modeloutput!J697</f>
        <v>0</v>
      </c>
      <c r="AT99" s="8">
        <f>Modeloutput!K697</f>
        <v>0</v>
      </c>
      <c r="AU99" s="8">
        <f>Modeloutput!L697</f>
        <v>0</v>
      </c>
      <c r="AV99" s="8">
        <f>Modeloutput!M697</f>
        <v>24.574046599999999</v>
      </c>
      <c r="AW99" s="8">
        <f>Modeloutput!N697</f>
        <v>0</v>
      </c>
      <c r="AX99" s="8">
        <f>Modeloutput!O697</f>
        <v>0</v>
      </c>
      <c r="AY99" s="8">
        <f>Modeloutput!P697</f>
        <v>0</v>
      </c>
      <c r="BA99" s="7" t="s">
        <v>14</v>
      </c>
      <c r="BB99" s="22">
        <f t="shared" si="34"/>
        <v>36.575516935000003</v>
      </c>
      <c r="BC99" s="8">
        <f>Modeloutput!C952</f>
        <v>0</v>
      </c>
      <c r="BD99" s="8">
        <f>Modeloutput!D952</f>
        <v>36.575516999999998</v>
      </c>
      <c r="BE99" s="8">
        <f>Modeloutput!E952</f>
        <v>17.860002300000001</v>
      </c>
      <c r="BF99" s="8">
        <f>Modeloutput!F952</f>
        <v>0.42557067199999998</v>
      </c>
      <c r="BG99" s="8">
        <f>Modeloutput!G952</f>
        <v>18.186334899999999</v>
      </c>
      <c r="BH99" s="8">
        <f>Modeloutput!H952</f>
        <v>0.103609063</v>
      </c>
      <c r="BI99" s="8">
        <f>Modeloutput!I952</f>
        <v>0</v>
      </c>
      <c r="BJ99" s="8">
        <f>Modeloutput!J952</f>
        <v>0</v>
      </c>
      <c r="BK99" s="8">
        <f>Modeloutput!K952</f>
        <v>0</v>
      </c>
      <c r="BL99" s="8">
        <f>Modeloutput!L952</f>
        <v>0</v>
      </c>
      <c r="BM99" s="8">
        <f>Modeloutput!M952</f>
        <v>0</v>
      </c>
      <c r="BN99" s="8">
        <f>Modeloutput!N952</f>
        <v>0</v>
      </c>
      <c r="BO99" s="8">
        <f>Modeloutput!O952</f>
        <v>0</v>
      </c>
      <c r="BP99" s="8">
        <f>Modeloutput!P952</f>
        <v>0</v>
      </c>
      <c r="BR99" s="7" t="s">
        <v>14</v>
      </c>
      <c r="BS99" s="22">
        <f t="shared" si="35"/>
        <v>41.200242315699995</v>
      </c>
      <c r="BT99" s="8">
        <f>Modeloutput!C1207</f>
        <v>0</v>
      </c>
      <c r="BU99" s="8">
        <f>Modeloutput!D1207</f>
        <v>41.200242299999999</v>
      </c>
      <c r="BV99" s="8">
        <f>Modeloutput!E1207</f>
        <v>8.3783812799999993</v>
      </c>
      <c r="BW99" s="8">
        <f>Modeloutput!F1207</f>
        <v>0.56931210399999999</v>
      </c>
      <c r="BX99" s="8">
        <f>Modeloutput!G1207</f>
        <v>14.1518868</v>
      </c>
      <c r="BY99" s="8">
        <f>Modeloutput!H1207</f>
        <v>6.3180794999999998E-2</v>
      </c>
      <c r="BZ99" s="8">
        <f>Modeloutput!I1207</f>
        <v>0</v>
      </c>
      <c r="CA99" s="8">
        <f>Modeloutput!J1207</f>
        <v>0</v>
      </c>
      <c r="CB99" s="8">
        <f>Modeloutput!K1207</f>
        <v>7.7432133299999997</v>
      </c>
      <c r="CC99" s="8">
        <f>Modeloutput!L1207</f>
        <v>10.271522900000001</v>
      </c>
      <c r="CD99" s="8">
        <f>Modeloutput!M1207</f>
        <v>2.27451067E-2</v>
      </c>
      <c r="CE99" s="8">
        <f>Modeloutput!N1207</f>
        <v>0</v>
      </c>
      <c r="CF99" s="8">
        <f>Modeloutput!O1207</f>
        <v>0</v>
      </c>
      <c r="CG99" s="8">
        <f>Modeloutput!P1207</f>
        <v>0</v>
      </c>
    </row>
    <row r="100" spans="1:85" x14ac:dyDescent="0.25">
      <c r="A100" s="7"/>
      <c r="B100" s="28" t="s">
        <v>18</v>
      </c>
      <c r="C100" s="29">
        <f t="shared" ref="C100:Q100" si="36">SUM(C86:C99)</f>
        <v>479.66159166329999</v>
      </c>
      <c r="D100" s="29">
        <f t="shared" si="36"/>
        <v>80.564074720000008</v>
      </c>
      <c r="E100" s="29">
        <f t="shared" si="36"/>
        <v>399.09751707300001</v>
      </c>
      <c r="F100" s="29">
        <f t="shared" si="36"/>
        <v>246.65667611699999</v>
      </c>
      <c r="G100" s="29">
        <f t="shared" si="36"/>
        <v>34.827368208999999</v>
      </c>
      <c r="H100" s="29">
        <f t="shared" si="36"/>
        <v>113.40706319459998</v>
      </c>
      <c r="I100" s="29">
        <f t="shared" si="36"/>
        <v>4.2064094497999998</v>
      </c>
      <c r="J100" s="29">
        <f t="shared" si="36"/>
        <v>0</v>
      </c>
      <c r="K100" s="29">
        <f t="shared" si="36"/>
        <v>0</v>
      </c>
      <c r="L100" s="29">
        <f t="shared" si="36"/>
        <v>66.781367624999987</v>
      </c>
      <c r="M100" s="29">
        <f t="shared" si="36"/>
        <v>0</v>
      </c>
      <c r="N100" s="29">
        <f t="shared" si="36"/>
        <v>11.271517147899999</v>
      </c>
      <c r="O100" s="29">
        <f t="shared" si="36"/>
        <v>0</v>
      </c>
      <c r="P100" s="29">
        <f t="shared" si="36"/>
        <v>0</v>
      </c>
      <c r="Q100" s="29">
        <f t="shared" si="36"/>
        <v>2.5111899200000005</v>
      </c>
      <c r="R100" s="7"/>
      <c r="S100" s="28" t="s">
        <v>18</v>
      </c>
      <c r="T100" s="29">
        <f t="shared" ref="T100:AH100" si="37">SUM(T86:T99)</f>
        <v>518.08764179029993</v>
      </c>
      <c r="U100" s="29">
        <f t="shared" si="37"/>
        <v>63.580432389999999</v>
      </c>
      <c r="V100" s="29">
        <f t="shared" si="37"/>
        <v>454.50720995000006</v>
      </c>
      <c r="W100" s="29">
        <f t="shared" si="37"/>
        <v>280.80786803000001</v>
      </c>
      <c r="X100" s="29">
        <f t="shared" si="37"/>
        <v>34.896349856999997</v>
      </c>
      <c r="Y100" s="29">
        <f t="shared" si="37"/>
        <v>134.59402172000003</v>
      </c>
      <c r="Z100" s="29">
        <f t="shared" si="37"/>
        <v>4.2089698474999997</v>
      </c>
      <c r="AA100" s="29">
        <f t="shared" si="37"/>
        <v>0</v>
      </c>
      <c r="AB100" s="29">
        <f t="shared" si="37"/>
        <v>0</v>
      </c>
      <c r="AC100" s="29">
        <f t="shared" si="37"/>
        <v>50.508915170000002</v>
      </c>
      <c r="AD100" s="29">
        <f t="shared" si="37"/>
        <v>0</v>
      </c>
      <c r="AE100" s="29">
        <f t="shared" si="37"/>
        <v>11.070164865799999</v>
      </c>
      <c r="AF100" s="29">
        <f t="shared" si="37"/>
        <v>0</v>
      </c>
      <c r="AG100" s="29">
        <f t="shared" si="37"/>
        <v>0</v>
      </c>
      <c r="AH100" s="29">
        <f t="shared" si="37"/>
        <v>2.0013522999999989</v>
      </c>
      <c r="AI100" s="7"/>
      <c r="AJ100" s="28" t="s">
        <v>18</v>
      </c>
      <c r="AK100" s="29">
        <f t="shared" ref="AK100:AY100" si="38">SUM(AK86:AK99)</f>
        <v>771.11686577729995</v>
      </c>
      <c r="AL100" s="29">
        <f t="shared" si="38"/>
        <v>240.90756200000001</v>
      </c>
      <c r="AM100" s="29">
        <f t="shared" si="38"/>
        <v>530.20930408999993</v>
      </c>
      <c r="AN100" s="29">
        <f t="shared" si="38"/>
        <v>318.91765716999998</v>
      </c>
      <c r="AO100" s="29">
        <f t="shared" si="38"/>
        <v>35.492465442000004</v>
      </c>
      <c r="AP100" s="29">
        <f t="shared" si="38"/>
        <v>171.579819859</v>
      </c>
      <c r="AQ100" s="29">
        <f t="shared" si="38"/>
        <v>4.2193615693000002</v>
      </c>
      <c r="AR100" s="29">
        <f t="shared" si="38"/>
        <v>0</v>
      </c>
      <c r="AS100" s="29">
        <f t="shared" si="38"/>
        <v>0</v>
      </c>
      <c r="AT100" s="29">
        <f t="shared" si="38"/>
        <v>46.957018320000003</v>
      </c>
      <c r="AU100" s="29">
        <f t="shared" si="38"/>
        <v>0</v>
      </c>
      <c r="AV100" s="29">
        <f t="shared" si="38"/>
        <v>162.64832785699997</v>
      </c>
      <c r="AW100" s="29">
        <f t="shared" si="38"/>
        <v>0</v>
      </c>
      <c r="AX100" s="29">
        <f t="shared" si="38"/>
        <v>0</v>
      </c>
      <c r="AY100" s="29">
        <f t="shared" si="38"/>
        <v>31.30221556</v>
      </c>
      <c r="AZ100" s="7"/>
      <c r="BA100" s="28" t="s">
        <v>18</v>
      </c>
      <c r="BB100" s="29">
        <f t="shared" ref="BB100:BP100" si="39">SUM(BB86:BB99)</f>
        <v>627.64689250489994</v>
      </c>
      <c r="BC100" s="29">
        <f t="shared" si="39"/>
        <v>85.5855313</v>
      </c>
      <c r="BD100" s="29">
        <f t="shared" si="39"/>
        <v>542.06136193999998</v>
      </c>
      <c r="BE100" s="29">
        <f t="shared" si="39"/>
        <v>360.64595675000004</v>
      </c>
      <c r="BF100" s="29">
        <f t="shared" si="39"/>
        <v>26.644029613000001</v>
      </c>
      <c r="BG100" s="29">
        <f t="shared" si="39"/>
        <v>150.70430980999998</v>
      </c>
      <c r="BH100" s="29">
        <f t="shared" si="39"/>
        <v>4.067065071900001</v>
      </c>
      <c r="BI100" s="29">
        <f t="shared" si="39"/>
        <v>0</v>
      </c>
      <c r="BJ100" s="29">
        <f t="shared" si="39"/>
        <v>0</v>
      </c>
      <c r="BK100" s="29">
        <f t="shared" si="39"/>
        <v>57.054181029999995</v>
      </c>
      <c r="BL100" s="29">
        <f t="shared" si="39"/>
        <v>0</v>
      </c>
      <c r="BM100" s="29">
        <f t="shared" si="39"/>
        <v>0</v>
      </c>
      <c r="BN100" s="29">
        <f t="shared" si="39"/>
        <v>0</v>
      </c>
      <c r="BO100" s="29">
        <f t="shared" si="39"/>
        <v>0</v>
      </c>
      <c r="BP100" s="29">
        <f t="shared" si="39"/>
        <v>28.531350230000001</v>
      </c>
      <c r="BQ100" s="7"/>
      <c r="BR100" s="28" t="s">
        <v>18</v>
      </c>
      <c r="BS100" s="29">
        <f t="shared" ref="BS100:CG100" si="40">SUM(BS86:BS99)</f>
        <v>948.83967810920308</v>
      </c>
      <c r="BT100" s="29">
        <f t="shared" si="40"/>
        <v>245.33573341600001</v>
      </c>
      <c r="BU100" s="29">
        <f t="shared" si="40"/>
        <v>703.50394617990003</v>
      </c>
      <c r="BV100" s="29">
        <f t="shared" si="40"/>
        <v>463.29169943200009</v>
      </c>
      <c r="BW100" s="29">
        <f t="shared" si="40"/>
        <v>48.550041854790003</v>
      </c>
      <c r="BX100" s="29">
        <f t="shared" si="40"/>
        <v>186.15702048019998</v>
      </c>
      <c r="BY100" s="29">
        <f t="shared" si="40"/>
        <v>5.505183174199999</v>
      </c>
      <c r="BZ100" s="29">
        <f t="shared" si="40"/>
        <v>0</v>
      </c>
      <c r="CA100" s="29">
        <f t="shared" si="40"/>
        <v>0</v>
      </c>
      <c r="CB100" s="29">
        <f t="shared" si="40"/>
        <v>134.28677169999997</v>
      </c>
      <c r="CC100" s="29">
        <f t="shared" si="40"/>
        <v>82.132599272269005</v>
      </c>
      <c r="CD100" s="29">
        <f t="shared" si="40"/>
        <v>0.17535761574399997</v>
      </c>
      <c r="CE100" s="29">
        <f t="shared" si="40"/>
        <v>0</v>
      </c>
      <c r="CF100" s="29">
        <f t="shared" si="40"/>
        <v>0</v>
      </c>
      <c r="CG100" s="29">
        <f t="shared" si="40"/>
        <v>28.741004580000002</v>
      </c>
    </row>
    <row r="102" spans="1:85" x14ac:dyDescent="0.25">
      <c r="B102" s="11" t="s">
        <v>34</v>
      </c>
      <c r="C102" s="16">
        <f>SUM(Cost_Flow!C86:C89)+SUM(Cost_Flow!C95:C96)</f>
        <v>257.09917442130001</v>
      </c>
      <c r="S102" s="11" t="s">
        <v>34</v>
      </c>
      <c r="T102" s="16">
        <f>SUM(Cost_Flow!T86:T89)+SUM(Cost_Flow!T95:T96)</f>
        <v>300.92385160629999</v>
      </c>
      <c r="AJ102" s="11" t="s">
        <v>34</v>
      </c>
      <c r="AK102" s="16">
        <f>SUM(Cost_Flow!AK86:AK89)+SUM(Cost_Flow!AK95:AK96)</f>
        <v>427.26665044029994</v>
      </c>
      <c r="BA102" s="11" t="s">
        <v>34</v>
      </c>
      <c r="BB102" s="16">
        <f>SUM(Cost_Flow!BB86:BB89)+SUM(Cost_Flow!BB95:BB96)</f>
        <v>405.79478254489993</v>
      </c>
      <c r="BR102" s="11" t="s">
        <v>34</v>
      </c>
      <c r="BS102" s="16">
        <f>SUM(Cost_Flow!BS86:BS89)+SUM(Cost_Flow!BS95:BS96)</f>
        <v>401.75745736828299</v>
      </c>
    </row>
    <row r="103" spans="1:85" x14ac:dyDescent="0.25">
      <c r="B103" s="17" t="s">
        <v>36</v>
      </c>
      <c r="C103" s="18">
        <f>Cost_Flow!C97+Cost_Flow!C98</f>
        <v>137.31416604399999</v>
      </c>
      <c r="S103" s="17" t="s">
        <v>36</v>
      </c>
      <c r="T103" s="18">
        <f>Cost_Flow!T97+Cost_Flow!T98</f>
        <v>133.705607993</v>
      </c>
      <c r="AJ103" s="17" t="s">
        <v>36</v>
      </c>
      <c r="AK103" s="18">
        <f>Cost_Flow!AK97+Cost_Flow!AK98</f>
        <v>140.43439363800002</v>
      </c>
      <c r="BA103" s="17" t="s">
        <v>36</v>
      </c>
      <c r="BB103" s="18">
        <f>Cost_Flow!BB97+Cost_Flow!BB98</f>
        <v>130.07877409100001</v>
      </c>
      <c r="BR103" s="17" t="s">
        <v>36</v>
      </c>
      <c r="BS103" s="18">
        <f>Cost_Flow!BS97+Cost_Flow!BS98</f>
        <v>160.66169781532</v>
      </c>
    </row>
    <row r="104" spans="1:85" x14ac:dyDescent="0.25">
      <c r="B104" s="20" t="s">
        <v>35</v>
      </c>
      <c r="C104" s="19">
        <f>SUM(Cost_Flow!E90:E94)</f>
        <v>3.7183231829999999</v>
      </c>
      <c r="S104" s="20" t="s">
        <v>35</v>
      </c>
      <c r="T104" s="19">
        <f>SUM(Cost_Flow!V90:V94)</f>
        <v>-1.4390034300000001</v>
      </c>
      <c r="AJ104" s="20" t="s">
        <v>35</v>
      </c>
      <c r="AK104" s="19">
        <f>SUM(Cost_Flow!AM90:AM94)</f>
        <v>-75.600968789999996</v>
      </c>
      <c r="BA104" s="20" t="s">
        <v>35</v>
      </c>
      <c r="BB104" s="19">
        <f>SUM(Cost_Flow!BD90:BD94)</f>
        <v>-1.8563621699999999</v>
      </c>
      <c r="BR104" s="20" t="s">
        <v>35</v>
      </c>
      <c r="BS104" s="19">
        <f>SUM(Cost_Flow!BU90:BU94)</f>
        <v>128.6255519499</v>
      </c>
    </row>
    <row r="105" spans="1:85" x14ac:dyDescent="0.25">
      <c r="B105" s="21" t="s">
        <v>37</v>
      </c>
      <c r="C105" s="23">
        <f>Cost_Flow!C99</f>
        <v>3.477043203</v>
      </c>
      <c r="S105" s="21" t="s">
        <v>37</v>
      </c>
      <c r="T105" s="23">
        <f>Cost_Flow!T99</f>
        <v>23.318105632000002</v>
      </c>
      <c r="AJ105" s="21" t="s">
        <v>37</v>
      </c>
      <c r="AK105" s="23">
        <f>Cost_Flow!AK99</f>
        <v>69.411444223000004</v>
      </c>
      <c r="BA105" s="21" t="s">
        <v>37</v>
      </c>
      <c r="BB105" s="23">
        <f>Cost_Flow!BB99</f>
        <v>36.575516935000003</v>
      </c>
      <c r="BR105" s="21" t="s">
        <v>37</v>
      </c>
      <c r="BS105" s="23">
        <f>Cost_Flow!BS99</f>
        <v>41.200242315699995</v>
      </c>
    </row>
    <row r="107" spans="1:85" ht="21" x14ac:dyDescent="0.35">
      <c r="A107" s="5">
        <v>2050</v>
      </c>
      <c r="R107" s="5">
        <v>2050</v>
      </c>
      <c r="AI107" s="5">
        <v>2050</v>
      </c>
      <c r="AZ107" s="5">
        <v>2050</v>
      </c>
      <c r="BQ107" s="5">
        <v>2050</v>
      </c>
    </row>
    <row r="108" spans="1:85" x14ac:dyDescent="0.25">
      <c r="B108" s="4" t="str">
        <f>$B$6</f>
        <v>ReferentieUtrecht</v>
      </c>
      <c r="S108" s="4" t="str">
        <f>$S$6</f>
        <v>Utrecht_Label B</v>
      </c>
      <c r="AJ108" s="4" t="str">
        <f>$AJ$6</f>
        <v>Utrecht_Label Aplus</v>
      </c>
      <c r="BA108" s="4" t="str">
        <f>BA$6</f>
        <v>Utrecht_Label Aplus, met eWP</v>
      </c>
      <c r="BR108" s="4" t="str">
        <f>BR$6</f>
        <v>Utrecht_Label B_Warmtenetten</v>
      </c>
    </row>
    <row r="109" spans="1:85" x14ac:dyDescent="0.25">
      <c r="C109" s="1" t="s">
        <v>18</v>
      </c>
      <c r="D109" s="1" t="s">
        <v>19</v>
      </c>
      <c r="E109" s="1" t="s">
        <v>20</v>
      </c>
      <c r="F109" s="1" t="s">
        <v>21</v>
      </c>
      <c r="G109" s="1" t="s">
        <v>22</v>
      </c>
      <c r="H109" s="1" t="s">
        <v>23</v>
      </c>
      <c r="I109" s="1" t="s">
        <v>24</v>
      </c>
      <c r="J109" s="1" t="s">
        <v>25</v>
      </c>
      <c r="K109" s="1" t="s">
        <v>26</v>
      </c>
      <c r="L109" s="1" t="s">
        <v>5</v>
      </c>
      <c r="M109" s="1" t="s">
        <v>6</v>
      </c>
      <c r="N109" s="1" t="s">
        <v>7</v>
      </c>
      <c r="O109" s="1" t="s">
        <v>8</v>
      </c>
      <c r="P109" s="1" t="s">
        <v>9</v>
      </c>
      <c r="Q109" s="1" t="s">
        <v>27</v>
      </c>
      <c r="T109" s="1" t="s">
        <v>18</v>
      </c>
      <c r="U109" s="1" t="s">
        <v>19</v>
      </c>
      <c r="V109" s="1" t="s">
        <v>20</v>
      </c>
      <c r="W109" s="1" t="s">
        <v>21</v>
      </c>
      <c r="X109" s="1" t="s">
        <v>22</v>
      </c>
      <c r="Y109" s="1" t="s">
        <v>23</v>
      </c>
      <c r="Z109" s="1" t="s">
        <v>24</v>
      </c>
      <c r="AA109" s="1" t="s">
        <v>25</v>
      </c>
      <c r="AB109" s="1" t="s">
        <v>26</v>
      </c>
      <c r="AC109" s="1" t="s">
        <v>5</v>
      </c>
      <c r="AD109" s="1" t="s">
        <v>6</v>
      </c>
      <c r="AE109" s="1" t="s">
        <v>7</v>
      </c>
      <c r="AF109" s="1" t="s">
        <v>8</v>
      </c>
      <c r="AG109" s="1" t="s">
        <v>9</v>
      </c>
      <c r="AH109" s="1" t="s">
        <v>27</v>
      </c>
      <c r="AK109" s="1" t="s">
        <v>18</v>
      </c>
      <c r="AL109" s="1" t="s">
        <v>19</v>
      </c>
      <c r="AM109" s="1" t="s">
        <v>20</v>
      </c>
      <c r="AN109" s="1" t="s">
        <v>21</v>
      </c>
      <c r="AO109" s="1" t="s">
        <v>22</v>
      </c>
      <c r="AP109" s="1" t="s">
        <v>23</v>
      </c>
      <c r="AQ109" s="1" t="s">
        <v>24</v>
      </c>
      <c r="AR109" s="1" t="s">
        <v>25</v>
      </c>
      <c r="AS109" s="1" t="s">
        <v>26</v>
      </c>
      <c r="AT109" s="1" t="s">
        <v>5</v>
      </c>
      <c r="AU109" s="1" t="s">
        <v>6</v>
      </c>
      <c r="AV109" s="1" t="s">
        <v>7</v>
      </c>
      <c r="AW109" s="1" t="s">
        <v>8</v>
      </c>
      <c r="AX109" s="1" t="s">
        <v>9</v>
      </c>
      <c r="AY109" s="1" t="s">
        <v>27</v>
      </c>
      <c r="BB109" s="1" t="s">
        <v>18</v>
      </c>
      <c r="BC109" s="1" t="s">
        <v>19</v>
      </c>
      <c r="BD109" s="1" t="s">
        <v>20</v>
      </c>
      <c r="BE109" s="1" t="s">
        <v>21</v>
      </c>
      <c r="BF109" s="1" t="s">
        <v>22</v>
      </c>
      <c r="BG109" s="1" t="s">
        <v>23</v>
      </c>
      <c r="BH109" s="1" t="s">
        <v>24</v>
      </c>
      <c r="BI109" s="1" t="s">
        <v>25</v>
      </c>
      <c r="BJ109" s="1" t="s">
        <v>26</v>
      </c>
      <c r="BK109" s="1" t="s">
        <v>5</v>
      </c>
      <c r="BL109" s="1" t="s">
        <v>6</v>
      </c>
      <c r="BM109" s="1" t="s">
        <v>7</v>
      </c>
      <c r="BN109" s="1" t="s">
        <v>8</v>
      </c>
      <c r="BO109" s="1" t="s">
        <v>9</v>
      </c>
      <c r="BP109" s="1" t="s">
        <v>27</v>
      </c>
      <c r="BS109" s="1" t="s">
        <v>18</v>
      </c>
      <c r="BT109" s="1" t="s">
        <v>19</v>
      </c>
      <c r="BU109" s="1" t="s">
        <v>20</v>
      </c>
      <c r="BV109" s="1" t="s">
        <v>21</v>
      </c>
      <c r="BW109" s="1" t="s">
        <v>22</v>
      </c>
      <c r="BX109" s="1" t="s">
        <v>23</v>
      </c>
      <c r="BY109" s="1" t="s">
        <v>24</v>
      </c>
      <c r="BZ109" s="1" t="s">
        <v>25</v>
      </c>
      <c r="CA109" s="1" t="s">
        <v>26</v>
      </c>
      <c r="CB109" s="1" t="s">
        <v>5</v>
      </c>
      <c r="CC109" s="1" t="s">
        <v>6</v>
      </c>
      <c r="CD109" s="1" t="s">
        <v>7</v>
      </c>
      <c r="CE109" s="1" t="s">
        <v>8</v>
      </c>
      <c r="CF109" s="1" t="s">
        <v>9</v>
      </c>
      <c r="CG109" s="1" t="s">
        <v>27</v>
      </c>
    </row>
    <row r="110" spans="1:85" x14ac:dyDescent="0.25">
      <c r="C110" s="1" t="s">
        <v>29</v>
      </c>
      <c r="D110" s="1" t="s">
        <v>29</v>
      </c>
      <c r="E110" s="1" t="s">
        <v>29</v>
      </c>
      <c r="F110" s="1" t="s">
        <v>29</v>
      </c>
      <c r="G110" s="1" t="s">
        <v>29</v>
      </c>
      <c r="H110" s="1" t="s">
        <v>29</v>
      </c>
      <c r="I110" s="1" t="s">
        <v>29</v>
      </c>
      <c r="J110" s="1" t="s">
        <v>29</v>
      </c>
      <c r="K110" s="1" t="s">
        <v>29</v>
      </c>
      <c r="L110" s="1" t="s">
        <v>29</v>
      </c>
      <c r="M110" s="1" t="s">
        <v>29</v>
      </c>
      <c r="N110" s="1" t="s">
        <v>29</v>
      </c>
      <c r="O110" s="1" t="s">
        <v>29</v>
      </c>
      <c r="P110" s="1" t="s">
        <v>29</v>
      </c>
      <c r="Q110" s="1" t="s">
        <v>29</v>
      </c>
      <c r="T110" s="1" t="s">
        <v>29</v>
      </c>
      <c r="U110" s="1" t="s">
        <v>29</v>
      </c>
      <c r="V110" s="1" t="s">
        <v>29</v>
      </c>
      <c r="W110" s="1" t="s">
        <v>29</v>
      </c>
      <c r="X110" s="1" t="s">
        <v>29</v>
      </c>
      <c r="Y110" s="1" t="s">
        <v>29</v>
      </c>
      <c r="Z110" s="1" t="s">
        <v>29</v>
      </c>
      <c r="AA110" s="1" t="s">
        <v>29</v>
      </c>
      <c r="AB110" s="1" t="s">
        <v>29</v>
      </c>
      <c r="AC110" s="1" t="s">
        <v>29</v>
      </c>
      <c r="AD110" s="1" t="s">
        <v>29</v>
      </c>
      <c r="AE110" s="1" t="s">
        <v>29</v>
      </c>
      <c r="AF110" s="1" t="s">
        <v>29</v>
      </c>
      <c r="AG110" s="1" t="s">
        <v>29</v>
      </c>
      <c r="AH110" s="1" t="s">
        <v>29</v>
      </c>
      <c r="AK110" s="1" t="s">
        <v>29</v>
      </c>
      <c r="AL110" s="1" t="s">
        <v>29</v>
      </c>
      <c r="AM110" s="1" t="s">
        <v>29</v>
      </c>
      <c r="AN110" s="1" t="s">
        <v>29</v>
      </c>
      <c r="AO110" s="1" t="s">
        <v>29</v>
      </c>
      <c r="AP110" s="1" t="s">
        <v>29</v>
      </c>
      <c r="AQ110" s="1" t="s">
        <v>29</v>
      </c>
      <c r="AR110" s="1" t="s">
        <v>29</v>
      </c>
      <c r="AS110" s="1" t="s">
        <v>29</v>
      </c>
      <c r="AT110" s="1" t="s">
        <v>29</v>
      </c>
      <c r="AU110" s="1" t="s">
        <v>29</v>
      </c>
      <c r="AV110" s="1" t="s">
        <v>29</v>
      </c>
      <c r="AW110" s="1" t="s">
        <v>29</v>
      </c>
      <c r="AX110" s="1" t="s">
        <v>29</v>
      </c>
      <c r="AY110" s="1" t="s">
        <v>29</v>
      </c>
      <c r="BB110" s="1" t="s">
        <v>29</v>
      </c>
      <c r="BC110" s="1" t="s">
        <v>29</v>
      </c>
      <c r="BD110" s="1" t="s">
        <v>29</v>
      </c>
      <c r="BE110" s="1" t="s">
        <v>29</v>
      </c>
      <c r="BF110" s="1" t="s">
        <v>29</v>
      </c>
      <c r="BG110" s="1" t="s">
        <v>29</v>
      </c>
      <c r="BH110" s="1" t="s">
        <v>29</v>
      </c>
      <c r="BI110" s="1" t="s">
        <v>29</v>
      </c>
      <c r="BJ110" s="1" t="s">
        <v>29</v>
      </c>
      <c r="BK110" s="1" t="s">
        <v>29</v>
      </c>
      <c r="BL110" s="1" t="s">
        <v>29</v>
      </c>
      <c r="BM110" s="1" t="s">
        <v>29</v>
      </c>
      <c r="BN110" s="1" t="s">
        <v>29</v>
      </c>
      <c r="BO110" s="1" t="s">
        <v>29</v>
      </c>
      <c r="BP110" s="1" t="s">
        <v>29</v>
      </c>
      <c r="BS110" s="1" t="s">
        <v>29</v>
      </c>
      <c r="BT110" s="1" t="s">
        <v>29</v>
      </c>
      <c r="BU110" s="1" t="s">
        <v>29</v>
      </c>
      <c r="BV110" s="1" t="s">
        <v>29</v>
      </c>
      <c r="BW110" s="1" t="s">
        <v>29</v>
      </c>
      <c r="BX110" s="1" t="s">
        <v>29</v>
      </c>
      <c r="BY110" s="1" t="s">
        <v>29</v>
      </c>
      <c r="BZ110" s="1" t="s">
        <v>29</v>
      </c>
      <c r="CA110" s="1" t="s">
        <v>29</v>
      </c>
      <c r="CB110" s="1" t="s">
        <v>29</v>
      </c>
      <c r="CC110" s="1" t="s">
        <v>29</v>
      </c>
      <c r="CD110" s="1" t="s">
        <v>29</v>
      </c>
      <c r="CE110" s="1" t="s">
        <v>29</v>
      </c>
      <c r="CF110" s="1" t="s">
        <v>29</v>
      </c>
      <c r="CG110" s="1" t="s">
        <v>29</v>
      </c>
    </row>
    <row r="111" spans="1:85" s="7" customFormat="1" x14ac:dyDescent="0.25">
      <c r="B111" s="7" t="s">
        <v>1</v>
      </c>
      <c r="C111" s="13">
        <f>SUM(F111:Q111)</f>
        <v>13.134370740000001</v>
      </c>
      <c r="D111" s="8">
        <f>Modeloutput!C225</f>
        <v>0</v>
      </c>
      <c r="E111" s="8">
        <f>Modeloutput!D225</f>
        <v>13.1343707</v>
      </c>
      <c r="F111" s="8">
        <f>Modeloutput!E225</f>
        <v>1.17176467</v>
      </c>
      <c r="G111" s="8">
        <f>Modeloutput!F225</f>
        <v>0</v>
      </c>
      <c r="H111" s="8">
        <f>Modeloutput!G225</f>
        <v>0.49057626999999998</v>
      </c>
      <c r="I111" s="8">
        <f>Modeloutput!H225</f>
        <v>0</v>
      </c>
      <c r="J111" s="8">
        <f>Modeloutput!I225</f>
        <v>0</v>
      </c>
      <c r="K111" s="8">
        <f>Modeloutput!J225</f>
        <v>0</v>
      </c>
      <c r="L111" s="8">
        <f>Modeloutput!K225</f>
        <v>2.25967188</v>
      </c>
      <c r="M111" s="8">
        <f>Modeloutput!L225</f>
        <v>0</v>
      </c>
      <c r="N111" s="8">
        <f>Modeloutput!M225</f>
        <v>9.2123579200000005</v>
      </c>
      <c r="O111" s="8">
        <f>Modeloutput!N225</f>
        <v>0</v>
      </c>
      <c r="P111" s="8">
        <f>Modeloutput!O225</f>
        <v>0</v>
      </c>
      <c r="Q111" s="8">
        <f>Modeloutput!P225</f>
        <v>0</v>
      </c>
      <c r="S111" s="7" t="s">
        <v>1</v>
      </c>
      <c r="T111" s="13">
        <f>SUM(W111:AH111)</f>
        <v>71.597415209999994</v>
      </c>
      <c r="U111" s="8">
        <f>Modeloutput!C480</f>
        <v>0</v>
      </c>
      <c r="V111" s="8">
        <f>Modeloutput!D480</f>
        <v>71.5974152</v>
      </c>
      <c r="W111" s="8">
        <f>Modeloutput!E480</f>
        <v>35.699894</v>
      </c>
      <c r="X111" s="8">
        <f>Modeloutput!F480</f>
        <v>0</v>
      </c>
      <c r="Y111" s="8">
        <f>Modeloutput!G480</f>
        <v>24.974830000000001</v>
      </c>
      <c r="Z111" s="8">
        <f>Modeloutput!H480</f>
        <v>0</v>
      </c>
      <c r="AA111" s="8">
        <f>Modeloutput!I480</f>
        <v>0</v>
      </c>
      <c r="AB111" s="8">
        <f>Modeloutput!J480</f>
        <v>0</v>
      </c>
      <c r="AC111" s="8">
        <f>Modeloutput!K480</f>
        <v>1.88927278</v>
      </c>
      <c r="AD111" s="8">
        <f>Modeloutput!L480</f>
        <v>0</v>
      </c>
      <c r="AE111" s="8">
        <f>Modeloutput!M480</f>
        <v>9.0334184299999993</v>
      </c>
      <c r="AF111" s="8">
        <f>Modeloutput!N480</f>
        <v>0</v>
      </c>
      <c r="AG111" s="8">
        <f>Modeloutput!O480</f>
        <v>0</v>
      </c>
      <c r="AH111" s="8">
        <f>Modeloutput!P480</f>
        <v>0</v>
      </c>
      <c r="AJ111" s="7" t="s">
        <v>1</v>
      </c>
      <c r="AK111" s="13">
        <f>SUM(AN111:AY111)</f>
        <v>244.77947369999998</v>
      </c>
      <c r="AL111" s="8">
        <f>Modeloutput!C735</f>
        <v>0</v>
      </c>
      <c r="AM111" s="8">
        <f>Modeloutput!D735</f>
        <v>244.77947399999999</v>
      </c>
      <c r="AN111" s="8">
        <f>Modeloutput!E735</f>
        <v>69.634953499999995</v>
      </c>
      <c r="AO111" s="8">
        <f>Modeloutput!F735</f>
        <v>0</v>
      </c>
      <c r="AP111" s="8">
        <f>Modeloutput!G735</f>
        <v>45.6777522</v>
      </c>
      <c r="AQ111" s="8">
        <f>Modeloutput!H735</f>
        <v>0</v>
      </c>
      <c r="AR111" s="8">
        <f>Modeloutput!I735</f>
        <v>0</v>
      </c>
      <c r="AS111" s="8">
        <f>Modeloutput!J735</f>
        <v>0</v>
      </c>
      <c r="AT111" s="8">
        <f>Modeloutput!K735</f>
        <v>0</v>
      </c>
      <c r="AU111" s="8">
        <f>Modeloutput!L735</f>
        <v>0</v>
      </c>
      <c r="AV111" s="8">
        <f>Modeloutput!M735</f>
        <v>129.466768</v>
      </c>
      <c r="AW111" s="8">
        <f>Modeloutput!N735</f>
        <v>0</v>
      </c>
      <c r="AX111" s="8">
        <f>Modeloutput!O735</f>
        <v>0</v>
      </c>
      <c r="AY111" s="8">
        <f>Modeloutput!P735</f>
        <v>0</v>
      </c>
      <c r="BA111" s="7" t="s">
        <v>1</v>
      </c>
      <c r="BB111" s="13">
        <f>SUM(BE111:BP111)</f>
        <v>78.5274103</v>
      </c>
      <c r="BC111" s="8">
        <f>Modeloutput!C990</f>
        <v>0</v>
      </c>
      <c r="BD111" s="8">
        <f>Modeloutput!D990</f>
        <v>78.527410399999994</v>
      </c>
      <c r="BE111" s="8">
        <f>Modeloutput!E990</f>
        <v>49.995046799999997</v>
      </c>
      <c r="BF111" s="8">
        <f>Modeloutput!F990</f>
        <v>0</v>
      </c>
      <c r="BG111" s="8">
        <f>Modeloutput!G990</f>
        <v>28.532363499999999</v>
      </c>
      <c r="BH111" s="8">
        <f>Modeloutput!H990</f>
        <v>0</v>
      </c>
      <c r="BI111" s="8">
        <f>Modeloutput!I990</f>
        <v>0</v>
      </c>
      <c r="BJ111" s="8">
        <f>Modeloutput!J990</f>
        <v>0</v>
      </c>
      <c r="BK111" s="8">
        <f>Modeloutput!K990</f>
        <v>0</v>
      </c>
      <c r="BL111" s="8">
        <f>Modeloutput!L990</f>
        <v>0</v>
      </c>
      <c r="BM111" s="8">
        <f>Modeloutput!M990</f>
        <v>0</v>
      </c>
      <c r="BN111" s="8">
        <f>Modeloutput!N990</f>
        <v>0</v>
      </c>
      <c r="BO111" s="8">
        <f>Modeloutput!O990</f>
        <v>0</v>
      </c>
      <c r="BP111" s="8">
        <f>Modeloutput!P990</f>
        <v>0</v>
      </c>
      <c r="BR111" s="7" t="s">
        <v>1</v>
      </c>
      <c r="BS111" s="13">
        <f>SUM(BV111:CG111)</f>
        <v>128.50056621300001</v>
      </c>
      <c r="BT111" s="8">
        <f>Modeloutput!C1245</f>
        <v>0</v>
      </c>
      <c r="BU111" s="8">
        <f>Modeloutput!D1245</f>
        <v>128.50056599999999</v>
      </c>
      <c r="BV111" s="8">
        <f>Modeloutput!E1245</f>
        <v>35.699894</v>
      </c>
      <c r="BW111" s="8">
        <f>Modeloutput!F1245</f>
        <v>0</v>
      </c>
      <c r="BX111" s="8">
        <f>Modeloutput!G1245</f>
        <v>24.685874099999999</v>
      </c>
      <c r="BY111" s="8">
        <f>Modeloutput!H1245</f>
        <v>0</v>
      </c>
      <c r="BZ111" s="8">
        <f>Modeloutput!I1245</f>
        <v>0</v>
      </c>
      <c r="CA111" s="8">
        <f>Modeloutput!J1245</f>
        <v>0</v>
      </c>
      <c r="CB111" s="8">
        <f>Modeloutput!K1245</f>
        <v>29.729580800000001</v>
      </c>
      <c r="CC111" s="8">
        <f>Modeloutput!L1245</f>
        <v>38.233194400000002</v>
      </c>
      <c r="CD111" s="8">
        <f>Modeloutput!M1245</f>
        <v>0.15202291300000001</v>
      </c>
      <c r="CE111" s="8">
        <f>Modeloutput!N1245</f>
        <v>0</v>
      </c>
      <c r="CF111" s="8">
        <f>Modeloutput!O1245</f>
        <v>0</v>
      </c>
      <c r="CG111" s="8">
        <f>Modeloutput!P1245</f>
        <v>0</v>
      </c>
    </row>
    <row r="112" spans="1:85" s="7" customFormat="1" x14ac:dyDescent="0.25">
      <c r="B112" s="7" t="s">
        <v>2</v>
      </c>
      <c r="C112" s="13">
        <f t="shared" ref="C112:C124" si="41">SUM(F112:Q112)</f>
        <v>15.561389428</v>
      </c>
      <c r="D112" s="8">
        <f>Modeloutput!C226</f>
        <v>0</v>
      </c>
      <c r="E112" s="8">
        <f>Modeloutput!D226</f>
        <v>15.561389399999999</v>
      </c>
      <c r="F112" s="8">
        <f>Modeloutput!E226</f>
        <v>0</v>
      </c>
      <c r="G112" s="8">
        <f>Modeloutput!F226</f>
        <v>0</v>
      </c>
      <c r="H112" s="8">
        <f>Modeloutput!G226</f>
        <v>0.110395228</v>
      </c>
      <c r="I112" s="8">
        <f>Modeloutput!H226</f>
        <v>0</v>
      </c>
      <c r="J112" s="8">
        <f>Modeloutput!I226</f>
        <v>0</v>
      </c>
      <c r="K112" s="8">
        <f>Modeloutput!J226</f>
        <v>0</v>
      </c>
      <c r="L112" s="8">
        <f>Modeloutput!K226</f>
        <v>15.4509942</v>
      </c>
      <c r="M112" s="8">
        <f>Modeloutput!L226</f>
        <v>0</v>
      </c>
      <c r="N112" s="8">
        <f>Modeloutput!M226</f>
        <v>0</v>
      </c>
      <c r="O112" s="8">
        <f>Modeloutput!N226</f>
        <v>0</v>
      </c>
      <c r="P112" s="8">
        <f>Modeloutput!O226</f>
        <v>0</v>
      </c>
      <c r="Q112" s="8">
        <f>Modeloutput!P226</f>
        <v>0</v>
      </c>
      <c r="S112" s="7" t="s">
        <v>2</v>
      </c>
      <c r="T112" s="13">
        <f t="shared" ref="T112:T124" si="42">SUM(W112:AH112)</f>
        <v>12.329548727999999</v>
      </c>
      <c r="U112" s="8">
        <f>Modeloutput!C481</f>
        <v>0</v>
      </c>
      <c r="V112" s="8">
        <f>Modeloutput!D481</f>
        <v>12.3295488</v>
      </c>
      <c r="W112" s="8">
        <f>Modeloutput!E481</f>
        <v>0</v>
      </c>
      <c r="X112" s="8">
        <f>Modeloutput!F481</f>
        <v>0</v>
      </c>
      <c r="Y112" s="8">
        <f>Modeloutput!G481</f>
        <v>0.41165132799999998</v>
      </c>
      <c r="Z112" s="8">
        <f>Modeloutput!H481</f>
        <v>0</v>
      </c>
      <c r="AA112" s="8">
        <f>Modeloutput!I481</f>
        <v>0</v>
      </c>
      <c r="AB112" s="8">
        <f>Modeloutput!J481</f>
        <v>0</v>
      </c>
      <c r="AC112" s="8">
        <f>Modeloutput!K481</f>
        <v>11.917897399999999</v>
      </c>
      <c r="AD112" s="8">
        <f>Modeloutput!L481</f>
        <v>0</v>
      </c>
      <c r="AE112" s="8">
        <f>Modeloutput!M481</f>
        <v>0</v>
      </c>
      <c r="AF112" s="8">
        <f>Modeloutput!N481</f>
        <v>0</v>
      </c>
      <c r="AG112" s="8">
        <f>Modeloutput!O481</f>
        <v>0</v>
      </c>
      <c r="AH112" s="8">
        <f>Modeloutput!P481</f>
        <v>0</v>
      </c>
      <c r="AJ112" s="7" t="s">
        <v>2</v>
      </c>
      <c r="AK112" s="13">
        <f t="shared" ref="AK112:AK124" si="43">SUM(AN112:AY112)</f>
        <v>8.2126682190000011</v>
      </c>
      <c r="AL112" s="8">
        <f>Modeloutput!C736</f>
        <v>0</v>
      </c>
      <c r="AM112" s="8">
        <f>Modeloutput!D736</f>
        <v>8.2126682199999994</v>
      </c>
      <c r="AN112" s="8">
        <f>Modeloutput!E736</f>
        <v>0</v>
      </c>
      <c r="AO112" s="8">
        <f>Modeloutput!F736</f>
        <v>0</v>
      </c>
      <c r="AP112" s="8">
        <f>Modeloutput!G736</f>
        <v>0.97846367899999998</v>
      </c>
      <c r="AQ112" s="8">
        <f>Modeloutput!H736</f>
        <v>0</v>
      </c>
      <c r="AR112" s="8">
        <f>Modeloutput!I736</f>
        <v>0</v>
      </c>
      <c r="AS112" s="8">
        <f>Modeloutput!J736</f>
        <v>0</v>
      </c>
      <c r="AT112" s="8">
        <f>Modeloutput!K736</f>
        <v>7.2342045400000003</v>
      </c>
      <c r="AU112" s="8">
        <f>Modeloutput!L736</f>
        <v>0</v>
      </c>
      <c r="AV112" s="8">
        <f>Modeloutput!M736</f>
        <v>0</v>
      </c>
      <c r="AW112" s="8">
        <f>Modeloutput!N736</f>
        <v>0</v>
      </c>
      <c r="AX112" s="8">
        <f>Modeloutput!O736</f>
        <v>0</v>
      </c>
      <c r="AY112" s="8">
        <f>Modeloutput!P736</f>
        <v>0</v>
      </c>
      <c r="BA112" s="7" t="s">
        <v>2</v>
      </c>
      <c r="BB112" s="13">
        <f t="shared" ref="BB112:BB124" si="44">SUM(BE112:BP112)</f>
        <v>73.528510714000006</v>
      </c>
      <c r="BC112" s="8">
        <f>Modeloutput!C991</f>
        <v>0</v>
      </c>
      <c r="BD112" s="8">
        <f>Modeloutput!D991</f>
        <v>73.528510699999998</v>
      </c>
      <c r="BE112" s="8">
        <f>Modeloutput!E991</f>
        <v>49.125908299999999</v>
      </c>
      <c r="BF112" s="8">
        <f>Modeloutput!F991</f>
        <v>1.8802097099999999</v>
      </c>
      <c r="BG112" s="8">
        <f>Modeloutput!G991</f>
        <v>8.9909434000000008</v>
      </c>
      <c r="BH112" s="8">
        <f>Modeloutput!H991</f>
        <v>0.188637004</v>
      </c>
      <c r="BI112" s="8">
        <f>Modeloutput!I991</f>
        <v>0</v>
      </c>
      <c r="BJ112" s="8">
        <f>Modeloutput!J991</f>
        <v>0</v>
      </c>
      <c r="BK112" s="8">
        <f>Modeloutput!K991</f>
        <v>13.3428123</v>
      </c>
      <c r="BL112" s="8">
        <f>Modeloutput!L991</f>
        <v>0</v>
      </c>
      <c r="BM112" s="8">
        <f>Modeloutput!M991</f>
        <v>0</v>
      </c>
      <c r="BN112" s="8">
        <f>Modeloutput!N991</f>
        <v>0</v>
      </c>
      <c r="BO112" s="8">
        <f>Modeloutput!O991</f>
        <v>0</v>
      </c>
      <c r="BP112" s="8">
        <f>Modeloutput!P991</f>
        <v>0</v>
      </c>
      <c r="BR112" s="7" t="s">
        <v>2</v>
      </c>
      <c r="BS112" s="13">
        <f t="shared" ref="BS112:BS124" si="45">SUM(BV112:CG112)</f>
        <v>22.797169173662102</v>
      </c>
      <c r="BT112" s="8">
        <f>Modeloutput!C1246</f>
        <v>0</v>
      </c>
      <c r="BU112" s="8">
        <f>Modeloutput!D1246</f>
        <v>22.797169199999999</v>
      </c>
      <c r="BV112" s="8">
        <f>Modeloutput!E1246</f>
        <v>0</v>
      </c>
      <c r="BW112" s="8">
        <f>Modeloutput!F1246</f>
        <v>0</v>
      </c>
      <c r="BX112" s="8">
        <f>Modeloutput!G1246</f>
        <v>6.7673161099999999E-5</v>
      </c>
      <c r="BY112" s="8">
        <f>Modeloutput!H1246</f>
        <v>0</v>
      </c>
      <c r="BZ112" s="8">
        <f>Modeloutput!I1246</f>
        <v>0</v>
      </c>
      <c r="CA112" s="8">
        <f>Modeloutput!J1246</f>
        <v>0</v>
      </c>
      <c r="CB112" s="8">
        <f>Modeloutput!K1246</f>
        <v>22.796931499999999</v>
      </c>
      <c r="CC112" s="8">
        <f>Modeloutput!L1246</f>
        <v>1.7000050099999999E-4</v>
      </c>
      <c r="CD112" s="8">
        <f>Modeloutput!M1246</f>
        <v>0</v>
      </c>
      <c r="CE112" s="8">
        <f>Modeloutput!N1246</f>
        <v>0</v>
      </c>
      <c r="CF112" s="8">
        <f>Modeloutput!O1246</f>
        <v>0</v>
      </c>
      <c r="CG112" s="8">
        <f>Modeloutput!P1246</f>
        <v>0</v>
      </c>
    </row>
    <row r="113" spans="1:85" s="7" customFormat="1" x14ac:dyDescent="0.25">
      <c r="B113" s="7" t="s">
        <v>3</v>
      </c>
      <c r="C113" s="13">
        <f t="shared" si="41"/>
        <v>67.585872284299995</v>
      </c>
      <c r="D113" s="8">
        <f>Modeloutput!C227</f>
        <v>0</v>
      </c>
      <c r="E113" s="8">
        <f>Modeloutput!D227</f>
        <v>67.585872199999997</v>
      </c>
      <c r="F113" s="8">
        <f>Modeloutput!E227</f>
        <v>43.7708631</v>
      </c>
      <c r="G113" s="8">
        <f>Modeloutput!F227</f>
        <v>0.15649517299999999</v>
      </c>
      <c r="H113" s="8">
        <f>Modeloutput!G227</f>
        <v>8.5593069600000007</v>
      </c>
      <c r="I113" s="8">
        <f>Modeloutput!H227</f>
        <v>2.1446151300000001E-2</v>
      </c>
      <c r="J113" s="8">
        <f>Modeloutput!I227</f>
        <v>0</v>
      </c>
      <c r="K113" s="8">
        <f>Modeloutput!J227</f>
        <v>0</v>
      </c>
      <c r="L113" s="8">
        <f>Modeloutput!K227</f>
        <v>6.0413473</v>
      </c>
      <c r="M113" s="8">
        <f>Modeloutput!L227</f>
        <v>0</v>
      </c>
      <c r="N113" s="8">
        <f>Modeloutput!M227</f>
        <v>0</v>
      </c>
      <c r="O113" s="8">
        <f>Modeloutput!N227</f>
        <v>0</v>
      </c>
      <c r="P113" s="8">
        <f>Modeloutput!O227</f>
        <v>0</v>
      </c>
      <c r="Q113" s="8">
        <f>Modeloutput!P227</f>
        <v>9.0364135999999995</v>
      </c>
      <c r="S113" s="7" t="s">
        <v>3</v>
      </c>
      <c r="T113" s="13">
        <f t="shared" si="42"/>
        <v>61.4066038693</v>
      </c>
      <c r="U113" s="8">
        <f>Modeloutput!C482</f>
        <v>0</v>
      </c>
      <c r="V113" s="8">
        <f>Modeloutput!D482</f>
        <v>61.406603799999999</v>
      </c>
      <c r="W113" s="8">
        <f>Modeloutput!E482</f>
        <v>39.361964700000001</v>
      </c>
      <c r="X113" s="8">
        <f>Modeloutput!F482</f>
        <v>0.182302663</v>
      </c>
      <c r="Y113" s="8">
        <f>Modeloutput!G482</f>
        <v>5.9697369399999998</v>
      </c>
      <c r="Z113" s="8">
        <f>Modeloutput!H482</f>
        <v>1.21570863E-2</v>
      </c>
      <c r="AA113" s="8">
        <f>Modeloutput!I482</f>
        <v>0</v>
      </c>
      <c r="AB113" s="8">
        <f>Modeloutput!J482</f>
        <v>0</v>
      </c>
      <c r="AC113" s="8">
        <f>Modeloutput!K482</f>
        <v>4.3912813799999997</v>
      </c>
      <c r="AD113" s="8">
        <f>Modeloutput!L482</f>
        <v>0</v>
      </c>
      <c r="AE113" s="8">
        <f>Modeloutput!M482</f>
        <v>0</v>
      </c>
      <c r="AF113" s="8">
        <f>Modeloutput!N482</f>
        <v>0</v>
      </c>
      <c r="AG113" s="8">
        <f>Modeloutput!O482</f>
        <v>0</v>
      </c>
      <c r="AH113" s="8">
        <f>Modeloutput!P482</f>
        <v>11.4891611</v>
      </c>
      <c r="AJ113" s="7" t="s">
        <v>3</v>
      </c>
      <c r="AK113" s="13">
        <f t="shared" si="43"/>
        <v>47.861978944200004</v>
      </c>
      <c r="AL113" s="8">
        <f>Modeloutput!C737</f>
        <v>0</v>
      </c>
      <c r="AM113" s="8">
        <f>Modeloutput!D737</f>
        <v>47.861978899999997</v>
      </c>
      <c r="AN113" s="8">
        <f>Modeloutput!E737</f>
        <v>5.6268561500000001</v>
      </c>
      <c r="AO113" s="8">
        <f>Modeloutput!F737</f>
        <v>0.117616239</v>
      </c>
      <c r="AP113" s="8">
        <f>Modeloutput!G737</f>
        <v>1.4527413899999999</v>
      </c>
      <c r="AQ113" s="8">
        <f>Modeloutput!H737</f>
        <v>2.0908385200000001E-2</v>
      </c>
      <c r="AR113" s="8">
        <f>Modeloutput!I737</f>
        <v>0</v>
      </c>
      <c r="AS113" s="8">
        <f>Modeloutput!J737</f>
        <v>0</v>
      </c>
      <c r="AT113" s="8">
        <f>Modeloutput!K737</f>
        <v>2.62039468</v>
      </c>
      <c r="AU113" s="8">
        <f>Modeloutput!L737</f>
        <v>0</v>
      </c>
      <c r="AV113" s="8">
        <f>Modeloutput!M737</f>
        <v>0</v>
      </c>
      <c r="AW113" s="8">
        <f>Modeloutput!N737</f>
        <v>0</v>
      </c>
      <c r="AX113" s="8">
        <f>Modeloutput!O737</f>
        <v>0</v>
      </c>
      <c r="AY113" s="8">
        <f>Modeloutput!P737</f>
        <v>38.023462100000003</v>
      </c>
      <c r="BA113" s="7" t="s">
        <v>3</v>
      </c>
      <c r="BB113" s="13">
        <f t="shared" si="44"/>
        <v>40.021436739999999</v>
      </c>
      <c r="BC113" s="8">
        <f>Modeloutput!C992</f>
        <v>0</v>
      </c>
      <c r="BD113" s="8">
        <f>Modeloutput!D992</f>
        <v>40.021436700000002</v>
      </c>
      <c r="BE113" s="8">
        <f>Modeloutput!E992</f>
        <v>0</v>
      </c>
      <c r="BF113" s="8">
        <f>Modeloutput!F992</f>
        <v>0</v>
      </c>
      <c r="BG113" s="8">
        <f>Modeloutput!G992</f>
        <v>0</v>
      </c>
      <c r="BH113" s="8">
        <f>Modeloutput!H992</f>
        <v>0</v>
      </c>
      <c r="BI113" s="8">
        <f>Modeloutput!I992</f>
        <v>0</v>
      </c>
      <c r="BJ113" s="8">
        <f>Modeloutput!J992</f>
        <v>0</v>
      </c>
      <c r="BK113" s="8">
        <f>Modeloutput!K992</f>
        <v>5.0463966400000002</v>
      </c>
      <c r="BL113" s="8">
        <f>Modeloutput!L992</f>
        <v>0</v>
      </c>
      <c r="BM113" s="8">
        <f>Modeloutput!M992</f>
        <v>0</v>
      </c>
      <c r="BN113" s="8">
        <f>Modeloutput!N992</f>
        <v>0</v>
      </c>
      <c r="BO113" s="8">
        <f>Modeloutput!O992</f>
        <v>0</v>
      </c>
      <c r="BP113" s="8">
        <f>Modeloutput!P992</f>
        <v>34.975040100000001</v>
      </c>
      <c r="BR113" s="7" t="s">
        <v>3</v>
      </c>
      <c r="BS113" s="13">
        <f t="shared" si="45"/>
        <v>46.088894356019999</v>
      </c>
      <c r="BT113" s="8">
        <f>Modeloutput!C1247</f>
        <v>0</v>
      </c>
      <c r="BU113" s="8">
        <f>Modeloutput!D1247</f>
        <v>46.0888943</v>
      </c>
      <c r="BV113" s="8">
        <f>Modeloutput!E1247</f>
        <v>0.15249022500000001</v>
      </c>
      <c r="BW113" s="8">
        <f>Modeloutput!F1247</f>
        <v>5.0160746199999998E-3</v>
      </c>
      <c r="BX113" s="8">
        <f>Modeloutput!G1247</f>
        <v>2.3630796400000001E-2</v>
      </c>
      <c r="BY113" s="8">
        <f>Modeloutput!H1247</f>
        <v>0</v>
      </c>
      <c r="BZ113" s="8">
        <f>Modeloutput!I1247</f>
        <v>0</v>
      </c>
      <c r="CA113" s="8">
        <f>Modeloutput!J1247</f>
        <v>0</v>
      </c>
      <c r="CB113" s="8">
        <f>Modeloutput!K1247</f>
        <v>7.47179561</v>
      </c>
      <c r="CC113" s="8">
        <f>Modeloutput!L1247</f>
        <v>3.4638068500000001</v>
      </c>
      <c r="CD113" s="8">
        <f>Modeloutput!M1247</f>
        <v>0</v>
      </c>
      <c r="CE113" s="8">
        <f>Modeloutput!N1247</f>
        <v>0</v>
      </c>
      <c r="CF113" s="8">
        <f>Modeloutput!O1247</f>
        <v>0</v>
      </c>
      <c r="CG113" s="8">
        <f>Modeloutput!P1247</f>
        <v>34.972154799999998</v>
      </c>
    </row>
    <row r="114" spans="1:85" s="7" customFormat="1" x14ac:dyDescent="0.25">
      <c r="B114" s="7" t="s">
        <v>4</v>
      </c>
      <c r="C114" s="13">
        <f t="shared" si="41"/>
        <v>140.73707392</v>
      </c>
      <c r="D114" s="8">
        <f>Modeloutput!C228</f>
        <v>0</v>
      </c>
      <c r="E114" s="8">
        <f>Modeloutput!D228</f>
        <v>140.73707400000001</v>
      </c>
      <c r="F114" s="8">
        <f>Modeloutput!E228</f>
        <v>72.1534549</v>
      </c>
      <c r="G114" s="8">
        <f>Modeloutput!F228</f>
        <v>11.657047499999999</v>
      </c>
      <c r="H114" s="8">
        <f>Modeloutput!G228</f>
        <v>57.822302299999997</v>
      </c>
      <c r="I114" s="8">
        <f>Modeloutput!H228</f>
        <v>2.6270512500000001</v>
      </c>
      <c r="J114" s="8">
        <f>Modeloutput!I228</f>
        <v>0</v>
      </c>
      <c r="K114" s="8">
        <f>Modeloutput!J228</f>
        <v>0</v>
      </c>
      <c r="L114" s="8">
        <f>Modeloutput!K228</f>
        <v>0</v>
      </c>
      <c r="M114" s="8">
        <f>Modeloutput!L228</f>
        <v>0</v>
      </c>
      <c r="N114" s="8">
        <f>Modeloutput!M228</f>
        <v>2.5967661799999999</v>
      </c>
      <c r="O114" s="8">
        <f>Modeloutput!N228</f>
        <v>0</v>
      </c>
      <c r="P114" s="8">
        <f>Modeloutput!O228</f>
        <v>0</v>
      </c>
      <c r="Q114" s="8">
        <f>Modeloutput!P228</f>
        <v>-6.1195482099999996</v>
      </c>
      <c r="S114" s="7" t="s">
        <v>4</v>
      </c>
      <c r="T114" s="13">
        <f t="shared" si="42"/>
        <v>140.73258249</v>
      </c>
      <c r="U114" s="8">
        <f>Modeloutput!C483</f>
        <v>0</v>
      </c>
      <c r="V114" s="8">
        <f>Modeloutput!D483</f>
        <v>140.73258200000001</v>
      </c>
      <c r="W114" s="8">
        <f>Modeloutput!E483</f>
        <v>72.1534549</v>
      </c>
      <c r="X114" s="8">
        <f>Modeloutput!F483</f>
        <v>11.657047499999999</v>
      </c>
      <c r="Y114" s="8">
        <f>Modeloutput!G483</f>
        <v>57.867974699999998</v>
      </c>
      <c r="Z114" s="8">
        <f>Modeloutput!H483</f>
        <v>2.6270512500000001</v>
      </c>
      <c r="AA114" s="8">
        <f>Modeloutput!I483</f>
        <v>0</v>
      </c>
      <c r="AB114" s="8">
        <f>Modeloutput!J483</f>
        <v>0</v>
      </c>
      <c r="AC114" s="8">
        <f>Modeloutput!K483</f>
        <v>0</v>
      </c>
      <c r="AD114" s="8">
        <f>Modeloutput!L483</f>
        <v>0</v>
      </c>
      <c r="AE114" s="8">
        <f>Modeloutput!M483</f>
        <v>2.55009503</v>
      </c>
      <c r="AF114" s="8">
        <f>Modeloutput!N483</f>
        <v>0</v>
      </c>
      <c r="AG114" s="8">
        <f>Modeloutput!O483</f>
        <v>0</v>
      </c>
      <c r="AH114" s="8">
        <f>Modeloutput!P483</f>
        <v>-6.1230408900000004</v>
      </c>
      <c r="AJ114" s="7" t="s">
        <v>4</v>
      </c>
      <c r="AK114" s="13">
        <f t="shared" si="43"/>
        <v>155.98747674000001</v>
      </c>
      <c r="AL114" s="8">
        <f>Modeloutput!C738</f>
        <v>0</v>
      </c>
      <c r="AM114" s="8">
        <f>Modeloutput!D738</f>
        <v>155.98747700000001</v>
      </c>
      <c r="AN114" s="8">
        <f>Modeloutput!E738</f>
        <v>72.1534549</v>
      </c>
      <c r="AO114" s="8">
        <f>Modeloutput!F738</f>
        <v>11.657047499999999</v>
      </c>
      <c r="AP114" s="8">
        <f>Modeloutput!G738</f>
        <v>56.434935899999999</v>
      </c>
      <c r="AQ114" s="8">
        <f>Modeloutput!H738</f>
        <v>2.6196005900000001</v>
      </c>
      <c r="AR114" s="8">
        <f>Modeloutput!I738</f>
        <v>0</v>
      </c>
      <c r="AS114" s="8">
        <f>Modeloutput!J738</f>
        <v>0</v>
      </c>
      <c r="AT114" s="8">
        <f>Modeloutput!K738</f>
        <v>0</v>
      </c>
      <c r="AU114" s="8">
        <f>Modeloutput!L738</f>
        <v>0</v>
      </c>
      <c r="AV114" s="8">
        <f>Modeloutput!M738</f>
        <v>18.745022899999999</v>
      </c>
      <c r="AW114" s="8">
        <f>Modeloutput!N738</f>
        <v>0</v>
      </c>
      <c r="AX114" s="8">
        <f>Modeloutput!O738</f>
        <v>0</v>
      </c>
      <c r="AY114" s="8">
        <f>Modeloutput!P738</f>
        <v>-5.6225850499999996</v>
      </c>
      <c r="BA114" s="7" t="s">
        <v>4</v>
      </c>
      <c r="BB114" s="13">
        <f t="shared" si="44"/>
        <v>148.26383713000001</v>
      </c>
      <c r="BC114" s="8">
        <f>Modeloutput!C993</f>
        <v>0</v>
      </c>
      <c r="BD114" s="8">
        <f>Modeloutput!D993</f>
        <v>148.263837</v>
      </c>
      <c r="BE114" s="8">
        <f>Modeloutput!E993</f>
        <v>79.447850900000006</v>
      </c>
      <c r="BF114" s="8">
        <f>Modeloutput!F993</f>
        <v>12.694914600000001</v>
      </c>
      <c r="BG114" s="8">
        <f>Modeloutput!G993</f>
        <v>59.5509992</v>
      </c>
      <c r="BH114" s="8">
        <f>Modeloutput!H993</f>
        <v>2.9939273800000001</v>
      </c>
      <c r="BI114" s="8">
        <f>Modeloutput!I993</f>
        <v>0</v>
      </c>
      <c r="BJ114" s="8">
        <f>Modeloutput!J993</f>
        <v>0</v>
      </c>
      <c r="BK114" s="8">
        <f>Modeloutput!K993</f>
        <v>0</v>
      </c>
      <c r="BL114" s="8">
        <f>Modeloutput!L993</f>
        <v>0</v>
      </c>
      <c r="BM114" s="8">
        <f>Modeloutput!M993</f>
        <v>0</v>
      </c>
      <c r="BN114" s="8">
        <f>Modeloutput!N993</f>
        <v>0</v>
      </c>
      <c r="BO114" s="8">
        <f>Modeloutput!O993</f>
        <v>0</v>
      </c>
      <c r="BP114" s="8">
        <f>Modeloutput!P993</f>
        <v>-6.42385495</v>
      </c>
      <c r="BR114" s="7" t="s">
        <v>4</v>
      </c>
      <c r="BS114" s="13">
        <f t="shared" si="45"/>
        <v>138.51035454980001</v>
      </c>
      <c r="BT114" s="8">
        <f>Modeloutput!C1248</f>
        <v>0</v>
      </c>
      <c r="BU114" s="8">
        <f>Modeloutput!D1248</f>
        <v>138.51035400000001</v>
      </c>
      <c r="BV114" s="8">
        <f>Modeloutput!E1248</f>
        <v>72.1534549</v>
      </c>
      <c r="BW114" s="8">
        <f>Modeloutput!F1248</f>
        <v>11.657047499999999</v>
      </c>
      <c r="BX114" s="8">
        <f>Modeloutput!G1248</f>
        <v>58.009364900000001</v>
      </c>
      <c r="BY114" s="8">
        <f>Modeloutput!H1248</f>
        <v>2.8965187499999998</v>
      </c>
      <c r="BZ114" s="8">
        <f>Modeloutput!I1248</f>
        <v>0</v>
      </c>
      <c r="CA114" s="8">
        <f>Modeloutput!J1248</f>
        <v>0</v>
      </c>
      <c r="CB114" s="8">
        <f>Modeloutput!K1248</f>
        <v>0</v>
      </c>
      <c r="CC114" s="8">
        <f>Modeloutput!L1248</f>
        <v>0</v>
      </c>
      <c r="CD114" s="8">
        <f>Modeloutput!M1248</f>
        <v>2.4023669800000001E-2</v>
      </c>
      <c r="CE114" s="8">
        <f>Modeloutput!N1248</f>
        <v>0</v>
      </c>
      <c r="CF114" s="8">
        <f>Modeloutput!O1248</f>
        <v>0</v>
      </c>
      <c r="CG114" s="8">
        <f>Modeloutput!P1248</f>
        <v>-6.23005517</v>
      </c>
    </row>
    <row r="115" spans="1:85" s="7" customFormat="1" x14ac:dyDescent="0.25">
      <c r="B115" s="7" t="s">
        <v>5</v>
      </c>
      <c r="C115" s="8">
        <f t="shared" si="41"/>
        <v>66.324994303000011</v>
      </c>
      <c r="D115" s="8">
        <f>Modeloutput!C229</f>
        <v>68.780676</v>
      </c>
      <c r="E115" s="8">
        <f>Modeloutput!D229</f>
        <v>-2.4556816299999999</v>
      </c>
      <c r="F115" s="8">
        <f>Modeloutput!E229</f>
        <v>28.838302500000001</v>
      </c>
      <c r="G115" s="8">
        <f>Modeloutput!F229</f>
        <v>4.8217550600000001</v>
      </c>
      <c r="H115" s="8">
        <f>Modeloutput!G229</f>
        <v>32.250073800000003</v>
      </c>
      <c r="I115" s="8">
        <f>Modeloutput!H229</f>
        <v>0.41486294299999998</v>
      </c>
      <c r="J115" s="8">
        <f>Modeloutput!I229</f>
        <v>0</v>
      </c>
      <c r="K115" s="8">
        <f>Modeloutput!J229</f>
        <v>0</v>
      </c>
      <c r="L115" s="8">
        <f>Modeloutput!K229</f>
        <v>0</v>
      </c>
      <c r="M115" s="8">
        <f>Modeloutput!L229</f>
        <v>0</v>
      </c>
      <c r="N115" s="8">
        <f>Modeloutput!M229</f>
        <v>0</v>
      </c>
      <c r="O115" s="8">
        <f>Modeloutput!N229</f>
        <v>0</v>
      </c>
      <c r="P115" s="8">
        <f>Modeloutput!O229</f>
        <v>0</v>
      </c>
      <c r="Q115" s="8">
        <f>Modeloutput!P229</f>
        <v>0</v>
      </c>
      <c r="S115" s="7" t="s">
        <v>5</v>
      </c>
      <c r="T115" s="8">
        <f t="shared" si="42"/>
        <v>55.413894151000001</v>
      </c>
      <c r="U115" s="8">
        <f>Modeloutput!C484</f>
        <v>60.425594199999999</v>
      </c>
      <c r="V115" s="8">
        <f>Modeloutput!D484</f>
        <v>-5.0117001300000004</v>
      </c>
      <c r="W115" s="8">
        <f>Modeloutput!E484</f>
        <v>26.463372700000001</v>
      </c>
      <c r="X115" s="8">
        <f>Modeloutput!F484</f>
        <v>4.8843999800000004</v>
      </c>
      <c r="Y115" s="8">
        <f>Modeloutput!G484</f>
        <v>23.6303701</v>
      </c>
      <c r="Z115" s="8">
        <f>Modeloutput!H484</f>
        <v>0.435751371</v>
      </c>
      <c r="AA115" s="8">
        <f>Modeloutput!I484</f>
        <v>0</v>
      </c>
      <c r="AB115" s="8">
        <f>Modeloutput!J484</f>
        <v>0</v>
      </c>
      <c r="AC115" s="8">
        <f>Modeloutput!K484</f>
        <v>0</v>
      </c>
      <c r="AD115" s="8">
        <f>Modeloutput!L484</f>
        <v>0</v>
      </c>
      <c r="AE115" s="8">
        <f>Modeloutput!M484</f>
        <v>0</v>
      </c>
      <c r="AF115" s="8">
        <f>Modeloutput!N484</f>
        <v>0</v>
      </c>
      <c r="AG115" s="8">
        <f>Modeloutput!O484</f>
        <v>0</v>
      </c>
      <c r="AH115" s="8">
        <f>Modeloutput!P484</f>
        <v>0</v>
      </c>
      <c r="AJ115" s="7" t="s">
        <v>5</v>
      </c>
      <c r="AK115" s="8">
        <f t="shared" si="43"/>
        <v>37.952914715999995</v>
      </c>
      <c r="AL115" s="8">
        <f>Modeloutput!C739</f>
        <v>47.248275599999999</v>
      </c>
      <c r="AM115" s="8">
        <f>Modeloutput!D739</f>
        <v>-9.2953609200000002</v>
      </c>
      <c r="AN115" s="8">
        <f>Modeloutput!E739</f>
        <v>19.9531597</v>
      </c>
      <c r="AO115" s="8">
        <f>Modeloutput!F739</f>
        <v>5.0728082399999996</v>
      </c>
      <c r="AP115" s="8">
        <f>Modeloutput!G739</f>
        <v>12.5198006</v>
      </c>
      <c r="AQ115" s="8">
        <f>Modeloutput!H739</f>
        <v>0.40714617600000003</v>
      </c>
      <c r="AR115" s="8">
        <f>Modeloutput!I739</f>
        <v>0</v>
      </c>
      <c r="AS115" s="8">
        <f>Modeloutput!J739</f>
        <v>0</v>
      </c>
      <c r="AT115" s="8">
        <f>Modeloutput!K739</f>
        <v>0</v>
      </c>
      <c r="AU115" s="8">
        <f>Modeloutput!L739</f>
        <v>0</v>
      </c>
      <c r="AV115" s="8">
        <f>Modeloutput!M739</f>
        <v>0</v>
      </c>
      <c r="AW115" s="8">
        <f>Modeloutput!N739</f>
        <v>0</v>
      </c>
      <c r="AX115" s="8">
        <f>Modeloutput!O739</f>
        <v>0</v>
      </c>
      <c r="AY115" s="8">
        <f>Modeloutput!P739</f>
        <v>0</v>
      </c>
      <c r="BA115" s="7" t="s">
        <v>5</v>
      </c>
      <c r="BB115" s="8">
        <f t="shared" si="44"/>
        <v>54.133048916</v>
      </c>
      <c r="BC115" s="8">
        <f>Modeloutput!C994</f>
        <v>57.732199199999997</v>
      </c>
      <c r="BD115" s="8">
        <f>Modeloutput!D994</f>
        <v>-3.5991502299999998</v>
      </c>
      <c r="BE115" s="8">
        <f>Modeloutput!E994</f>
        <v>28.095619299999999</v>
      </c>
      <c r="BF115" s="8">
        <f>Modeloutput!F994</f>
        <v>4.8354163799999998</v>
      </c>
      <c r="BG115" s="8">
        <f>Modeloutput!G994</f>
        <v>20.801765799999998</v>
      </c>
      <c r="BH115" s="8">
        <f>Modeloutput!H994</f>
        <v>0.40024743600000001</v>
      </c>
      <c r="BI115" s="8">
        <f>Modeloutput!I994</f>
        <v>0</v>
      </c>
      <c r="BJ115" s="8">
        <f>Modeloutput!J994</f>
        <v>0</v>
      </c>
      <c r="BK115" s="8">
        <f>Modeloutput!K994</f>
        <v>0</v>
      </c>
      <c r="BL115" s="8">
        <f>Modeloutput!L994</f>
        <v>0</v>
      </c>
      <c r="BM115" s="8">
        <f>Modeloutput!M994</f>
        <v>0</v>
      </c>
      <c r="BN115" s="8">
        <f>Modeloutput!N994</f>
        <v>0</v>
      </c>
      <c r="BO115" s="8">
        <f>Modeloutput!O994</f>
        <v>0</v>
      </c>
      <c r="BP115" s="8">
        <f>Modeloutput!P994</f>
        <v>0</v>
      </c>
      <c r="BR115" s="7" t="s">
        <v>5</v>
      </c>
      <c r="BS115" s="8">
        <f t="shared" si="45"/>
        <v>229.59071953</v>
      </c>
      <c r="BT115" s="8">
        <f>Modeloutput!C1249</f>
        <v>137.14682500000001</v>
      </c>
      <c r="BU115" s="8">
        <f>Modeloutput!D1249</f>
        <v>92.443895299999994</v>
      </c>
      <c r="BV115" s="8">
        <f>Modeloutput!E1249</f>
        <v>148.00815900000001</v>
      </c>
      <c r="BW115" s="8">
        <f>Modeloutput!F1249</f>
        <v>19.657737900000001</v>
      </c>
      <c r="BX115" s="8">
        <f>Modeloutput!G1249</f>
        <v>60.584195999999999</v>
      </c>
      <c r="BY115" s="8">
        <f>Modeloutput!H1249</f>
        <v>1.34062663</v>
      </c>
      <c r="BZ115" s="8">
        <f>Modeloutput!I1249</f>
        <v>0</v>
      </c>
      <c r="CA115" s="8">
        <f>Modeloutput!J1249</f>
        <v>0</v>
      </c>
      <c r="CB115" s="8">
        <f>Modeloutput!K1249</f>
        <v>0</v>
      </c>
      <c r="CC115" s="8">
        <f>Modeloutput!L1249</f>
        <v>0</v>
      </c>
      <c r="CD115" s="8">
        <f>Modeloutput!M1249</f>
        <v>0</v>
      </c>
      <c r="CE115" s="8">
        <f>Modeloutput!N1249</f>
        <v>0</v>
      </c>
      <c r="CF115" s="8">
        <f>Modeloutput!O1249</f>
        <v>0</v>
      </c>
      <c r="CG115" s="8">
        <f>Modeloutput!P1249</f>
        <v>0</v>
      </c>
    </row>
    <row r="116" spans="1:85" s="7" customFormat="1" x14ac:dyDescent="0.25">
      <c r="B116" s="7" t="s">
        <v>6</v>
      </c>
      <c r="C116" s="8">
        <f t="shared" si="41"/>
        <v>0</v>
      </c>
      <c r="D116" s="8">
        <f>Modeloutput!C230</f>
        <v>0</v>
      </c>
      <c r="E116" s="8">
        <f>Modeloutput!D230</f>
        <v>0</v>
      </c>
      <c r="F116" s="8">
        <f>Modeloutput!E230</f>
        <v>0</v>
      </c>
      <c r="G116" s="8">
        <f>Modeloutput!F230</f>
        <v>0</v>
      </c>
      <c r="H116" s="8">
        <f>Modeloutput!G230</f>
        <v>0</v>
      </c>
      <c r="I116" s="8">
        <f>Modeloutput!H230</f>
        <v>0</v>
      </c>
      <c r="J116" s="8">
        <f>Modeloutput!I230</f>
        <v>0</v>
      </c>
      <c r="K116" s="8">
        <f>Modeloutput!J230</f>
        <v>0</v>
      </c>
      <c r="L116" s="8">
        <f>Modeloutput!K230</f>
        <v>0</v>
      </c>
      <c r="M116" s="8">
        <f>Modeloutput!L230</f>
        <v>0</v>
      </c>
      <c r="N116" s="8">
        <f>Modeloutput!M230</f>
        <v>0</v>
      </c>
      <c r="O116" s="8">
        <f>Modeloutput!N230</f>
        <v>0</v>
      </c>
      <c r="P116" s="8">
        <f>Modeloutput!O230</f>
        <v>0</v>
      </c>
      <c r="Q116" s="8">
        <f>Modeloutput!P230</f>
        <v>0</v>
      </c>
      <c r="S116" s="7" t="s">
        <v>6</v>
      </c>
      <c r="T116" s="8">
        <f t="shared" si="42"/>
        <v>0</v>
      </c>
      <c r="U116" s="8">
        <f>Modeloutput!C485</f>
        <v>0</v>
      </c>
      <c r="V116" s="8">
        <f>Modeloutput!D485</f>
        <v>0</v>
      </c>
      <c r="W116" s="8">
        <f>Modeloutput!E485</f>
        <v>0</v>
      </c>
      <c r="X116" s="8">
        <f>Modeloutput!F485</f>
        <v>0</v>
      </c>
      <c r="Y116" s="8">
        <f>Modeloutput!G485</f>
        <v>0</v>
      </c>
      <c r="Z116" s="8">
        <f>Modeloutput!H485</f>
        <v>0</v>
      </c>
      <c r="AA116" s="8">
        <f>Modeloutput!I485</f>
        <v>0</v>
      </c>
      <c r="AB116" s="8">
        <f>Modeloutput!J485</f>
        <v>0</v>
      </c>
      <c r="AC116" s="8">
        <f>Modeloutput!K485</f>
        <v>0</v>
      </c>
      <c r="AD116" s="8">
        <f>Modeloutput!L485</f>
        <v>0</v>
      </c>
      <c r="AE116" s="8">
        <f>Modeloutput!M485</f>
        <v>0</v>
      </c>
      <c r="AF116" s="8">
        <f>Modeloutput!N485</f>
        <v>0</v>
      </c>
      <c r="AG116" s="8">
        <f>Modeloutput!O485</f>
        <v>0</v>
      </c>
      <c r="AH116" s="8">
        <f>Modeloutput!P485</f>
        <v>0</v>
      </c>
      <c r="AJ116" s="7" t="s">
        <v>6</v>
      </c>
      <c r="AK116" s="8">
        <f t="shared" si="43"/>
        <v>0</v>
      </c>
      <c r="AL116" s="8">
        <f>Modeloutput!C740</f>
        <v>0</v>
      </c>
      <c r="AM116" s="8">
        <f>Modeloutput!D740</f>
        <v>0</v>
      </c>
      <c r="AN116" s="8">
        <f>Modeloutput!E740</f>
        <v>0</v>
      </c>
      <c r="AO116" s="8">
        <f>Modeloutput!F740</f>
        <v>0</v>
      </c>
      <c r="AP116" s="8">
        <f>Modeloutput!G740</f>
        <v>0</v>
      </c>
      <c r="AQ116" s="8">
        <f>Modeloutput!H740</f>
        <v>0</v>
      </c>
      <c r="AR116" s="8">
        <f>Modeloutput!I740</f>
        <v>0</v>
      </c>
      <c r="AS116" s="8">
        <f>Modeloutput!J740</f>
        <v>0</v>
      </c>
      <c r="AT116" s="8">
        <f>Modeloutput!K740</f>
        <v>0</v>
      </c>
      <c r="AU116" s="8">
        <f>Modeloutput!L740</f>
        <v>0</v>
      </c>
      <c r="AV116" s="8">
        <f>Modeloutput!M740</f>
        <v>0</v>
      </c>
      <c r="AW116" s="8">
        <f>Modeloutput!N740</f>
        <v>0</v>
      </c>
      <c r="AX116" s="8">
        <f>Modeloutput!O740</f>
        <v>0</v>
      </c>
      <c r="AY116" s="8">
        <f>Modeloutput!P740</f>
        <v>0</v>
      </c>
      <c r="BA116" s="7" t="s">
        <v>6</v>
      </c>
      <c r="BB116" s="8">
        <f t="shared" si="44"/>
        <v>0</v>
      </c>
      <c r="BC116" s="8">
        <f>Modeloutput!C995</f>
        <v>0</v>
      </c>
      <c r="BD116" s="8">
        <f>Modeloutput!D995</f>
        <v>0</v>
      </c>
      <c r="BE116" s="8">
        <f>Modeloutput!E995</f>
        <v>0</v>
      </c>
      <c r="BF116" s="8">
        <f>Modeloutput!F995</f>
        <v>0</v>
      </c>
      <c r="BG116" s="8">
        <f>Modeloutput!G995</f>
        <v>0</v>
      </c>
      <c r="BH116" s="8">
        <f>Modeloutput!H995</f>
        <v>0</v>
      </c>
      <c r="BI116" s="8">
        <f>Modeloutput!I995</f>
        <v>0</v>
      </c>
      <c r="BJ116" s="8">
        <f>Modeloutput!J995</f>
        <v>0</v>
      </c>
      <c r="BK116" s="8">
        <f>Modeloutput!K995</f>
        <v>0</v>
      </c>
      <c r="BL116" s="8">
        <f>Modeloutput!L995</f>
        <v>0</v>
      </c>
      <c r="BM116" s="8">
        <f>Modeloutput!M995</f>
        <v>0</v>
      </c>
      <c r="BN116" s="8">
        <f>Modeloutput!N995</f>
        <v>0</v>
      </c>
      <c r="BO116" s="8">
        <f>Modeloutput!O995</f>
        <v>0</v>
      </c>
      <c r="BP116" s="8">
        <f>Modeloutput!P995</f>
        <v>0</v>
      </c>
      <c r="BR116" s="7" t="s">
        <v>6</v>
      </c>
      <c r="BS116" s="8">
        <f t="shared" si="45"/>
        <v>106.758580759</v>
      </c>
      <c r="BT116" s="8">
        <f>Modeloutput!C1250</f>
        <v>81.499356800000001</v>
      </c>
      <c r="BU116" s="8">
        <f>Modeloutput!D1250</f>
        <v>25.259223899999999</v>
      </c>
      <c r="BV116" s="8">
        <f>Modeloutput!E1250</f>
        <v>79.758615500000005</v>
      </c>
      <c r="BW116" s="8">
        <f>Modeloutput!F1250</f>
        <v>6.7767533000000002</v>
      </c>
      <c r="BX116" s="8">
        <f>Modeloutput!G1250</f>
        <v>19.348040999999998</v>
      </c>
      <c r="BY116" s="8">
        <f>Modeloutput!H1250</f>
        <v>0.87517095899999997</v>
      </c>
      <c r="BZ116" s="8">
        <f>Modeloutput!I1250</f>
        <v>0</v>
      </c>
      <c r="CA116" s="8">
        <f>Modeloutput!J1250</f>
        <v>0</v>
      </c>
      <c r="CB116" s="8">
        <f>Modeloutput!K1250</f>
        <v>0</v>
      </c>
      <c r="CC116" s="8">
        <f>Modeloutput!L1250</f>
        <v>0</v>
      </c>
      <c r="CD116" s="8">
        <f>Modeloutput!M1250</f>
        <v>0</v>
      </c>
      <c r="CE116" s="8">
        <f>Modeloutput!N1250</f>
        <v>0</v>
      </c>
      <c r="CF116" s="8">
        <f>Modeloutput!O1250</f>
        <v>0</v>
      </c>
      <c r="CG116" s="8">
        <f>Modeloutput!P1250</f>
        <v>0</v>
      </c>
    </row>
    <row r="117" spans="1:85" s="7" customFormat="1" x14ac:dyDescent="0.25">
      <c r="B117" s="7" t="s">
        <v>7</v>
      </c>
      <c r="C117" s="8">
        <f t="shared" si="41"/>
        <v>16.033681480999999</v>
      </c>
      <c r="D117" s="8">
        <f>Modeloutput!C231</f>
        <v>13.5634064</v>
      </c>
      <c r="E117" s="8">
        <f>Modeloutput!D231</f>
        <v>2.4702750899999999</v>
      </c>
      <c r="F117" s="8">
        <f>Modeloutput!E231</f>
        <v>0</v>
      </c>
      <c r="G117" s="8">
        <f>Modeloutput!F231</f>
        <v>13.368819999999999</v>
      </c>
      <c r="H117" s="8">
        <f>Modeloutput!G231</f>
        <v>1.7813250199999999</v>
      </c>
      <c r="I117" s="8">
        <f>Modeloutput!H231</f>
        <v>0.88353646100000005</v>
      </c>
      <c r="J117" s="8">
        <f>Modeloutput!I231</f>
        <v>0</v>
      </c>
      <c r="K117" s="8">
        <f>Modeloutput!J231</f>
        <v>0</v>
      </c>
      <c r="L117" s="8">
        <f>Modeloutput!K231</f>
        <v>0</v>
      </c>
      <c r="M117" s="8">
        <f>Modeloutput!L231</f>
        <v>0</v>
      </c>
      <c r="N117" s="8">
        <f>Modeloutput!M231</f>
        <v>0</v>
      </c>
      <c r="O117" s="8">
        <f>Modeloutput!N231</f>
        <v>0</v>
      </c>
      <c r="P117" s="8">
        <f>Modeloutput!O231</f>
        <v>0</v>
      </c>
      <c r="Q117" s="8">
        <f>Modeloutput!P231</f>
        <v>0</v>
      </c>
      <c r="S117" s="7" t="s">
        <v>7</v>
      </c>
      <c r="T117" s="8">
        <f t="shared" si="42"/>
        <v>15.873154836000001</v>
      </c>
      <c r="U117" s="8">
        <f>Modeloutput!C486</f>
        <v>13.2910603</v>
      </c>
      <c r="V117" s="8">
        <f>Modeloutput!D486</f>
        <v>2.5820946</v>
      </c>
      <c r="W117" s="8">
        <f>Modeloutput!E486</f>
        <v>0</v>
      </c>
      <c r="X117" s="8">
        <f>Modeloutput!F486</f>
        <v>13.3115027</v>
      </c>
      <c r="Y117" s="8">
        <f>Modeloutput!G486</f>
        <v>1.6744958999999999</v>
      </c>
      <c r="Z117" s="8">
        <f>Modeloutput!H486</f>
        <v>0.88715623600000004</v>
      </c>
      <c r="AA117" s="8">
        <f>Modeloutput!I486</f>
        <v>0</v>
      </c>
      <c r="AB117" s="8">
        <f>Modeloutput!J486</f>
        <v>0</v>
      </c>
      <c r="AC117" s="8">
        <f>Modeloutput!K486</f>
        <v>0</v>
      </c>
      <c r="AD117" s="8">
        <f>Modeloutput!L486</f>
        <v>0</v>
      </c>
      <c r="AE117" s="8">
        <f>Modeloutput!M486</f>
        <v>0</v>
      </c>
      <c r="AF117" s="8">
        <f>Modeloutput!N486</f>
        <v>0</v>
      </c>
      <c r="AG117" s="8">
        <f>Modeloutput!O486</f>
        <v>0</v>
      </c>
      <c r="AH117" s="8">
        <f>Modeloutput!P486</f>
        <v>0</v>
      </c>
      <c r="AJ117" s="7" t="s">
        <v>7</v>
      </c>
      <c r="AK117" s="8">
        <f t="shared" si="43"/>
        <v>102.962369358</v>
      </c>
      <c r="AL117" s="8">
        <f>Modeloutput!C741</f>
        <v>202.04804899999999</v>
      </c>
      <c r="AM117" s="8">
        <f>Modeloutput!D741</f>
        <v>-99.085679499999998</v>
      </c>
      <c r="AN117" s="8">
        <f>Modeloutput!E741</f>
        <v>67.001760099999998</v>
      </c>
      <c r="AO117" s="8">
        <f>Modeloutput!F741</f>
        <v>13.7580686</v>
      </c>
      <c r="AP117" s="8">
        <f>Modeloutput!G741</f>
        <v>21.288152100000001</v>
      </c>
      <c r="AQ117" s="8">
        <f>Modeloutput!H741</f>
        <v>0.91438855799999996</v>
      </c>
      <c r="AR117" s="8">
        <f>Modeloutput!I741</f>
        <v>0</v>
      </c>
      <c r="AS117" s="8">
        <f>Modeloutput!J741</f>
        <v>0</v>
      </c>
      <c r="AT117" s="8">
        <f>Modeloutput!K741</f>
        <v>0</v>
      </c>
      <c r="AU117" s="8">
        <f>Modeloutput!L741</f>
        <v>0</v>
      </c>
      <c r="AV117" s="8">
        <f>Modeloutput!M741</f>
        <v>0</v>
      </c>
      <c r="AW117" s="8">
        <f>Modeloutput!N741</f>
        <v>0</v>
      </c>
      <c r="AX117" s="8">
        <f>Modeloutput!O741</f>
        <v>0</v>
      </c>
      <c r="AY117" s="8">
        <f>Modeloutput!P741</f>
        <v>0</v>
      </c>
      <c r="BA117" s="7" t="s">
        <v>7</v>
      </c>
      <c r="BB117" s="8">
        <f t="shared" si="44"/>
        <v>0</v>
      </c>
      <c r="BC117" s="8">
        <f>Modeloutput!C996</f>
        <v>0</v>
      </c>
      <c r="BD117" s="8">
        <f>Modeloutput!D996</f>
        <v>0</v>
      </c>
      <c r="BE117" s="8">
        <f>Modeloutput!E996</f>
        <v>0</v>
      </c>
      <c r="BF117" s="8">
        <f>Modeloutput!F996</f>
        <v>0</v>
      </c>
      <c r="BG117" s="8">
        <f>Modeloutput!G996</f>
        <v>0</v>
      </c>
      <c r="BH117" s="8">
        <f>Modeloutput!H996</f>
        <v>0</v>
      </c>
      <c r="BI117" s="8">
        <f>Modeloutput!I996</f>
        <v>0</v>
      </c>
      <c r="BJ117" s="8">
        <f>Modeloutput!J996</f>
        <v>0</v>
      </c>
      <c r="BK117" s="8">
        <f>Modeloutput!K996</f>
        <v>0</v>
      </c>
      <c r="BL117" s="8">
        <f>Modeloutput!L996</f>
        <v>0</v>
      </c>
      <c r="BM117" s="8">
        <f>Modeloutput!M996</f>
        <v>0</v>
      </c>
      <c r="BN117" s="8">
        <f>Modeloutput!N996</f>
        <v>0</v>
      </c>
      <c r="BO117" s="8">
        <f>Modeloutput!O996</f>
        <v>0</v>
      </c>
      <c r="BP117" s="8">
        <f>Modeloutput!P996</f>
        <v>0</v>
      </c>
      <c r="BR117" s="7" t="s">
        <v>7</v>
      </c>
      <c r="BS117" s="8">
        <f t="shared" si="45"/>
        <v>0.2246602426</v>
      </c>
      <c r="BT117" s="8">
        <f>Modeloutput!C1251</f>
        <v>0.21803604800000001</v>
      </c>
      <c r="BU117" s="8">
        <f>Modeloutput!D1251</f>
        <v>6.6241942899999996E-3</v>
      </c>
      <c r="BV117" s="8">
        <f>Modeloutput!E1251</f>
        <v>0</v>
      </c>
      <c r="BW117" s="8">
        <f>Modeloutput!F1251</f>
        <v>0.132044719</v>
      </c>
      <c r="BX117" s="8">
        <f>Modeloutput!G1251</f>
        <v>4.1679437899999998E-2</v>
      </c>
      <c r="BY117" s="8">
        <f>Modeloutput!H1251</f>
        <v>5.0936085700000001E-2</v>
      </c>
      <c r="BZ117" s="8">
        <f>Modeloutput!I1251</f>
        <v>0</v>
      </c>
      <c r="CA117" s="8">
        <f>Modeloutput!J1251</f>
        <v>0</v>
      </c>
      <c r="CB117" s="8">
        <f>Modeloutput!K1251</f>
        <v>0</v>
      </c>
      <c r="CC117" s="8">
        <f>Modeloutput!L1251</f>
        <v>0</v>
      </c>
      <c r="CD117" s="8">
        <f>Modeloutput!M1251</f>
        <v>0</v>
      </c>
      <c r="CE117" s="8">
        <f>Modeloutput!N1251</f>
        <v>0</v>
      </c>
      <c r="CF117" s="8">
        <f>Modeloutput!O1251</f>
        <v>0</v>
      </c>
      <c r="CG117" s="8">
        <f>Modeloutput!P1251</f>
        <v>0</v>
      </c>
    </row>
    <row r="118" spans="1:85" s="7" customFormat="1" x14ac:dyDescent="0.25">
      <c r="B118" s="7" t="s">
        <v>8</v>
      </c>
      <c r="C118" s="8">
        <f t="shared" si="41"/>
        <v>0</v>
      </c>
      <c r="D118" s="8">
        <f>Modeloutput!C232</f>
        <v>0</v>
      </c>
      <c r="E118" s="8">
        <f>Modeloutput!D232</f>
        <v>0</v>
      </c>
      <c r="F118" s="8">
        <f>Modeloutput!E232</f>
        <v>0</v>
      </c>
      <c r="G118" s="8">
        <f>Modeloutput!F232</f>
        <v>0</v>
      </c>
      <c r="H118" s="8">
        <f>Modeloutput!G232</f>
        <v>0</v>
      </c>
      <c r="I118" s="8">
        <f>Modeloutput!H232</f>
        <v>0</v>
      </c>
      <c r="J118" s="8">
        <f>Modeloutput!I232</f>
        <v>0</v>
      </c>
      <c r="K118" s="8">
        <f>Modeloutput!J232</f>
        <v>0</v>
      </c>
      <c r="L118" s="8">
        <f>Modeloutput!K232</f>
        <v>0</v>
      </c>
      <c r="M118" s="8">
        <f>Modeloutput!L232</f>
        <v>0</v>
      </c>
      <c r="N118" s="8">
        <f>Modeloutput!M232</f>
        <v>0</v>
      </c>
      <c r="O118" s="8">
        <f>Modeloutput!N232</f>
        <v>0</v>
      </c>
      <c r="P118" s="8">
        <f>Modeloutput!O232</f>
        <v>0</v>
      </c>
      <c r="Q118" s="8">
        <f>Modeloutput!P232</f>
        <v>0</v>
      </c>
      <c r="S118" s="7" t="s">
        <v>8</v>
      </c>
      <c r="T118" s="8">
        <f t="shared" si="42"/>
        <v>0</v>
      </c>
      <c r="U118" s="8">
        <f>Modeloutput!C487</f>
        <v>0</v>
      </c>
      <c r="V118" s="8">
        <f>Modeloutput!D487</f>
        <v>0</v>
      </c>
      <c r="W118" s="8">
        <f>Modeloutput!E487</f>
        <v>0</v>
      </c>
      <c r="X118" s="8">
        <f>Modeloutput!F487</f>
        <v>0</v>
      </c>
      <c r="Y118" s="8">
        <f>Modeloutput!G487</f>
        <v>0</v>
      </c>
      <c r="Z118" s="8">
        <f>Modeloutput!H487</f>
        <v>0</v>
      </c>
      <c r="AA118" s="8">
        <f>Modeloutput!I487</f>
        <v>0</v>
      </c>
      <c r="AB118" s="8">
        <f>Modeloutput!J487</f>
        <v>0</v>
      </c>
      <c r="AC118" s="8">
        <f>Modeloutput!K487</f>
        <v>0</v>
      </c>
      <c r="AD118" s="8">
        <f>Modeloutput!L487</f>
        <v>0</v>
      </c>
      <c r="AE118" s="8">
        <f>Modeloutput!M487</f>
        <v>0</v>
      </c>
      <c r="AF118" s="8">
        <f>Modeloutput!N487</f>
        <v>0</v>
      </c>
      <c r="AG118" s="8">
        <f>Modeloutput!O487</f>
        <v>0</v>
      </c>
      <c r="AH118" s="8">
        <f>Modeloutput!P487</f>
        <v>0</v>
      </c>
      <c r="AJ118" s="7" t="s">
        <v>8</v>
      </c>
      <c r="AK118" s="8">
        <f t="shared" si="43"/>
        <v>0</v>
      </c>
      <c r="AL118" s="8">
        <f>Modeloutput!C742</f>
        <v>0</v>
      </c>
      <c r="AM118" s="8">
        <f>Modeloutput!D742</f>
        <v>0</v>
      </c>
      <c r="AN118" s="8">
        <f>Modeloutput!E742</f>
        <v>0</v>
      </c>
      <c r="AO118" s="8">
        <f>Modeloutput!F742</f>
        <v>0</v>
      </c>
      <c r="AP118" s="8">
        <f>Modeloutput!G742</f>
        <v>0</v>
      </c>
      <c r="AQ118" s="8">
        <f>Modeloutput!H742</f>
        <v>0</v>
      </c>
      <c r="AR118" s="8">
        <f>Modeloutput!I742</f>
        <v>0</v>
      </c>
      <c r="AS118" s="8">
        <f>Modeloutput!J742</f>
        <v>0</v>
      </c>
      <c r="AT118" s="8">
        <f>Modeloutput!K742</f>
        <v>0</v>
      </c>
      <c r="AU118" s="8">
        <f>Modeloutput!L742</f>
        <v>0</v>
      </c>
      <c r="AV118" s="8">
        <f>Modeloutput!M742</f>
        <v>0</v>
      </c>
      <c r="AW118" s="8">
        <f>Modeloutput!N742</f>
        <v>0</v>
      </c>
      <c r="AX118" s="8">
        <f>Modeloutput!O742</f>
        <v>0</v>
      </c>
      <c r="AY118" s="8">
        <f>Modeloutput!P742</f>
        <v>0</v>
      </c>
      <c r="BA118" s="7" t="s">
        <v>8</v>
      </c>
      <c r="BB118" s="8">
        <f t="shared" si="44"/>
        <v>0</v>
      </c>
      <c r="BC118" s="8">
        <f>Modeloutput!C997</f>
        <v>0</v>
      </c>
      <c r="BD118" s="8">
        <f>Modeloutput!D997</f>
        <v>0</v>
      </c>
      <c r="BE118" s="8">
        <f>Modeloutput!E997</f>
        <v>0</v>
      </c>
      <c r="BF118" s="8">
        <f>Modeloutput!F997</f>
        <v>0</v>
      </c>
      <c r="BG118" s="8">
        <f>Modeloutput!G997</f>
        <v>0</v>
      </c>
      <c r="BH118" s="8">
        <f>Modeloutput!H997</f>
        <v>0</v>
      </c>
      <c r="BI118" s="8">
        <f>Modeloutput!I997</f>
        <v>0</v>
      </c>
      <c r="BJ118" s="8">
        <f>Modeloutput!J997</f>
        <v>0</v>
      </c>
      <c r="BK118" s="8">
        <f>Modeloutput!K997</f>
        <v>0</v>
      </c>
      <c r="BL118" s="8">
        <f>Modeloutput!L997</f>
        <v>0</v>
      </c>
      <c r="BM118" s="8">
        <f>Modeloutput!M997</f>
        <v>0</v>
      </c>
      <c r="BN118" s="8">
        <f>Modeloutput!N997</f>
        <v>0</v>
      </c>
      <c r="BO118" s="8">
        <f>Modeloutput!O997</f>
        <v>0</v>
      </c>
      <c r="BP118" s="8">
        <f>Modeloutput!P997</f>
        <v>0</v>
      </c>
      <c r="BR118" s="7" t="s">
        <v>8</v>
      </c>
      <c r="BS118" s="8">
        <f t="shared" si="45"/>
        <v>0</v>
      </c>
      <c r="BT118" s="8">
        <f>Modeloutput!C1252</f>
        <v>0</v>
      </c>
      <c r="BU118" s="8">
        <f>Modeloutput!D1252</f>
        <v>0</v>
      </c>
      <c r="BV118" s="8">
        <f>Modeloutput!E1252</f>
        <v>0</v>
      </c>
      <c r="BW118" s="8">
        <f>Modeloutput!F1252</f>
        <v>0</v>
      </c>
      <c r="BX118" s="8">
        <f>Modeloutput!G1252</f>
        <v>0</v>
      </c>
      <c r="BY118" s="8">
        <f>Modeloutput!H1252</f>
        <v>0</v>
      </c>
      <c r="BZ118" s="8">
        <f>Modeloutput!I1252</f>
        <v>0</v>
      </c>
      <c r="CA118" s="8">
        <f>Modeloutput!J1252</f>
        <v>0</v>
      </c>
      <c r="CB118" s="8">
        <f>Modeloutput!K1252</f>
        <v>0</v>
      </c>
      <c r="CC118" s="8">
        <f>Modeloutput!L1252</f>
        <v>0</v>
      </c>
      <c r="CD118" s="8">
        <f>Modeloutput!M1252</f>
        <v>0</v>
      </c>
      <c r="CE118" s="8">
        <f>Modeloutput!N1252</f>
        <v>0</v>
      </c>
      <c r="CF118" s="8">
        <f>Modeloutput!O1252</f>
        <v>0</v>
      </c>
      <c r="CG118" s="8">
        <f>Modeloutput!P1252</f>
        <v>0</v>
      </c>
    </row>
    <row r="119" spans="1:85" s="7" customFormat="1" x14ac:dyDescent="0.25">
      <c r="B119" s="7" t="s">
        <v>9</v>
      </c>
      <c r="C119" s="8">
        <f t="shared" si="41"/>
        <v>0</v>
      </c>
      <c r="D119" s="8">
        <f>Modeloutput!C233</f>
        <v>0</v>
      </c>
      <c r="E119" s="8">
        <f>Modeloutput!D233</f>
        <v>0</v>
      </c>
      <c r="F119" s="8">
        <f>Modeloutput!E233</f>
        <v>0</v>
      </c>
      <c r="G119" s="8">
        <f>Modeloutput!F233</f>
        <v>0</v>
      </c>
      <c r="H119" s="8">
        <f>Modeloutput!G233</f>
        <v>0</v>
      </c>
      <c r="I119" s="8">
        <f>Modeloutput!H233</f>
        <v>0</v>
      </c>
      <c r="J119" s="8">
        <f>Modeloutput!I233</f>
        <v>0</v>
      </c>
      <c r="K119" s="8">
        <f>Modeloutput!J233</f>
        <v>0</v>
      </c>
      <c r="L119" s="8">
        <f>Modeloutput!K233</f>
        <v>0</v>
      </c>
      <c r="M119" s="8">
        <f>Modeloutput!L233</f>
        <v>0</v>
      </c>
      <c r="N119" s="8">
        <f>Modeloutput!M233</f>
        <v>0</v>
      </c>
      <c r="O119" s="8">
        <f>Modeloutput!N233</f>
        <v>0</v>
      </c>
      <c r="P119" s="8">
        <f>Modeloutput!O233</f>
        <v>0</v>
      </c>
      <c r="Q119" s="8">
        <f>Modeloutput!P233</f>
        <v>0</v>
      </c>
      <c r="S119" s="7" t="s">
        <v>9</v>
      </c>
      <c r="T119" s="8">
        <f t="shared" si="42"/>
        <v>0</v>
      </c>
      <c r="U119" s="8">
        <f>Modeloutput!C488</f>
        <v>0</v>
      </c>
      <c r="V119" s="8">
        <f>Modeloutput!D488</f>
        <v>0</v>
      </c>
      <c r="W119" s="8">
        <f>Modeloutput!E488</f>
        <v>0</v>
      </c>
      <c r="X119" s="8">
        <f>Modeloutput!F488</f>
        <v>0</v>
      </c>
      <c r="Y119" s="8">
        <f>Modeloutput!G488</f>
        <v>0</v>
      </c>
      <c r="Z119" s="8">
        <f>Modeloutput!H488</f>
        <v>0</v>
      </c>
      <c r="AA119" s="8">
        <f>Modeloutput!I488</f>
        <v>0</v>
      </c>
      <c r="AB119" s="8">
        <f>Modeloutput!J488</f>
        <v>0</v>
      </c>
      <c r="AC119" s="8">
        <f>Modeloutput!K488</f>
        <v>0</v>
      </c>
      <c r="AD119" s="8">
        <f>Modeloutput!L488</f>
        <v>0</v>
      </c>
      <c r="AE119" s="8">
        <f>Modeloutput!M488</f>
        <v>0</v>
      </c>
      <c r="AF119" s="8">
        <f>Modeloutput!N488</f>
        <v>0</v>
      </c>
      <c r="AG119" s="8">
        <f>Modeloutput!O488</f>
        <v>0</v>
      </c>
      <c r="AH119" s="8">
        <f>Modeloutput!P488</f>
        <v>0</v>
      </c>
      <c r="AJ119" s="7" t="s">
        <v>9</v>
      </c>
      <c r="AK119" s="8">
        <f t="shared" si="43"/>
        <v>0</v>
      </c>
      <c r="AL119" s="8">
        <f>Modeloutput!C743</f>
        <v>0</v>
      </c>
      <c r="AM119" s="8">
        <f>Modeloutput!D743</f>
        <v>0</v>
      </c>
      <c r="AN119" s="8">
        <f>Modeloutput!E743</f>
        <v>0</v>
      </c>
      <c r="AO119" s="8">
        <f>Modeloutput!F743</f>
        <v>0</v>
      </c>
      <c r="AP119" s="8">
        <f>Modeloutput!G743</f>
        <v>0</v>
      </c>
      <c r="AQ119" s="8">
        <f>Modeloutput!H743</f>
        <v>0</v>
      </c>
      <c r="AR119" s="8">
        <f>Modeloutput!I743</f>
        <v>0</v>
      </c>
      <c r="AS119" s="8">
        <f>Modeloutput!J743</f>
        <v>0</v>
      </c>
      <c r="AT119" s="8">
        <f>Modeloutput!K743</f>
        <v>0</v>
      </c>
      <c r="AU119" s="8">
        <f>Modeloutput!L743</f>
        <v>0</v>
      </c>
      <c r="AV119" s="8">
        <f>Modeloutput!M743</f>
        <v>0</v>
      </c>
      <c r="AW119" s="8">
        <f>Modeloutput!N743</f>
        <v>0</v>
      </c>
      <c r="AX119" s="8">
        <f>Modeloutput!O743</f>
        <v>0</v>
      </c>
      <c r="AY119" s="8">
        <f>Modeloutput!P743</f>
        <v>0</v>
      </c>
      <c r="BA119" s="7" t="s">
        <v>9</v>
      </c>
      <c r="BB119" s="8">
        <f t="shared" si="44"/>
        <v>0</v>
      </c>
      <c r="BC119" s="8">
        <f>Modeloutput!C998</f>
        <v>0</v>
      </c>
      <c r="BD119" s="8">
        <f>Modeloutput!D998</f>
        <v>0</v>
      </c>
      <c r="BE119" s="8">
        <f>Modeloutput!E998</f>
        <v>0</v>
      </c>
      <c r="BF119" s="8">
        <f>Modeloutput!F998</f>
        <v>0</v>
      </c>
      <c r="BG119" s="8">
        <f>Modeloutput!G998</f>
        <v>0</v>
      </c>
      <c r="BH119" s="8">
        <f>Modeloutput!H998</f>
        <v>0</v>
      </c>
      <c r="BI119" s="8">
        <f>Modeloutput!I998</f>
        <v>0</v>
      </c>
      <c r="BJ119" s="8">
        <f>Modeloutput!J998</f>
        <v>0</v>
      </c>
      <c r="BK119" s="8">
        <f>Modeloutput!K998</f>
        <v>0</v>
      </c>
      <c r="BL119" s="8">
        <f>Modeloutput!L998</f>
        <v>0</v>
      </c>
      <c r="BM119" s="8">
        <f>Modeloutput!M998</f>
        <v>0</v>
      </c>
      <c r="BN119" s="8">
        <f>Modeloutput!N998</f>
        <v>0</v>
      </c>
      <c r="BO119" s="8">
        <f>Modeloutput!O998</f>
        <v>0</v>
      </c>
      <c r="BP119" s="8">
        <f>Modeloutput!P998</f>
        <v>0</v>
      </c>
      <c r="BR119" s="7" t="s">
        <v>9</v>
      </c>
      <c r="BS119" s="8">
        <f t="shared" si="45"/>
        <v>0</v>
      </c>
      <c r="BT119" s="8">
        <f>Modeloutput!C1253</f>
        <v>0</v>
      </c>
      <c r="BU119" s="8">
        <f>Modeloutput!D1253</f>
        <v>0</v>
      </c>
      <c r="BV119" s="8">
        <f>Modeloutput!E1253</f>
        <v>0</v>
      </c>
      <c r="BW119" s="8">
        <f>Modeloutput!F1253</f>
        <v>0</v>
      </c>
      <c r="BX119" s="8">
        <f>Modeloutput!G1253</f>
        <v>0</v>
      </c>
      <c r="BY119" s="8">
        <f>Modeloutput!H1253</f>
        <v>0</v>
      </c>
      <c r="BZ119" s="8">
        <f>Modeloutput!I1253</f>
        <v>0</v>
      </c>
      <c r="CA119" s="8">
        <f>Modeloutput!J1253</f>
        <v>0</v>
      </c>
      <c r="CB119" s="8">
        <f>Modeloutput!K1253</f>
        <v>0</v>
      </c>
      <c r="CC119" s="8">
        <f>Modeloutput!L1253</f>
        <v>0</v>
      </c>
      <c r="CD119" s="8">
        <f>Modeloutput!M1253</f>
        <v>0</v>
      </c>
      <c r="CE119" s="8">
        <f>Modeloutput!N1253</f>
        <v>0</v>
      </c>
      <c r="CF119" s="8">
        <f>Modeloutput!O1253</f>
        <v>0</v>
      </c>
      <c r="CG119" s="8">
        <f>Modeloutput!P1253</f>
        <v>0</v>
      </c>
    </row>
    <row r="120" spans="1:85" s="7" customFormat="1" x14ac:dyDescent="0.25">
      <c r="B120" s="7" t="s">
        <v>10</v>
      </c>
      <c r="C120" s="13">
        <f t="shared" si="41"/>
        <v>25.6557946655</v>
      </c>
      <c r="D120" s="8">
        <f>Modeloutput!C234</f>
        <v>0</v>
      </c>
      <c r="E120" s="8">
        <f>Modeloutput!D234</f>
        <v>25.655794700000001</v>
      </c>
      <c r="F120" s="8">
        <f>Modeloutput!E234</f>
        <v>0</v>
      </c>
      <c r="G120" s="8">
        <f>Modeloutput!F234</f>
        <v>-1.9452499999999999</v>
      </c>
      <c r="H120" s="8">
        <f>Modeloutput!G234</f>
        <v>6.1370845600000001E-2</v>
      </c>
      <c r="I120" s="8">
        <f>Modeloutput!H234</f>
        <v>0</v>
      </c>
      <c r="J120" s="8">
        <f>Modeloutput!I234</f>
        <v>0</v>
      </c>
      <c r="K120" s="8">
        <f>Modeloutput!J234</f>
        <v>0</v>
      </c>
      <c r="L120" s="8">
        <f>Modeloutput!K234</f>
        <v>27.507835799999999</v>
      </c>
      <c r="M120" s="8">
        <f>Modeloutput!L234</f>
        <v>0</v>
      </c>
      <c r="N120" s="8">
        <f>Modeloutput!M234</f>
        <v>3.18380199E-2</v>
      </c>
      <c r="O120" s="8">
        <f>Modeloutput!N234</f>
        <v>0</v>
      </c>
      <c r="P120" s="8">
        <f>Modeloutput!O234</f>
        <v>0</v>
      </c>
      <c r="Q120" s="8">
        <f>Modeloutput!P234</f>
        <v>0</v>
      </c>
      <c r="S120" s="7" t="s">
        <v>10</v>
      </c>
      <c r="T120" s="13">
        <f t="shared" si="42"/>
        <v>24.783389598899998</v>
      </c>
      <c r="U120" s="8">
        <f>Modeloutput!C489</f>
        <v>0</v>
      </c>
      <c r="V120" s="8">
        <f>Modeloutput!D489</f>
        <v>24.7833896</v>
      </c>
      <c r="W120" s="8">
        <f>Modeloutput!E489</f>
        <v>0</v>
      </c>
      <c r="X120" s="8">
        <f>Modeloutput!F489</f>
        <v>-1.9292499999999999</v>
      </c>
      <c r="Y120" s="8">
        <f>Modeloutput!G489</f>
        <v>0.22884494699999999</v>
      </c>
      <c r="Z120" s="8">
        <f>Modeloutput!H489</f>
        <v>0</v>
      </c>
      <c r="AA120" s="8">
        <f>Modeloutput!I489</f>
        <v>0</v>
      </c>
      <c r="AB120" s="8">
        <f>Modeloutput!J489</f>
        <v>0</v>
      </c>
      <c r="AC120" s="8">
        <f>Modeloutput!K489</f>
        <v>26.4527863</v>
      </c>
      <c r="AD120" s="8">
        <f>Modeloutput!L489</f>
        <v>0</v>
      </c>
      <c r="AE120" s="8">
        <f>Modeloutput!M489</f>
        <v>3.1008351900000002E-2</v>
      </c>
      <c r="AF120" s="8">
        <f>Modeloutput!N489</f>
        <v>0</v>
      </c>
      <c r="AG120" s="8">
        <f>Modeloutput!O489</f>
        <v>0</v>
      </c>
      <c r="AH120" s="8">
        <f>Modeloutput!P489</f>
        <v>0</v>
      </c>
      <c r="AJ120" s="7" t="s">
        <v>10</v>
      </c>
      <c r="AK120" s="13">
        <f t="shared" si="43"/>
        <v>1.5948263769999984</v>
      </c>
      <c r="AL120" s="8">
        <f>Modeloutput!C744</f>
        <v>0</v>
      </c>
      <c r="AM120" s="8">
        <f>Modeloutput!D744</f>
        <v>1.59482642</v>
      </c>
      <c r="AN120" s="8">
        <f>Modeloutput!E744</f>
        <v>-20.905750000000001</v>
      </c>
      <c r="AO120" s="8">
        <f>Modeloutput!F744</f>
        <v>-1.97075</v>
      </c>
      <c r="AP120" s="8">
        <f>Modeloutput!G744</f>
        <v>0.54394691399999995</v>
      </c>
      <c r="AQ120" s="8">
        <f>Modeloutput!H744</f>
        <v>0</v>
      </c>
      <c r="AR120" s="8">
        <f>Modeloutput!I744</f>
        <v>0</v>
      </c>
      <c r="AS120" s="8">
        <f>Modeloutput!J744</f>
        <v>0</v>
      </c>
      <c r="AT120" s="8">
        <f>Modeloutput!K744</f>
        <v>23.554465799999999</v>
      </c>
      <c r="AU120" s="8">
        <f>Modeloutput!L744</f>
        <v>0</v>
      </c>
      <c r="AV120" s="8">
        <f>Modeloutput!M744</f>
        <v>0.37291366300000001</v>
      </c>
      <c r="AW120" s="8">
        <f>Modeloutput!N744</f>
        <v>0</v>
      </c>
      <c r="AX120" s="8">
        <f>Modeloutput!O744</f>
        <v>0</v>
      </c>
      <c r="AY120" s="8">
        <f>Modeloutput!P744</f>
        <v>0</v>
      </c>
      <c r="BA120" s="7" t="s">
        <v>10</v>
      </c>
      <c r="BB120" s="13">
        <f t="shared" si="44"/>
        <v>57.012861465</v>
      </c>
      <c r="BC120" s="8">
        <f>Modeloutput!C999</f>
        <v>0</v>
      </c>
      <c r="BD120" s="8">
        <f>Modeloutput!D999</f>
        <v>57.0128615</v>
      </c>
      <c r="BE120" s="8">
        <f>Modeloutput!E999</f>
        <v>27.310044099999999</v>
      </c>
      <c r="BF120" s="8">
        <f>Modeloutput!F999</f>
        <v>1.045245</v>
      </c>
      <c r="BG120" s="8">
        <f>Modeloutput!G999</f>
        <v>4.9982395999999998</v>
      </c>
      <c r="BH120" s="8">
        <f>Modeloutput!H999</f>
        <v>0.10486696500000001</v>
      </c>
      <c r="BI120" s="8">
        <f>Modeloutput!I999</f>
        <v>0</v>
      </c>
      <c r="BJ120" s="8">
        <f>Modeloutput!J999</f>
        <v>0</v>
      </c>
      <c r="BK120" s="8">
        <f>Modeloutput!K999</f>
        <v>23.554465799999999</v>
      </c>
      <c r="BL120" s="8">
        <f>Modeloutput!L999</f>
        <v>0</v>
      </c>
      <c r="BM120" s="8">
        <f>Modeloutput!M999</f>
        <v>0</v>
      </c>
      <c r="BN120" s="8">
        <f>Modeloutput!N999</f>
        <v>0</v>
      </c>
      <c r="BO120" s="8">
        <f>Modeloutput!O999</f>
        <v>0</v>
      </c>
      <c r="BP120" s="8">
        <f>Modeloutput!P999</f>
        <v>0</v>
      </c>
      <c r="BR120" s="7" t="s">
        <v>10</v>
      </c>
      <c r="BS120" s="13">
        <f t="shared" si="45"/>
        <v>69.1050300198212</v>
      </c>
      <c r="BT120" s="8">
        <f>Modeloutput!C1254</f>
        <v>0</v>
      </c>
      <c r="BU120" s="8">
        <f>Modeloutput!D1254</f>
        <v>69.105030099999993</v>
      </c>
      <c r="BV120" s="8">
        <f>Modeloutput!E1254</f>
        <v>0</v>
      </c>
      <c r="BW120" s="8">
        <f>Modeloutput!F1254</f>
        <v>-1.2999999999999999E-2</v>
      </c>
      <c r="BX120" s="8">
        <f>Modeloutput!G1254</f>
        <v>3.7620821199999998E-5</v>
      </c>
      <c r="BY120" s="8">
        <f>Modeloutput!H1254</f>
        <v>0</v>
      </c>
      <c r="BZ120" s="8">
        <f>Modeloutput!I1254</f>
        <v>0</v>
      </c>
      <c r="CA120" s="8">
        <f>Modeloutput!J1254</f>
        <v>0</v>
      </c>
      <c r="CB120" s="8">
        <f>Modeloutput!K1254</f>
        <v>46.806381299999998</v>
      </c>
      <c r="CC120" s="8">
        <f>Modeloutput!L1254</f>
        <v>22.311221</v>
      </c>
      <c r="CD120" s="8">
        <f>Modeloutput!M1254</f>
        <v>3.9009899999999998E-4</v>
      </c>
      <c r="CE120" s="8">
        <f>Modeloutput!N1254</f>
        <v>0</v>
      </c>
      <c r="CF120" s="8">
        <f>Modeloutput!O1254</f>
        <v>0</v>
      </c>
      <c r="CG120" s="8">
        <f>Modeloutput!P1254</f>
        <v>0</v>
      </c>
    </row>
    <row r="121" spans="1:85" s="7" customFormat="1" x14ac:dyDescent="0.25">
      <c r="B121" s="7" t="s">
        <v>11</v>
      </c>
      <c r="C121" s="13">
        <f t="shared" si="41"/>
        <v>4.3482975048999997</v>
      </c>
      <c r="D121" s="8">
        <f>Modeloutput!C235</f>
        <v>0</v>
      </c>
      <c r="E121" s="8">
        <f>Modeloutput!D235</f>
        <v>4.3482975000000001</v>
      </c>
      <c r="F121" s="8">
        <f>Modeloutput!E235</f>
        <v>1.9883147800000001</v>
      </c>
      <c r="G121" s="8">
        <f>Modeloutput!F235</f>
        <v>0.297044274</v>
      </c>
      <c r="H121" s="8">
        <f>Modeloutput!G235</f>
        <v>1.85696298</v>
      </c>
      <c r="I121" s="8">
        <f>Modeloutput!H235</f>
        <v>9.2201026899999997E-2</v>
      </c>
      <c r="J121" s="8">
        <f>Modeloutput!I235</f>
        <v>0</v>
      </c>
      <c r="K121" s="8">
        <f>Modeloutput!J235</f>
        <v>0</v>
      </c>
      <c r="L121" s="8">
        <f>Modeloutput!K235</f>
        <v>0</v>
      </c>
      <c r="M121" s="8">
        <f>Modeloutput!L235</f>
        <v>0</v>
      </c>
      <c r="N121" s="8">
        <f>Modeloutput!M235</f>
        <v>0.113774444</v>
      </c>
      <c r="O121" s="8">
        <f>Modeloutput!N235</f>
        <v>0</v>
      </c>
      <c r="P121" s="8">
        <f>Modeloutput!O235</f>
        <v>0</v>
      </c>
      <c r="Q121" s="8">
        <f>Modeloutput!P235</f>
        <v>0</v>
      </c>
      <c r="S121" s="7" t="s">
        <v>11</v>
      </c>
      <c r="T121" s="13">
        <f t="shared" si="42"/>
        <v>4.3482803559000001</v>
      </c>
      <c r="U121" s="8">
        <f>Modeloutput!C490</f>
        <v>0</v>
      </c>
      <c r="V121" s="8">
        <f>Modeloutput!D490</f>
        <v>4.3482803600000004</v>
      </c>
      <c r="W121" s="8">
        <f>Modeloutput!E490</f>
        <v>1.9883147800000001</v>
      </c>
      <c r="X121" s="8">
        <f>Modeloutput!F490</f>
        <v>0.297044274</v>
      </c>
      <c r="Y121" s="8">
        <f>Modeloutput!G490</f>
        <v>1.85899291</v>
      </c>
      <c r="Z121" s="8">
        <f>Modeloutput!H490</f>
        <v>9.2201026899999997E-2</v>
      </c>
      <c r="AA121" s="8">
        <f>Modeloutput!I490</f>
        <v>0</v>
      </c>
      <c r="AB121" s="8">
        <f>Modeloutput!J490</f>
        <v>0</v>
      </c>
      <c r="AC121" s="8">
        <f>Modeloutput!K490</f>
        <v>0</v>
      </c>
      <c r="AD121" s="8">
        <f>Modeloutput!L490</f>
        <v>0</v>
      </c>
      <c r="AE121" s="8">
        <f>Modeloutput!M490</f>
        <v>0.111727365</v>
      </c>
      <c r="AF121" s="8">
        <f>Modeloutput!N490</f>
        <v>0</v>
      </c>
      <c r="AG121" s="8">
        <f>Modeloutput!O490</f>
        <v>0</v>
      </c>
      <c r="AH121" s="8">
        <f>Modeloutput!P490</f>
        <v>0</v>
      </c>
      <c r="AJ121" s="7" t="s">
        <v>11</v>
      </c>
      <c r="AK121" s="13">
        <f t="shared" si="43"/>
        <v>5.1275468232000012</v>
      </c>
      <c r="AL121" s="8">
        <f>Modeloutput!C745</f>
        <v>0</v>
      </c>
      <c r="AM121" s="8">
        <f>Modeloutput!D745</f>
        <v>5.1275468200000001</v>
      </c>
      <c r="AN121" s="8">
        <f>Modeloutput!E745</f>
        <v>1.9883147800000001</v>
      </c>
      <c r="AO121" s="8">
        <f>Modeloutput!F745</f>
        <v>0.297044274</v>
      </c>
      <c r="AP121" s="8">
        <f>Modeloutput!G745</f>
        <v>1.7952316500000001</v>
      </c>
      <c r="AQ121" s="8">
        <f>Modeloutput!H745</f>
        <v>9.1864849200000001E-2</v>
      </c>
      <c r="AR121" s="8">
        <f>Modeloutput!I745</f>
        <v>0</v>
      </c>
      <c r="AS121" s="8">
        <f>Modeloutput!J745</f>
        <v>0</v>
      </c>
      <c r="AT121" s="8">
        <f>Modeloutput!K745</f>
        <v>0</v>
      </c>
      <c r="AU121" s="8">
        <f>Modeloutput!L745</f>
        <v>0</v>
      </c>
      <c r="AV121" s="8">
        <f>Modeloutput!M745</f>
        <v>0.95509127000000005</v>
      </c>
      <c r="AW121" s="8">
        <f>Modeloutput!N745</f>
        <v>0</v>
      </c>
      <c r="AX121" s="8">
        <f>Modeloutput!O745</f>
        <v>0</v>
      </c>
      <c r="AY121" s="8">
        <f>Modeloutput!P745</f>
        <v>0</v>
      </c>
      <c r="BA121" s="7" t="s">
        <v>11</v>
      </c>
      <c r="BB121" s="13">
        <f t="shared" si="44"/>
        <v>4.7646574080000006</v>
      </c>
      <c r="BC121" s="8">
        <f>Modeloutput!C1000</f>
        <v>0</v>
      </c>
      <c r="BD121" s="8">
        <f>Modeloutput!D1000</f>
        <v>4.7646573999999999</v>
      </c>
      <c r="BE121" s="8">
        <f>Modeloutput!E1000</f>
        <v>2.3804866100000002</v>
      </c>
      <c r="BF121" s="8">
        <f>Modeloutput!F1000</f>
        <v>0.342678643</v>
      </c>
      <c r="BG121" s="8">
        <f>Modeloutput!G1000</f>
        <v>1.93320007</v>
      </c>
      <c r="BH121" s="8">
        <f>Modeloutput!H1000</f>
        <v>0.108292085</v>
      </c>
      <c r="BI121" s="8">
        <f>Modeloutput!I1000</f>
        <v>0</v>
      </c>
      <c r="BJ121" s="8">
        <f>Modeloutput!J1000</f>
        <v>0</v>
      </c>
      <c r="BK121" s="8">
        <f>Modeloutput!K1000</f>
        <v>0</v>
      </c>
      <c r="BL121" s="8">
        <f>Modeloutput!L1000</f>
        <v>0</v>
      </c>
      <c r="BM121" s="8">
        <f>Modeloutput!M1000</f>
        <v>0</v>
      </c>
      <c r="BN121" s="8">
        <f>Modeloutput!N1000</f>
        <v>0</v>
      </c>
      <c r="BO121" s="8">
        <f>Modeloutput!O1000</f>
        <v>0</v>
      </c>
      <c r="BP121" s="8">
        <f>Modeloutput!P1000</f>
        <v>0</v>
      </c>
      <c r="BR121" s="7" t="s">
        <v>11</v>
      </c>
      <c r="BS121" s="13">
        <f t="shared" si="45"/>
        <v>4.2556179589900003</v>
      </c>
      <c r="BT121" s="8">
        <f>Modeloutput!C1255</f>
        <v>0</v>
      </c>
      <c r="BU121" s="8">
        <f>Modeloutput!D1255</f>
        <v>4.2556179600000004</v>
      </c>
      <c r="BV121" s="8">
        <f>Modeloutput!E1255</f>
        <v>1.9883147800000001</v>
      </c>
      <c r="BW121" s="8">
        <f>Modeloutput!F1255</f>
        <v>0.297044274</v>
      </c>
      <c r="BX121" s="8">
        <f>Modeloutput!G1255</f>
        <v>1.86523061</v>
      </c>
      <c r="BY121" s="8">
        <f>Modeloutput!H1255</f>
        <v>0.10401977699999999</v>
      </c>
      <c r="BZ121" s="8">
        <f>Modeloutput!I1255</f>
        <v>0</v>
      </c>
      <c r="CA121" s="8">
        <f>Modeloutput!J1255</f>
        <v>0</v>
      </c>
      <c r="CB121" s="8">
        <f>Modeloutput!K1255</f>
        <v>0</v>
      </c>
      <c r="CC121" s="8">
        <f>Modeloutput!L1255</f>
        <v>0</v>
      </c>
      <c r="CD121" s="8">
        <f>Modeloutput!M1255</f>
        <v>1.00851799E-3</v>
      </c>
      <c r="CE121" s="8">
        <f>Modeloutput!N1255</f>
        <v>0</v>
      </c>
      <c r="CF121" s="8">
        <f>Modeloutput!O1255</f>
        <v>0</v>
      </c>
      <c r="CG121" s="8">
        <f>Modeloutput!P1255</f>
        <v>0</v>
      </c>
    </row>
    <row r="122" spans="1:85" s="7" customFormat="1" x14ac:dyDescent="0.25">
      <c r="B122" s="7" t="s">
        <v>12</v>
      </c>
      <c r="C122" s="14">
        <f t="shared" si="41"/>
        <v>75.213310109000005</v>
      </c>
      <c r="D122" s="8">
        <f>Modeloutput!C236</f>
        <v>2.9168653899999999</v>
      </c>
      <c r="E122" s="8">
        <f>Modeloutput!D236</f>
        <v>72.296444699999995</v>
      </c>
      <c r="F122" s="8">
        <f>Modeloutput!E236</f>
        <v>57.425804900000003</v>
      </c>
      <c r="G122" s="8">
        <f>Modeloutput!F236</f>
        <v>0.80305333599999995</v>
      </c>
      <c r="H122" s="8">
        <f>Modeloutput!G236</f>
        <v>11.5599989</v>
      </c>
      <c r="I122" s="8">
        <f>Modeloutput!H236</f>
        <v>0.228072258</v>
      </c>
      <c r="J122" s="8">
        <f>Modeloutput!I236</f>
        <v>0</v>
      </c>
      <c r="K122" s="8">
        <f>Modeloutput!J236</f>
        <v>0</v>
      </c>
      <c r="L122" s="8">
        <f>Modeloutput!K236</f>
        <v>4.8542755499999997</v>
      </c>
      <c r="M122" s="8">
        <f>Modeloutput!L236</f>
        <v>0</v>
      </c>
      <c r="N122" s="8">
        <f>Modeloutput!M236</f>
        <v>0.34210516499999999</v>
      </c>
      <c r="O122" s="8">
        <f>Modeloutput!N236</f>
        <v>0</v>
      </c>
      <c r="P122" s="8">
        <f>Modeloutput!O236</f>
        <v>0</v>
      </c>
      <c r="Q122" s="8">
        <f>Modeloutput!P236</f>
        <v>0</v>
      </c>
      <c r="S122" s="7" t="s">
        <v>12</v>
      </c>
      <c r="T122" s="14">
        <f t="shared" si="42"/>
        <v>68.896870519000004</v>
      </c>
      <c r="U122" s="8">
        <f>Modeloutput!C491</f>
        <v>5.3661202299999999</v>
      </c>
      <c r="V122" s="8">
        <f>Modeloutput!D491</f>
        <v>63.530750300000001</v>
      </c>
      <c r="W122" s="8">
        <f>Modeloutput!E491</f>
        <v>54.0673089</v>
      </c>
      <c r="X122" s="8">
        <f>Modeloutput!F491</f>
        <v>0.813247465</v>
      </c>
      <c r="Y122" s="8">
        <f>Modeloutput!G491</f>
        <v>9.92515006</v>
      </c>
      <c r="Z122" s="8">
        <f>Modeloutput!H491</f>
        <v>0.22554736</v>
      </c>
      <c r="AA122" s="8">
        <f>Modeloutput!I491</f>
        <v>0</v>
      </c>
      <c r="AB122" s="8">
        <f>Modeloutput!J491</f>
        <v>0</v>
      </c>
      <c r="AC122" s="8">
        <f>Modeloutput!K491</f>
        <v>3.5284331099999999</v>
      </c>
      <c r="AD122" s="8">
        <f>Modeloutput!L491</f>
        <v>0</v>
      </c>
      <c r="AE122" s="8">
        <f>Modeloutput!M491</f>
        <v>0.33718362400000002</v>
      </c>
      <c r="AF122" s="8">
        <f>Modeloutput!N491</f>
        <v>0</v>
      </c>
      <c r="AG122" s="8">
        <f>Modeloutput!O491</f>
        <v>0</v>
      </c>
      <c r="AH122" s="8">
        <f>Modeloutput!P491</f>
        <v>0</v>
      </c>
      <c r="AJ122" s="7" t="s">
        <v>12</v>
      </c>
      <c r="AK122" s="14">
        <f t="shared" si="43"/>
        <v>64.350498287999997</v>
      </c>
      <c r="AL122" s="8">
        <f>Modeloutput!C746</f>
        <v>32.400877000000001</v>
      </c>
      <c r="AM122" s="8">
        <f>Modeloutput!D746</f>
        <v>31.9496213</v>
      </c>
      <c r="AN122" s="8">
        <f>Modeloutput!E746</f>
        <v>38.887840400000002</v>
      </c>
      <c r="AO122" s="8">
        <f>Modeloutput!F746</f>
        <v>0.78730049000000002</v>
      </c>
      <c r="AP122" s="8">
        <f>Modeloutput!G746</f>
        <v>8.04580348</v>
      </c>
      <c r="AQ122" s="8">
        <f>Modeloutput!H746</f>
        <v>0.22788270799999999</v>
      </c>
      <c r="AR122" s="8">
        <f>Modeloutput!I746</f>
        <v>0</v>
      </c>
      <c r="AS122" s="8">
        <f>Modeloutput!J746</f>
        <v>0</v>
      </c>
      <c r="AT122" s="8">
        <f>Modeloutput!K746</f>
        <v>2.10551011</v>
      </c>
      <c r="AU122" s="8">
        <f>Modeloutput!L746</f>
        <v>0</v>
      </c>
      <c r="AV122" s="8">
        <f>Modeloutput!M746</f>
        <v>14.296161100000001</v>
      </c>
      <c r="AW122" s="8">
        <f>Modeloutput!N746</f>
        <v>0</v>
      </c>
      <c r="AX122" s="8">
        <f>Modeloutput!O746</f>
        <v>0</v>
      </c>
      <c r="AY122" s="8">
        <f>Modeloutput!P746</f>
        <v>0</v>
      </c>
      <c r="BA122" s="7" t="s">
        <v>12</v>
      </c>
      <c r="BB122" s="14">
        <f t="shared" si="44"/>
        <v>57.046275995000009</v>
      </c>
      <c r="BC122" s="8">
        <f>Modeloutput!C1001</f>
        <v>28.551185100000001</v>
      </c>
      <c r="BD122" s="8">
        <f>Modeloutput!D1001</f>
        <v>28.4950908</v>
      </c>
      <c r="BE122" s="8">
        <f>Modeloutput!E1001</f>
        <v>43.8009536</v>
      </c>
      <c r="BF122" s="8">
        <f>Modeloutput!F1001</f>
        <v>0.84269375999999996</v>
      </c>
      <c r="BG122" s="8">
        <f>Modeloutput!G1001</f>
        <v>8.0879036699999993</v>
      </c>
      <c r="BH122" s="8">
        <f>Modeloutput!H1001</f>
        <v>0.25990100500000002</v>
      </c>
      <c r="BI122" s="8">
        <f>Modeloutput!I1001</f>
        <v>0</v>
      </c>
      <c r="BJ122" s="8">
        <f>Modeloutput!J1001</f>
        <v>0</v>
      </c>
      <c r="BK122" s="8">
        <f>Modeloutput!K1001</f>
        <v>4.0548239600000002</v>
      </c>
      <c r="BL122" s="8">
        <f>Modeloutput!L1001</f>
        <v>0</v>
      </c>
      <c r="BM122" s="8">
        <f>Modeloutput!M1001</f>
        <v>0</v>
      </c>
      <c r="BN122" s="8">
        <f>Modeloutput!N1001</f>
        <v>0</v>
      </c>
      <c r="BO122" s="8">
        <f>Modeloutput!O1001</f>
        <v>0</v>
      </c>
      <c r="BP122" s="8">
        <f>Modeloutput!P1001</f>
        <v>0</v>
      </c>
      <c r="BR122" s="7" t="s">
        <v>12</v>
      </c>
      <c r="BS122" s="14">
        <f t="shared" si="45"/>
        <v>54.42610409284999</v>
      </c>
      <c r="BT122" s="8">
        <f>Modeloutput!C1256</f>
        <v>28.7420996</v>
      </c>
      <c r="BU122" s="8">
        <f>Modeloutput!D1256</f>
        <v>25.684004600000002</v>
      </c>
      <c r="BV122" s="8">
        <f>Modeloutput!E1256</f>
        <v>36.662278399999998</v>
      </c>
      <c r="BW122" s="8">
        <f>Modeloutput!F1256</f>
        <v>0.746712712</v>
      </c>
      <c r="BX122" s="8">
        <f>Modeloutput!G1256</f>
        <v>7.9731923399999998</v>
      </c>
      <c r="BY122" s="8">
        <f>Modeloutput!H1256</f>
        <v>0.24964746500000001</v>
      </c>
      <c r="BZ122" s="8">
        <f>Modeloutput!I1256</f>
        <v>0</v>
      </c>
      <c r="CA122" s="8">
        <f>Modeloutput!J1256</f>
        <v>0</v>
      </c>
      <c r="CB122" s="8">
        <f>Modeloutput!K1256</f>
        <v>6.0036533099999998</v>
      </c>
      <c r="CC122" s="8">
        <f>Modeloutput!L1256</f>
        <v>2.7831991899999999</v>
      </c>
      <c r="CD122" s="8">
        <f>Modeloutput!M1256</f>
        <v>7.4206758499999999E-3</v>
      </c>
      <c r="CE122" s="8">
        <f>Modeloutput!N1256</f>
        <v>0</v>
      </c>
      <c r="CF122" s="8">
        <f>Modeloutput!O1256</f>
        <v>0</v>
      </c>
      <c r="CG122" s="8">
        <f>Modeloutput!P1256</f>
        <v>0</v>
      </c>
    </row>
    <row r="123" spans="1:85" s="7" customFormat="1" x14ac:dyDescent="0.25">
      <c r="B123" s="7" t="s">
        <v>13</v>
      </c>
      <c r="C123" s="14">
        <f t="shared" si="41"/>
        <v>62.279804230000003</v>
      </c>
      <c r="D123" s="8">
        <f>Modeloutput!C237</f>
        <v>0</v>
      </c>
      <c r="E123" s="8">
        <f>Modeloutput!D237</f>
        <v>62.279804200000001</v>
      </c>
      <c r="F123" s="8">
        <f>Modeloutput!E237</f>
        <v>43.0353037</v>
      </c>
      <c r="G123" s="8">
        <f>Modeloutput!F237</f>
        <v>6.5318852300000003</v>
      </c>
      <c r="H123" s="8">
        <f>Modeloutput!G237</f>
        <v>0</v>
      </c>
      <c r="I123" s="8">
        <f>Modeloutput!H237</f>
        <v>0</v>
      </c>
      <c r="J123" s="8">
        <f>Modeloutput!I237</f>
        <v>0</v>
      </c>
      <c r="K123" s="8">
        <f>Modeloutput!J237</f>
        <v>0</v>
      </c>
      <c r="L123" s="8">
        <f>Modeloutput!K237</f>
        <v>12.1986793</v>
      </c>
      <c r="M123" s="8">
        <f>Modeloutput!L237</f>
        <v>0</v>
      </c>
      <c r="N123" s="8">
        <f>Modeloutput!M237</f>
        <v>0.51393599999999995</v>
      </c>
      <c r="O123" s="8">
        <f>Modeloutput!N237</f>
        <v>0</v>
      </c>
      <c r="P123" s="8">
        <f>Modeloutput!O237</f>
        <v>0</v>
      </c>
      <c r="Q123" s="8">
        <f>Modeloutput!P237</f>
        <v>0</v>
      </c>
      <c r="S123" s="7" t="s">
        <v>13</v>
      </c>
      <c r="T123" s="14">
        <f t="shared" si="42"/>
        <v>64.50881717</v>
      </c>
      <c r="U123" s="8">
        <f>Modeloutput!C492</f>
        <v>0</v>
      </c>
      <c r="V123" s="8">
        <f>Modeloutput!D492</f>
        <v>64.508817199999996</v>
      </c>
      <c r="W123" s="8">
        <f>Modeloutput!E492</f>
        <v>45.566713</v>
      </c>
      <c r="X123" s="8">
        <f>Modeloutput!F492</f>
        <v>6.5405643700000002</v>
      </c>
      <c r="Y123" s="8">
        <f>Modeloutput!G492</f>
        <v>0</v>
      </c>
      <c r="Z123" s="8">
        <f>Modeloutput!H492</f>
        <v>0</v>
      </c>
      <c r="AA123" s="8">
        <f>Modeloutput!I492</f>
        <v>0</v>
      </c>
      <c r="AB123" s="8">
        <f>Modeloutput!J492</f>
        <v>0</v>
      </c>
      <c r="AC123" s="8">
        <f>Modeloutput!K492</f>
        <v>11.891989799999999</v>
      </c>
      <c r="AD123" s="8">
        <f>Modeloutput!L492</f>
        <v>0</v>
      </c>
      <c r="AE123" s="8">
        <f>Modeloutput!M492</f>
        <v>0.50954999999999995</v>
      </c>
      <c r="AF123" s="8">
        <f>Modeloutput!N492</f>
        <v>0</v>
      </c>
      <c r="AG123" s="8">
        <f>Modeloutput!O492</f>
        <v>0</v>
      </c>
      <c r="AH123" s="8">
        <f>Modeloutput!P492</f>
        <v>0</v>
      </c>
      <c r="AJ123" s="7" t="s">
        <v>13</v>
      </c>
      <c r="AK123" s="14">
        <f t="shared" si="43"/>
        <v>77.156977119999993</v>
      </c>
      <c r="AL123" s="8">
        <f>Modeloutput!C747</f>
        <v>0</v>
      </c>
      <c r="AM123" s="8">
        <f>Modeloutput!D747</f>
        <v>77.156977100000006</v>
      </c>
      <c r="AN123" s="8">
        <f>Modeloutput!E747</f>
        <v>52.579109799999998</v>
      </c>
      <c r="AO123" s="8">
        <f>Modeloutput!F747</f>
        <v>6.6548759200000003</v>
      </c>
      <c r="AP123" s="8">
        <f>Modeloutput!G747</f>
        <v>0</v>
      </c>
      <c r="AQ123" s="8">
        <f>Modeloutput!H747</f>
        <v>0</v>
      </c>
      <c r="AR123" s="8">
        <f>Modeloutput!I747</f>
        <v>0</v>
      </c>
      <c r="AS123" s="8">
        <f>Modeloutput!J747</f>
        <v>0</v>
      </c>
      <c r="AT123" s="8">
        <f>Modeloutput!K747</f>
        <v>11.7337004</v>
      </c>
      <c r="AU123" s="8">
        <f>Modeloutput!L747</f>
        <v>0</v>
      </c>
      <c r="AV123" s="8">
        <f>Modeloutput!M747</f>
        <v>6.1892909999999999</v>
      </c>
      <c r="AW123" s="8">
        <f>Modeloutput!N747</f>
        <v>0</v>
      </c>
      <c r="AX123" s="8">
        <f>Modeloutput!O747</f>
        <v>0</v>
      </c>
      <c r="AY123" s="8">
        <f>Modeloutput!P747</f>
        <v>0</v>
      </c>
      <c r="BA123" s="7" t="s">
        <v>13</v>
      </c>
      <c r="BB123" s="14">
        <f t="shared" si="44"/>
        <v>71.361456090000004</v>
      </c>
      <c r="BC123" s="8">
        <f>Modeloutput!C1002</f>
        <v>0</v>
      </c>
      <c r="BD123" s="8">
        <f>Modeloutput!D1002</f>
        <v>71.361456099999998</v>
      </c>
      <c r="BE123" s="8">
        <f>Modeloutput!E1002</f>
        <v>55.083112499999999</v>
      </c>
      <c r="BF123" s="8">
        <f>Modeloutput!F1002</f>
        <v>4.5446431900000004</v>
      </c>
      <c r="BG123" s="8">
        <f>Modeloutput!G1002</f>
        <v>0</v>
      </c>
      <c r="BH123" s="8">
        <f>Modeloutput!H1002</f>
        <v>0</v>
      </c>
      <c r="BI123" s="8">
        <f>Modeloutput!I1002</f>
        <v>0</v>
      </c>
      <c r="BJ123" s="8">
        <f>Modeloutput!J1002</f>
        <v>0</v>
      </c>
      <c r="BK123" s="8">
        <f>Modeloutput!K1002</f>
        <v>11.7337004</v>
      </c>
      <c r="BL123" s="8">
        <f>Modeloutput!L1002</f>
        <v>0</v>
      </c>
      <c r="BM123" s="8">
        <f>Modeloutput!M1002</f>
        <v>0</v>
      </c>
      <c r="BN123" s="8">
        <f>Modeloutput!N1002</f>
        <v>0</v>
      </c>
      <c r="BO123" s="8">
        <f>Modeloutput!O1002</f>
        <v>0</v>
      </c>
      <c r="BP123" s="8">
        <f>Modeloutput!P1002</f>
        <v>0</v>
      </c>
      <c r="BR123" s="7" t="s">
        <v>13</v>
      </c>
      <c r="BS123" s="14">
        <f t="shared" si="45"/>
        <v>105.14623579000001</v>
      </c>
      <c r="BT123" s="8">
        <f>Modeloutput!C1257</f>
        <v>0</v>
      </c>
      <c r="BU123" s="8">
        <f>Modeloutput!D1257</f>
        <v>105.146236</v>
      </c>
      <c r="BV123" s="8">
        <f>Modeloutput!E1257</f>
        <v>75.951381499999997</v>
      </c>
      <c r="BW123" s="8">
        <f>Modeloutput!F1257</f>
        <v>8.2471948600000005</v>
      </c>
      <c r="BX123" s="8">
        <f>Modeloutput!G1257</f>
        <v>0</v>
      </c>
      <c r="BY123" s="8">
        <f>Modeloutput!H1257</f>
        <v>0</v>
      </c>
      <c r="BZ123" s="8">
        <f>Modeloutput!I1257</f>
        <v>0</v>
      </c>
      <c r="CA123" s="8">
        <f>Modeloutput!J1257</f>
        <v>0</v>
      </c>
      <c r="CB123" s="8">
        <f>Modeloutput!K1257</f>
        <v>16.550072199999999</v>
      </c>
      <c r="CC123" s="8">
        <f>Modeloutput!L1257</f>
        <v>4.3941042299999999</v>
      </c>
      <c r="CD123" s="8">
        <f>Modeloutput!M1257</f>
        <v>3.483E-3</v>
      </c>
      <c r="CE123" s="8">
        <f>Modeloutput!N1257</f>
        <v>0</v>
      </c>
      <c r="CF123" s="8">
        <f>Modeloutput!O1257</f>
        <v>0</v>
      </c>
      <c r="CG123" s="8">
        <f>Modeloutput!P1257</f>
        <v>0</v>
      </c>
    </row>
    <row r="124" spans="1:85" s="7" customFormat="1" x14ac:dyDescent="0.25">
      <c r="B124" s="7" t="s">
        <v>14</v>
      </c>
      <c r="C124" s="22">
        <f t="shared" si="41"/>
        <v>4.2192892899999999</v>
      </c>
      <c r="D124" s="8">
        <f>Modeloutput!C238</f>
        <v>0</v>
      </c>
      <c r="E124" s="8">
        <f>Modeloutput!D238</f>
        <v>4.2192892899999999</v>
      </c>
      <c r="F124" s="8">
        <f>Modeloutput!E238</f>
        <v>0.26306348499999999</v>
      </c>
      <c r="G124" s="8">
        <f>Modeloutput!F238</f>
        <v>1.7868869999999999</v>
      </c>
      <c r="H124" s="8">
        <f>Modeloutput!G238</f>
        <v>0.83162071800000004</v>
      </c>
      <c r="I124" s="8">
        <f>Modeloutput!H238</f>
        <v>0.117217457</v>
      </c>
      <c r="J124" s="8">
        <f>Modeloutput!I238</f>
        <v>0</v>
      </c>
      <c r="K124" s="8">
        <f>Modeloutput!J238</f>
        <v>0</v>
      </c>
      <c r="L124" s="8">
        <f>Modeloutput!K238</f>
        <v>0.46787195100000001</v>
      </c>
      <c r="M124" s="8">
        <f>Modeloutput!L238</f>
        <v>0</v>
      </c>
      <c r="N124" s="8">
        <f>Modeloutput!M238</f>
        <v>0.75262867899999997</v>
      </c>
      <c r="O124" s="8">
        <f>Modeloutput!N238</f>
        <v>0</v>
      </c>
      <c r="P124" s="8">
        <f>Modeloutput!O238</f>
        <v>0</v>
      </c>
      <c r="Q124" s="8">
        <f>Modeloutput!P238</f>
        <v>0</v>
      </c>
      <c r="S124" s="7" t="s">
        <v>14</v>
      </c>
      <c r="T124" s="22">
        <f t="shared" si="42"/>
        <v>24.716511152999995</v>
      </c>
      <c r="U124" s="8">
        <f>Modeloutput!C493</f>
        <v>0</v>
      </c>
      <c r="V124" s="8">
        <f>Modeloutput!D493</f>
        <v>24.716511100000002</v>
      </c>
      <c r="W124" s="8">
        <f>Modeloutput!E493</f>
        <v>7.7004144500000002</v>
      </c>
      <c r="X124" s="8">
        <f>Modeloutput!F493</f>
        <v>1.7742529499999999</v>
      </c>
      <c r="Y124" s="8">
        <f>Modeloutput!G493</f>
        <v>14.0527111</v>
      </c>
      <c r="Z124" s="8">
        <f>Modeloutput!H493</f>
        <v>0.11712183</v>
      </c>
      <c r="AA124" s="8">
        <f>Modeloutput!I493</f>
        <v>0</v>
      </c>
      <c r="AB124" s="8">
        <f>Modeloutput!J493</f>
        <v>0</v>
      </c>
      <c r="AC124" s="8">
        <f>Modeloutput!K493</f>
        <v>0.35393336399999997</v>
      </c>
      <c r="AD124" s="8">
        <f>Modeloutput!L493</f>
        <v>0</v>
      </c>
      <c r="AE124" s="8">
        <f>Modeloutput!M493</f>
        <v>0.71807745899999997</v>
      </c>
      <c r="AF124" s="8">
        <f>Modeloutput!N493</f>
        <v>0</v>
      </c>
      <c r="AG124" s="8">
        <f>Modeloutput!O493</f>
        <v>0</v>
      </c>
      <c r="AH124" s="8">
        <f>Modeloutput!P493</f>
        <v>0</v>
      </c>
      <c r="AJ124" s="7" t="s">
        <v>14</v>
      </c>
      <c r="AK124" s="22">
        <f t="shared" si="43"/>
        <v>78.537824360999991</v>
      </c>
      <c r="AL124" s="8">
        <f>Modeloutput!C748</f>
        <v>0</v>
      </c>
      <c r="AM124" s="8">
        <f>Modeloutput!D748</f>
        <v>78.537824299999997</v>
      </c>
      <c r="AN124" s="8">
        <f>Modeloutput!E748</f>
        <v>17.351061900000001</v>
      </c>
      <c r="AO124" s="8">
        <f>Modeloutput!F748</f>
        <v>1.80555077</v>
      </c>
      <c r="AP124" s="8">
        <f>Modeloutput!G748</f>
        <v>27.2406726</v>
      </c>
      <c r="AQ124" s="8">
        <f>Modeloutput!H748</f>
        <v>0.117738591</v>
      </c>
      <c r="AR124" s="8">
        <f>Modeloutput!I748</f>
        <v>0</v>
      </c>
      <c r="AS124" s="8">
        <f>Modeloutput!J748</f>
        <v>0</v>
      </c>
      <c r="AT124" s="8">
        <f>Modeloutput!K748</f>
        <v>0</v>
      </c>
      <c r="AU124" s="8">
        <f>Modeloutput!L748</f>
        <v>0</v>
      </c>
      <c r="AV124" s="8">
        <f>Modeloutput!M748</f>
        <v>32.022800500000002</v>
      </c>
      <c r="AW124" s="8">
        <f>Modeloutput!N748</f>
        <v>0</v>
      </c>
      <c r="AX124" s="8">
        <f>Modeloutput!O748</f>
        <v>0</v>
      </c>
      <c r="AY124" s="8">
        <f>Modeloutput!P748</f>
        <v>0</v>
      </c>
      <c r="BA124" s="7" t="s">
        <v>14</v>
      </c>
      <c r="BB124" s="22">
        <f t="shared" si="44"/>
        <v>35.6478731188</v>
      </c>
      <c r="BC124" s="8">
        <f>Modeloutput!C1003</f>
        <v>0</v>
      </c>
      <c r="BD124" s="8">
        <f>Modeloutput!D1003</f>
        <v>35.647873199999999</v>
      </c>
      <c r="BE124" s="8">
        <f>Modeloutput!E1003</f>
        <v>17.169750799999999</v>
      </c>
      <c r="BF124" s="8">
        <f>Modeloutput!F1003</f>
        <v>0.39915248199999998</v>
      </c>
      <c r="BG124" s="8">
        <f>Modeloutput!G1003</f>
        <v>17.9814425</v>
      </c>
      <c r="BH124" s="8">
        <f>Modeloutput!H1003</f>
        <v>9.7527336800000003E-2</v>
      </c>
      <c r="BI124" s="8">
        <f>Modeloutput!I1003</f>
        <v>0</v>
      </c>
      <c r="BJ124" s="8">
        <f>Modeloutput!J1003</f>
        <v>0</v>
      </c>
      <c r="BK124" s="8">
        <f>Modeloutput!K1003</f>
        <v>0</v>
      </c>
      <c r="BL124" s="8">
        <f>Modeloutput!L1003</f>
        <v>0</v>
      </c>
      <c r="BM124" s="8">
        <f>Modeloutput!M1003</f>
        <v>0</v>
      </c>
      <c r="BN124" s="8">
        <f>Modeloutput!N1003</f>
        <v>0</v>
      </c>
      <c r="BO124" s="8">
        <f>Modeloutput!O1003</f>
        <v>0</v>
      </c>
      <c r="BP124" s="8">
        <f>Modeloutput!P1003</f>
        <v>0</v>
      </c>
      <c r="BR124" s="7" t="s">
        <v>14</v>
      </c>
      <c r="BS124" s="22">
        <f t="shared" si="45"/>
        <v>41.191877094300004</v>
      </c>
      <c r="BT124" s="8">
        <f>Modeloutput!C1258</f>
        <v>0</v>
      </c>
      <c r="BU124" s="8">
        <f>Modeloutput!D1258</f>
        <v>41.191877099999999</v>
      </c>
      <c r="BV124" s="8">
        <f>Modeloutput!E1258</f>
        <v>8.3423861400000003</v>
      </c>
      <c r="BW124" s="8">
        <f>Modeloutput!F1258</f>
        <v>0.55051914800000001</v>
      </c>
      <c r="BX124" s="8">
        <f>Modeloutput!G1258</f>
        <v>14.1042042</v>
      </c>
      <c r="BY124" s="8">
        <f>Modeloutput!H1258</f>
        <v>6.3009523900000003E-2</v>
      </c>
      <c r="BZ124" s="8">
        <f>Modeloutput!I1258</f>
        <v>0</v>
      </c>
      <c r="CA124" s="8">
        <f>Modeloutput!J1258</f>
        <v>0</v>
      </c>
      <c r="CB124" s="8">
        <f>Modeloutput!K1258</f>
        <v>7.7884098100000001</v>
      </c>
      <c r="CC124" s="8">
        <f>Modeloutput!L1258</f>
        <v>10.313661099999999</v>
      </c>
      <c r="CD124" s="8">
        <f>Modeloutput!M1258</f>
        <v>2.96871724E-2</v>
      </c>
      <c r="CE124" s="8">
        <f>Modeloutput!N1258</f>
        <v>0</v>
      </c>
      <c r="CF124" s="8">
        <f>Modeloutput!O1258</f>
        <v>0</v>
      </c>
      <c r="CG124" s="8">
        <f>Modeloutput!P1258</f>
        <v>0</v>
      </c>
    </row>
    <row r="125" spans="1:85" x14ac:dyDescent="0.25">
      <c r="A125" s="7"/>
      <c r="B125" s="28" t="s">
        <v>18</v>
      </c>
      <c r="C125" s="29">
        <f t="shared" ref="C125:Q125" si="46">SUM(C111:C124)</f>
        <v>491.09387795570007</v>
      </c>
      <c r="D125" s="29">
        <f t="shared" si="46"/>
        <v>85.260947790000003</v>
      </c>
      <c r="E125" s="29">
        <f t="shared" si="46"/>
        <v>405.83293015000004</v>
      </c>
      <c r="F125" s="29">
        <f t="shared" si="46"/>
        <v>248.64687203500003</v>
      </c>
      <c r="G125" s="29">
        <f t="shared" si="46"/>
        <v>37.477737572999999</v>
      </c>
      <c r="H125" s="29">
        <f t="shared" si="46"/>
        <v>115.3239330216</v>
      </c>
      <c r="I125" s="29">
        <f t="shared" si="46"/>
        <v>4.3843875472000002</v>
      </c>
      <c r="J125" s="29">
        <f t="shared" si="46"/>
        <v>0</v>
      </c>
      <c r="K125" s="29">
        <f t="shared" si="46"/>
        <v>0</v>
      </c>
      <c r="L125" s="29">
        <f t="shared" si="46"/>
        <v>68.780675981000002</v>
      </c>
      <c r="M125" s="29">
        <f t="shared" si="46"/>
        <v>0</v>
      </c>
      <c r="N125" s="29">
        <f t="shared" si="46"/>
        <v>13.563406407900001</v>
      </c>
      <c r="O125" s="29">
        <f t="shared" si="46"/>
        <v>0</v>
      </c>
      <c r="P125" s="29">
        <f t="shared" si="46"/>
        <v>0</v>
      </c>
      <c r="Q125" s="29">
        <f t="shared" si="46"/>
        <v>2.9168653899999999</v>
      </c>
      <c r="R125" s="7"/>
      <c r="S125" s="28" t="s">
        <v>18</v>
      </c>
      <c r="T125" s="29">
        <f t="shared" ref="T125:AH125" si="47">SUM(T111:T124)</f>
        <v>544.60706808110001</v>
      </c>
      <c r="U125" s="29">
        <f t="shared" si="47"/>
        <v>79.082774730000011</v>
      </c>
      <c r="V125" s="29">
        <f t="shared" si="47"/>
        <v>465.52429283000004</v>
      </c>
      <c r="W125" s="29">
        <f t="shared" si="47"/>
        <v>283.00143743000001</v>
      </c>
      <c r="X125" s="29">
        <f t="shared" si="47"/>
        <v>37.531111901999999</v>
      </c>
      <c r="Y125" s="29">
        <f t="shared" si="47"/>
        <v>140.594757985</v>
      </c>
      <c r="Z125" s="29">
        <f t="shared" si="47"/>
        <v>4.3969861602</v>
      </c>
      <c r="AA125" s="29">
        <f t="shared" si="47"/>
        <v>0</v>
      </c>
      <c r="AB125" s="29">
        <f t="shared" si="47"/>
        <v>0</v>
      </c>
      <c r="AC125" s="29">
        <f t="shared" si="47"/>
        <v>60.425594133999994</v>
      </c>
      <c r="AD125" s="29">
        <f t="shared" si="47"/>
        <v>0</v>
      </c>
      <c r="AE125" s="29">
        <f t="shared" si="47"/>
        <v>13.2910602599</v>
      </c>
      <c r="AF125" s="29">
        <f t="shared" si="47"/>
        <v>0</v>
      </c>
      <c r="AG125" s="29">
        <f t="shared" si="47"/>
        <v>0</v>
      </c>
      <c r="AH125" s="29">
        <f t="shared" si="47"/>
        <v>5.3661202100000001</v>
      </c>
      <c r="AI125" s="7"/>
      <c r="AJ125" s="28" t="s">
        <v>18</v>
      </c>
      <c r="AK125" s="29">
        <f t="shared" ref="AK125:AY125" si="48">SUM(AK111:AK124)</f>
        <v>824.52455464640002</v>
      </c>
      <c r="AL125" s="29">
        <f t="shared" si="48"/>
        <v>281.69720159999997</v>
      </c>
      <c r="AM125" s="29">
        <f t="shared" si="48"/>
        <v>542.82735363999996</v>
      </c>
      <c r="AN125" s="29">
        <f t="shared" si="48"/>
        <v>324.27076122999995</v>
      </c>
      <c r="AO125" s="29">
        <f t="shared" si="48"/>
        <v>38.179562032999996</v>
      </c>
      <c r="AP125" s="29">
        <f t="shared" si="48"/>
        <v>175.977500513</v>
      </c>
      <c r="AQ125" s="29">
        <f t="shared" si="48"/>
        <v>4.3995298574000001</v>
      </c>
      <c r="AR125" s="29">
        <f t="shared" si="48"/>
        <v>0</v>
      </c>
      <c r="AS125" s="29">
        <f t="shared" si="48"/>
        <v>0</v>
      </c>
      <c r="AT125" s="29">
        <f t="shared" si="48"/>
        <v>47.248275530000001</v>
      </c>
      <c r="AU125" s="29">
        <f t="shared" si="48"/>
        <v>0</v>
      </c>
      <c r="AV125" s="29">
        <f t="shared" si="48"/>
        <v>202.04804843300002</v>
      </c>
      <c r="AW125" s="29">
        <f t="shared" si="48"/>
        <v>0</v>
      </c>
      <c r="AX125" s="29">
        <f t="shared" si="48"/>
        <v>0</v>
      </c>
      <c r="AY125" s="29">
        <f t="shared" si="48"/>
        <v>32.400877050000005</v>
      </c>
      <c r="AZ125" s="7"/>
      <c r="BA125" s="28" t="s">
        <v>18</v>
      </c>
      <c r="BB125" s="29">
        <f t="shared" ref="BB125:BP125" si="49">SUM(BB111:BB124)</f>
        <v>620.30736787680007</v>
      </c>
      <c r="BC125" s="29">
        <f t="shared" si="49"/>
        <v>86.283384299999994</v>
      </c>
      <c r="BD125" s="29">
        <f t="shared" si="49"/>
        <v>534.02398356999993</v>
      </c>
      <c r="BE125" s="29">
        <f t="shared" si="49"/>
        <v>352.40877290999993</v>
      </c>
      <c r="BF125" s="29">
        <f t="shared" si="49"/>
        <v>26.584953764999998</v>
      </c>
      <c r="BG125" s="29">
        <f t="shared" si="49"/>
        <v>150.87685773999999</v>
      </c>
      <c r="BH125" s="29">
        <f t="shared" si="49"/>
        <v>4.1533992117999992</v>
      </c>
      <c r="BI125" s="29">
        <f t="shared" si="49"/>
        <v>0</v>
      </c>
      <c r="BJ125" s="29">
        <f t="shared" si="49"/>
        <v>0</v>
      </c>
      <c r="BK125" s="29">
        <f t="shared" si="49"/>
        <v>57.732199100000003</v>
      </c>
      <c r="BL125" s="29">
        <f t="shared" si="49"/>
        <v>0</v>
      </c>
      <c r="BM125" s="29">
        <f t="shared" si="49"/>
        <v>0</v>
      </c>
      <c r="BN125" s="29">
        <f t="shared" si="49"/>
        <v>0</v>
      </c>
      <c r="BO125" s="29">
        <f t="shared" si="49"/>
        <v>0</v>
      </c>
      <c r="BP125" s="29">
        <f t="shared" si="49"/>
        <v>28.551185150000002</v>
      </c>
      <c r="BQ125" s="7"/>
      <c r="BR125" s="28" t="s">
        <v>18</v>
      </c>
      <c r="BS125" s="29">
        <f t="shared" ref="BS125:CG125" si="50">SUM(BS111:BS124)</f>
        <v>946.59580978004328</v>
      </c>
      <c r="BT125" s="29">
        <f t="shared" si="50"/>
        <v>247.606317448</v>
      </c>
      <c r="BU125" s="29">
        <f t="shared" si="50"/>
        <v>698.98949265428996</v>
      </c>
      <c r="BV125" s="29">
        <f t="shared" si="50"/>
        <v>458.71697444499995</v>
      </c>
      <c r="BW125" s="29">
        <f t="shared" si="50"/>
        <v>48.057070487620003</v>
      </c>
      <c r="BX125" s="29">
        <f t="shared" si="50"/>
        <v>186.63551867828227</v>
      </c>
      <c r="BY125" s="29">
        <f t="shared" si="50"/>
        <v>5.5799291905999997</v>
      </c>
      <c r="BZ125" s="29">
        <f t="shared" si="50"/>
        <v>0</v>
      </c>
      <c r="CA125" s="29">
        <f t="shared" si="50"/>
        <v>0</v>
      </c>
      <c r="CB125" s="29">
        <f t="shared" si="50"/>
        <v>137.14682452999998</v>
      </c>
      <c r="CC125" s="29">
        <f t="shared" si="50"/>
        <v>81.499356770501009</v>
      </c>
      <c r="CD125" s="29">
        <f t="shared" si="50"/>
        <v>0.21803604804000001</v>
      </c>
      <c r="CE125" s="29">
        <f t="shared" si="50"/>
        <v>0</v>
      </c>
      <c r="CF125" s="29">
        <f t="shared" si="50"/>
        <v>0</v>
      </c>
      <c r="CG125" s="29">
        <f t="shared" si="50"/>
        <v>28.742099629999998</v>
      </c>
    </row>
    <row r="127" spans="1:85" x14ac:dyDescent="0.25">
      <c r="B127" s="11" t="s">
        <v>34</v>
      </c>
      <c r="C127" s="16">
        <f>SUM(Cost_Flow!C111:C114)+SUM(Cost_Flow!C120:C121)</f>
        <v>267.0227985427</v>
      </c>
      <c r="S127" s="11" t="s">
        <v>34</v>
      </c>
      <c r="T127" s="16">
        <f>SUM(Cost_Flow!T111:T114)+SUM(Cost_Flow!T120:T121)</f>
        <v>315.19782025209997</v>
      </c>
      <c r="AJ127" s="11" t="s">
        <v>34</v>
      </c>
      <c r="AK127" s="16">
        <f>SUM(Cost_Flow!AK111:AK114)+SUM(Cost_Flow!AK120:AK121)</f>
        <v>463.56397080339997</v>
      </c>
      <c r="BA127" s="11" t="s">
        <v>34</v>
      </c>
      <c r="BB127" s="16">
        <f>SUM(Cost_Flow!BB111:BB114)+SUM(Cost_Flow!BB120:BB121)</f>
        <v>402.11871375700002</v>
      </c>
      <c r="BR127" s="11" t="s">
        <v>34</v>
      </c>
      <c r="BS127" s="16">
        <f>SUM(Cost_Flow!BS111:BS114)+SUM(Cost_Flow!BS120:BS121)</f>
        <v>409.25763227129329</v>
      </c>
    </row>
    <row r="128" spans="1:85" x14ac:dyDescent="0.25">
      <c r="B128" s="17" t="s">
        <v>36</v>
      </c>
      <c r="C128" s="18">
        <f>Cost_Flow!C122+Cost_Flow!C123</f>
        <v>137.49311433900002</v>
      </c>
      <c r="S128" s="17" t="s">
        <v>36</v>
      </c>
      <c r="T128" s="18">
        <f>Cost_Flow!T122+Cost_Flow!T123</f>
        <v>133.40568768899999</v>
      </c>
      <c r="AJ128" s="17" t="s">
        <v>36</v>
      </c>
      <c r="AK128" s="18">
        <f>Cost_Flow!AK122+Cost_Flow!AK123</f>
        <v>141.507475408</v>
      </c>
      <c r="BA128" s="17" t="s">
        <v>36</v>
      </c>
      <c r="BB128" s="18">
        <f>Cost_Flow!BB122+Cost_Flow!BB123</f>
        <v>128.40773208500002</v>
      </c>
      <c r="BR128" s="17" t="s">
        <v>36</v>
      </c>
      <c r="BS128" s="18">
        <f>Cost_Flow!BS122+Cost_Flow!BS123</f>
        <v>159.57233988285</v>
      </c>
    </row>
    <row r="129" spans="2:71" x14ac:dyDescent="0.25">
      <c r="B129" s="20" t="s">
        <v>35</v>
      </c>
      <c r="C129" s="19">
        <f>SUM(Cost_Flow!E115:E119)</f>
        <v>1.4593459999999947E-2</v>
      </c>
      <c r="S129" s="20" t="s">
        <v>35</v>
      </c>
      <c r="T129" s="19">
        <f>SUM(Cost_Flow!V115:V119)</f>
        <v>-2.4296055300000003</v>
      </c>
      <c r="AJ129" s="20" t="s">
        <v>35</v>
      </c>
      <c r="AK129" s="19">
        <f>SUM(Cost_Flow!AM115:AM119)</f>
        <v>-108.38104042000001</v>
      </c>
      <c r="BA129" s="20" t="s">
        <v>35</v>
      </c>
      <c r="BB129" s="19">
        <f>SUM(Cost_Flow!BD115:BD119)</f>
        <v>-3.5991502299999998</v>
      </c>
      <c r="BR129" s="20" t="s">
        <v>35</v>
      </c>
      <c r="BS129" s="19">
        <f>SUM(Cost_Flow!BU115:BU119)</f>
        <v>117.70974339428999</v>
      </c>
    </row>
    <row r="130" spans="2:71" x14ac:dyDescent="0.25">
      <c r="B130" s="21" t="s">
        <v>37</v>
      </c>
      <c r="C130" s="23">
        <f>Cost_Flow!C124</f>
        <v>4.2192892899999999</v>
      </c>
      <c r="S130" s="21" t="s">
        <v>37</v>
      </c>
      <c r="T130" s="23">
        <f>Cost_Flow!T124</f>
        <v>24.716511152999995</v>
      </c>
      <c r="AJ130" s="21" t="s">
        <v>37</v>
      </c>
      <c r="AK130" s="23">
        <f>Cost_Flow!AK124</f>
        <v>78.537824360999991</v>
      </c>
      <c r="BA130" s="21" t="s">
        <v>37</v>
      </c>
      <c r="BB130" s="23">
        <f>Cost_Flow!BB124</f>
        <v>35.6478731188</v>
      </c>
      <c r="BR130" s="21" t="s">
        <v>37</v>
      </c>
      <c r="BS130" s="23">
        <f>Cost_Flow!BS124</f>
        <v>41.191877094300004</v>
      </c>
    </row>
  </sheetData>
  <customSheetViews>
    <customSheetView guid="{FE9E7DEF-61E7-497F-AA37-E5D7A2E31674}" scale="60">
      <selection activeCell="G34" sqref="G34"/>
    </customSheetView>
  </customSheetView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CG210"/>
  <sheetViews>
    <sheetView topLeftCell="A19" zoomScale="60" zoomScaleNormal="60" workbookViewId="0">
      <selection activeCell="I41" sqref="I41"/>
    </sheetView>
  </sheetViews>
  <sheetFormatPr defaultRowHeight="15" x14ac:dyDescent="0.25"/>
  <cols>
    <col min="2" max="2" width="26.140625" customWidth="1"/>
    <col min="3" max="3" width="8.85546875" style="116" bestFit="1" customWidth="1"/>
    <col min="4" max="4" width="9.42578125" style="116" bestFit="1" customWidth="1"/>
    <col min="5" max="6" width="9.85546875" style="116" bestFit="1" customWidth="1"/>
    <col min="7" max="7" width="14.42578125" style="116" customWidth="1"/>
    <col min="8" max="8" width="9.85546875" style="116" bestFit="1" customWidth="1"/>
    <col min="9" max="9" width="10" style="116" bestFit="1" customWidth="1"/>
    <col min="10" max="10" width="15" style="116" bestFit="1" customWidth="1"/>
    <col min="11" max="11" width="12" style="116" bestFit="1" customWidth="1"/>
    <col min="12" max="13" width="14.140625" style="116" bestFit="1" customWidth="1"/>
    <col min="14" max="14" width="9.85546875" style="116" bestFit="1" customWidth="1"/>
    <col min="15" max="15" width="10.5703125" style="116" bestFit="1" customWidth="1"/>
    <col min="16" max="16" width="10" style="116" bestFit="1" customWidth="1"/>
    <col min="17" max="17" width="9.85546875" style="116" bestFit="1" customWidth="1"/>
    <col min="18" max="18" width="10.5703125" style="38" bestFit="1" customWidth="1"/>
    <col min="19" max="19" width="26.140625" style="116" customWidth="1"/>
    <col min="20" max="20" width="8.85546875" style="116" bestFit="1" customWidth="1"/>
    <col min="21" max="21" width="9.42578125" style="116" bestFit="1" customWidth="1"/>
    <col min="22" max="23" width="9.85546875" style="116" bestFit="1" customWidth="1"/>
    <col min="24" max="24" width="14.42578125" style="116" customWidth="1"/>
    <col min="25" max="25" width="9.85546875" style="116" bestFit="1" customWidth="1"/>
    <col min="26" max="26" width="10" style="116" bestFit="1" customWidth="1"/>
    <col min="27" max="27" width="15" style="116" bestFit="1" customWidth="1"/>
    <col min="28" max="28" width="12" style="116" bestFit="1" customWidth="1"/>
    <col min="29" max="30" width="14.140625" style="116" bestFit="1" customWidth="1"/>
    <col min="31" max="31" width="9.85546875" style="116" bestFit="1" customWidth="1"/>
    <col min="32" max="32" width="10.5703125" style="116" bestFit="1" customWidth="1"/>
    <col min="33" max="33" width="10" style="116" bestFit="1" customWidth="1"/>
    <col min="34" max="34" width="9.85546875" style="116" bestFit="1" customWidth="1"/>
    <col min="35" max="35" width="9.7109375" style="38" customWidth="1"/>
    <col min="36" max="36" width="26.140625" style="116" customWidth="1"/>
    <col min="37" max="39" width="8.85546875" style="116" bestFit="1" customWidth="1"/>
    <col min="40" max="40" width="9.140625" style="116" bestFit="1" customWidth="1"/>
    <col min="41" max="41" width="14.42578125" style="116" customWidth="1"/>
    <col min="42" max="42" width="8.85546875" style="116" bestFit="1" customWidth="1"/>
    <col min="43" max="43" width="10" style="116" bestFit="1" customWidth="1"/>
    <col min="44" max="44" width="15" style="116" bestFit="1" customWidth="1"/>
    <col min="45" max="45" width="12" style="116" bestFit="1" customWidth="1"/>
    <col min="46" max="47" width="14.140625" style="116" bestFit="1" customWidth="1"/>
    <col min="48" max="48" width="8.85546875" style="116" bestFit="1" customWidth="1"/>
    <col min="49" max="49" width="10.5703125" style="116" bestFit="1" customWidth="1"/>
    <col min="50" max="50" width="10" style="116" bestFit="1" customWidth="1"/>
    <col min="51" max="51" width="9.85546875" style="116" bestFit="1" customWidth="1"/>
    <col min="52" max="52" width="9.7109375" style="38" customWidth="1"/>
    <col min="53" max="53" width="26.140625" style="116" customWidth="1"/>
    <col min="54" max="56" width="8.85546875" style="116" bestFit="1" customWidth="1"/>
    <col min="57" max="57" width="9.140625" style="116" bestFit="1" customWidth="1"/>
    <col min="58" max="58" width="14.42578125" style="116" customWidth="1"/>
    <col min="59" max="59" width="8.85546875" style="116" bestFit="1" customWidth="1"/>
    <col min="60" max="60" width="10" style="116" bestFit="1" customWidth="1"/>
    <col min="61" max="61" width="15" style="116" bestFit="1" customWidth="1"/>
    <col min="62" max="62" width="12" style="116" bestFit="1" customWidth="1"/>
    <col min="63" max="64" width="14.140625" style="116" bestFit="1" customWidth="1"/>
    <col min="65" max="65" width="8.85546875" style="116" bestFit="1" customWidth="1"/>
    <col min="66" max="66" width="10.5703125" style="116" bestFit="1" customWidth="1"/>
    <col min="67" max="67" width="10" style="116" bestFit="1" customWidth="1"/>
    <col min="68" max="68" width="9.85546875" style="116" bestFit="1" customWidth="1"/>
    <col min="69" max="69" width="9.7109375" style="38" customWidth="1"/>
    <col min="70" max="70" width="26.140625" style="116" customWidth="1"/>
    <col min="71" max="73" width="8.85546875" style="116" bestFit="1" customWidth="1"/>
    <col min="74" max="74" width="9.140625" style="116" bestFit="1" customWidth="1"/>
    <col min="75" max="75" width="14.42578125" style="116" customWidth="1"/>
    <col min="76" max="76" width="8.85546875" style="116" bestFit="1" customWidth="1"/>
    <col min="77" max="77" width="10" style="116" bestFit="1" customWidth="1"/>
    <col min="78" max="78" width="15" style="116" bestFit="1" customWidth="1"/>
    <col min="79" max="79" width="12" style="116" bestFit="1" customWidth="1"/>
    <col min="80" max="81" width="14.140625" style="116" bestFit="1" customWidth="1"/>
    <col min="82" max="82" width="8.85546875" style="116" bestFit="1" customWidth="1"/>
    <col min="83" max="83" width="10.5703125" style="116" bestFit="1" customWidth="1"/>
    <col min="84" max="84" width="10" style="116" bestFit="1" customWidth="1"/>
    <col min="85" max="85" width="9.85546875" style="116" bestFit="1" customWidth="1"/>
  </cols>
  <sheetData>
    <row r="2" spans="1:85" x14ac:dyDescent="0.25">
      <c r="B2" t="s">
        <v>0</v>
      </c>
      <c r="T2" s="116">
        <f>Modeloutput!B293</f>
        <v>0</v>
      </c>
      <c r="AK2" s="116">
        <f>Modeloutput!B548</f>
        <v>0</v>
      </c>
      <c r="BB2" s="116">
        <f>Modeloutput!B803</f>
        <v>0</v>
      </c>
      <c r="BS2" s="116">
        <f>Modeloutput!B1058</f>
        <v>0</v>
      </c>
    </row>
    <row r="3" spans="1:85" x14ac:dyDescent="0.25">
      <c r="B3" s="2" t="s">
        <v>16</v>
      </c>
      <c r="T3" s="116">
        <f>Modeloutput!B344</f>
        <v>0</v>
      </c>
      <c r="AK3" s="116">
        <f>Modeloutput!B599</f>
        <v>0</v>
      </c>
      <c r="BB3" s="116">
        <f>Modeloutput!B854</f>
        <v>0</v>
      </c>
      <c r="BS3" s="116">
        <f>Modeloutput!B1109</f>
        <v>0</v>
      </c>
    </row>
    <row r="4" spans="1:85" x14ac:dyDescent="0.25">
      <c r="B4" s="3" t="s">
        <v>16</v>
      </c>
      <c r="T4" s="116">
        <f>Modeloutput!B395</f>
        <v>0</v>
      </c>
      <c r="AK4" s="116">
        <f>Modeloutput!B650</f>
        <v>0</v>
      </c>
      <c r="BB4" s="116">
        <f>Modeloutput!B905</f>
        <v>0</v>
      </c>
      <c r="BS4" s="116">
        <f>Modeloutput!B1160</f>
        <v>0</v>
      </c>
    </row>
    <row r="5" spans="1:85" x14ac:dyDescent="0.25">
      <c r="T5" s="116">
        <f>Modeloutput!B446</f>
        <v>0</v>
      </c>
      <c r="AK5" s="116">
        <f>Modeloutput!B701</f>
        <v>0</v>
      </c>
      <c r="BB5" s="116">
        <f>Modeloutput!B956</f>
        <v>0</v>
      </c>
      <c r="BS5" s="116">
        <f>Modeloutput!B1211</f>
        <v>0</v>
      </c>
    </row>
    <row r="6" spans="1:85" ht="26.25" x14ac:dyDescent="0.4">
      <c r="B6" s="6" t="str">
        <f>Cost_Flow!B6</f>
        <v>ReferentieUtrecht</v>
      </c>
      <c r="S6" s="117" t="str">
        <f>Cost_Flow!S6</f>
        <v>Utrecht_Label B</v>
      </c>
      <c r="T6" s="116">
        <f>Modeloutput!B497</f>
        <v>0</v>
      </c>
      <c r="AJ6" s="117" t="str">
        <f>Cost_Flow!AJ6</f>
        <v>Utrecht_Label Aplus</v>
      </c>
      <c r="AK6" s="116">
        <f>Modeloutput!B752</f>
        <v>0</v>
      </c>
      <c r="BA6" s="117" t="str">
        <f>Cost_Flow!BA6</f>
        <v>Utrecht_Label Aplus, met eWP</v>
      </c>
      <c r="BB6" s="116">
        <f>Modeloutput!B1007</f>
        <v>0</v>
      </c>
      <c r="BR6" s="117" t="str">
        <f>Cost_Flow!BR6</f>
        <v>Utrecht_Label B_Warmtenetten</v>
      </c>
      <c r="BS6" s="116">
        <f>Modeloutput!B1262</f>
        <v>0</v>
      </c>
    </row>
    <row r="7" spans="1:85" ht="21" x14ac:dyDescent="0.35">
      <c r="A7" s="5">
        <v>2010</v>
      </c>
      <c r="R7" s="128">
        <v>2010</v>
      </c>
      <c r="AI7" s="128">
        <v>2010</v>
      </c>
      <c r="AZ7" s="128">
        <v>2010</v>
      </c>
      <c r="BQ7" s="128">
        <v>2010</v>
      </c>
    </row>
    <row r="8" spans="1:85" x14ac:dyDescent="0.25">
      <c r="B8" s="4" t="str">
        <f>$B$6</f>
        <v>ReferentieUtrecht</v>
      </c>
      <c r="S8" s="118" t="str">
        <f>$S$6</f>
        <v>Utrecht_Label B</v>
      </c>
      <c r="T8" s="118"/>
      <c r="AJ8" s="118" t="str">
        <f>$AJ$6</f>
        <v>Utrecht_Label Aplus</v>
      </c>
      <c r="BA8" s="118" t="str">
        <f>BA$6</f>
        <v>Utrecht_Label Aplus, met eWP</v>
      </c>
      <c r="BR8" s="118" t="str">
        <f>BR$6</f>
        <v>Utrecht_Label B_Warmtenetten</v>
      </c>
    </row>
    <row r="9" spans="1:85" x14ac:dyDescent="0.25">
      <c r="C9" s="112" t="s">
        <v>18</v>
      </c>
      <c r="D9" s="112" t="s">
        <v>19</v>
      </c>
      <c r="E9" s="112" t="s">
        <v>20</v>
      </c>
      <c r="F9" s="112" t="s">
        <v>21</v>
      </c>
      <c r="G9" s="131" t="s">
        <v>507</v>
      </c>
      <c r="H9" s="112" t="s">
        <v>23</v>
      </c>
      <c r="I9" s="112" t="s">
        <v>508</v>
      </c>
      <c r="J9" s="112" t="s">
        <v>25</v>
      </c>
      <c r="K9" s="112" t="s">
        <v>26</v>
      </c>
      <c r="L9" s="112" t="s">
        <v>5</v>
      </c>
      <c r="M9" s="112" t="s">
        <v>6</v>
      </c>
      <c r="N9" s="112" t="s">
        <v>7</v>
      </c>
      <c r="O9" s="112" t="s">
        <v>8</v>
      </c>
      <c r="P9" s="112" t="s">
        <v>9</v>
      </c>
      <c r="Q9" s="112" t="s">
        <v>27</v>
      </c>
      <c r="T9" s="112" t="s">
        <v>18</v>
      </c>
      <c r="U9" s="112" t="s">
        <v>19</v>
      </c>
      <c r="V9" s="112" t="s">
        <v>20</v>
      </c>
      <c r="W9" s="112" t="s">
        <v>21</v>
      </c>
      <c r="X9" s="112" t="s">
        <v>22</v>
      </c>
      <c r="Y9" s="112" t="s">
        <v>23</v>
      </c>
      <c r="Z9" s="112" t="s">
        <v>24</v>
      </c>
      <c r="AA9" s="112" t="s">
        <v>25</v>
      </c>
      <c r="AB9" s="112" t="s">
        <v>26</v>
      </c>
      <c r="AC9" s="112" t="s">
        <v>5</v>
      </c>
      <c r="AD9" s="112" t="s">
        <v>6</v>
      </c>
      <c r="AE9" s="112" t="s">
        <v>7</v>
      </c>
      <c r="AF9" s="112" t="s">
        <v>8</v>
      </c>
      <c r="AG9" s="112" t="s">
        <v>9</v>
      </c>
      <c r="AH9" s="112" t="s">
        <v>27</v>
      </c>
      <c r="AK9" s="112" t="s">
        <v>18</v>
      </c>
      <c r="AL9" s="112" t="s">
        <v>19</v>
      </c>
      <c r="AM9" s="112" t="s">
        <v>20</v>
      </c>
      <c r="AN9" s="112" t="s">
        <v>21</v>
      </c>
      <c r="AO9" s="112" t="s">
        <v>22</v>
      </c>
      <c r="AP9" s="112" t="s">
        <v>23</v>
      </c>
      <c r="AQ9" s="112" t="s">
        <v>24</v>
      </c>
      <c r="AR9" s="112" t="s">
        <v>25</v>
      </c>
      <c r="AS9" s="112" t="s">
        <v>26</v>
      </c>
      <c r="AT9" s="112" t="s">
        <v>5</v>
      </c>
      <c r="AU9" s="112" t="s">
        <v>6</v>
      </c>
      <c r="AV9" s="112" t="s">
        <v>7</v>
      </c>
      <c r="AW9" s="112" t="s">
        <v>8</v>
      </c>
      <c r="AX9" s="112" t="s">
        <v>9</v>
      </c>
      <c r="AY9" s="112" t="s">
        <v>27</v>
      </c>
      <c r="BB9" s="112" t="s">
        <v>18</v>
      </c>
      <c r="BC9" s="112" t="s">
        <v>19</v>
      </c>
      <c r="BD9" s="112" t="s">
        <v>20</v>
      </c>
      <c r="BE9" s="112" t="s">
        <v>21</v>
      </c>
      <c r="BF9" s="112" t="s">
        <v>22</v>
      </c>
      <c r="BG9" s="112" t="s">
        <v>23</v>
      </c>
      <c r="BH9" s="112" t="s">
        <v>24</v>
      </c>
      <c r="BI9" s="112" t="s">
        <v>25</v>
      </c>
      <c r="BJ9" s="112" t="s">
        <v>26</v>
      </c>
      <c r="BK9" s="112" t="s">
        <v>5</v>
      </c>
      <c r="BL9" s="112" t="s">
        <v>6</v>
      </c>
      <c r="BM9" s="112" t="s">
        <v>7</v>
      </c>
      <c r="BN9" s="112" t="s">
        <v>8</v>
      </c>
      <c r="BO9" s="112" t="s">
        <v>9</v>
      </c>
      <c r="BP9" s="112" t="s">
        <v>27</v>
      </c>
      <c r="BS9" s="112" t="s">
        <v>18</v>
      </c>
      <c r="BT9" s="112" t="s">
        <v>19</v>
      </c>
      <c r="BU9" s="112" t="s">
        <v>20</v>
      </c>
      <c r="BV9" s="112" t="s">
        <v>21</v>
      </c>
      <c r="BW9" s="112" t="s">
        <v>22</v>
      </c>
      <c r="BX9" s="112" t="s">
        <v>23</v>
      </c>
      <c r="BY9" s="112" t="s">
        <v>24</v>
      </c>
      <c r="BZ9" s="112" t="s">
        <v>25</v>
      </c>
      <c r="CA9" s="112" t="s">
        <v>26</v>
      </c>
      <c r="CB9" s="112" t="s">
        <v>5</v>
      </c>
      <c r="CC9" s="112" t="s">
        <v>6</v>
      </c>
      <c r="CD9" s="112" t="s">
        <v>7</v>
      </c>
      <c r="CE9" s="112" t="s">
        <v>8</v>
      </c>
      <c r="CF9" s="112" t="s">
        <v>9</v>
      </c>
      <c r="CG9" s="112" t="s">
        <v>27</v>
      </c>
    </row>
    <row r="10" spans="1:85" x14ac:dyDescent="0.25">
      <c r="C10" s="112" t="s">
        <v>28</v>
      </c>
      <c r="D10" s="112" t="s">
        <v>28</v>
      </c>
      <c r="E10" s="112" t="s">
        <v>28</v>
      </c>
      <c r="F10" s="112" t="s">
        <v>28</v>
      </c>
      <c r="G10" s="112" t="s">
        <v>28</v>
      </c>
      <c r="H10" s="112" t="s">
        <v>28</v>
      </c>
      <c r="I10" s="112" t="s">
        <v>28</v>
      </c>
      <c r="J10" s="112" t="s">
        <v>28</v>
      </c>
      <c r="K10" s="112" t="s">
        <v>28</v>
      </c>
      <c r="L10" s="112" t="s">
        <v>28</v>
      </c>
      <c r="M10" s="112" t="s">
        <v>28</v>
      </c>
      <c r="N10" s="112" t="s">
        <v>28</v>
      </c>
      <c r="O10" s="112" t="s">
        <v>28</v>
      </c>
      <c r="P10" s="112" t="s">
        <v>28</v>
      </c>
      <c r="Q10" s="112" t="s">
        <v>28</v>
      </c>
      <c r="T10" s="112" t="s">
        <v>28</v>
      </c>
      <c r="U10" s="112" t="s">
        <v>28</v>
      </c>
      <c r="V10" s="112" t="s">
        <v>28</v>
      </c>
      <c r="W10" s="112" t="s">
        <v>28</v>
      </c>
      <c r="X10" s="112" t="s">
        <v>28</v>
      </c>
      <c r="Y10" s="112" t="s">
        <v>28</v>
      </c>
      <c r="Z10" s="112" t="s">
        <v>28</v>
      </c>
      <c r="AA10" s="112" t="s">
        <v>28</v>
      </c>
      <c r="AB10" s="112" t="s">
        <v>28</v>
      </c>
      <c r="AC10" s="112" t="s">
        <v>28</v>
      </c>
      <c r="AD10" s="112" t="s">
        <v>28</v>
      </c>
      <c r="AE10" s="112" t="s">
        <v>28</v>
      </c>
      <c r="AF10" s="112" t="s">
        <v>28</v>
      </c>
      <c r="AG10" s="112" t="s">
        <v>28</v>
      </c>
      <c r="AH10" s="112" t="s">
        <v>28</v>
      </c>
      <c r="AK10" s="112" t="s">
        <v>28</v>
      </c>
      <c r="AL10" s="112" t="s">
        <v>28</v>
      </c>
      <c r="AM10" s="112" t="s">
        <v>28</v>
      </c>
      <c r="AN10" s="112" t="s">
        <v>28</v>
      </c>
      <c r="AO10" s="112" t="s">
        <v>28</v>
      </c>
      <c r="AP10" s="112" t="s">
        <v>28</v>
      </c>
      <c r="AQ10" s="112" t="s">
        <v>28</v>
      </c>
      <c r="AR10" s="112" t="s">
        <v>28</v>
      </c>
      <c r="AS10" s="112" t="s">
        <v>28</v>
      </c>
      <c r="AT10" s="112" t="s">
        <v>28</v>
      </c>
      <c r="AU10" s="112" t="s">
        <v>28</v>
      </c>
      <c r="AV10" s="112" t="s">
        <v>28</v>
      </c>
      <c r="AW10" s="112" t="s">
        <v>28</v>
      </c>
      <c r="AX10" s="112" t="s">
        <v>28</v>
      </c>
      <c r="AY10" s="112" t="s">
        <v>28</v>
      </c>
      <c r="BB10" s="112" t="s">
        <v>28</v>
      </c>
      <c r="BC10" s="112" t="s">
        <v>28</v>
      </c>
      <c r="BD10" s="112" t="s">
        <v>28</v>
      </c>
      <c r="BE10" s="112" t="s">
        <v>28</v>
      </c>
      <c r="BF10" s="112" t="s">
        <v>28</v>
      </c>
      <c r="BG10" s="112" t="s">
        <v>28</v>
      </c>
      <c r="BH10" s="112" t="s">
        <v>28</v>
      </c>
      <c r="BI10" s="112" t="s">
        <v>28</v>
      </c>
      <c r="BJ10" s="112" t="s">
        <v>28</v>
      </c>
      <c r="BK10" s="112" t="s">
        <v>28</v>
      </c>
      <c r="BL10" s="112" t="s">
        <v>28</v>
      </c>
      <c r="BM10" s="112" t="s">
        <v>28</v>
      </c>
      <c r="BN10" s="112" t="s">
        <v>28</v>
      </c>
      <c r="BO10" s="112" t="s">
        <v>28</v>
      </c>
      <c r="BP10" s="112" t="s">
        <v>28</v>
      </c>
      <c r="BS10" s="112" t="s">
        <v>28</v>
      </c>
      <c r="BT10" s="112" t="s">
        <v>28</v>
      </c>
      <c r="BU10" s="112" t="s">
        <v>28</v>
      </c>
      <c r="BV10" s="112" t="s">
        <v>28</v>
      </c>
      <c r="BW10" s="112" t="s">
        <v>28</v>
      </c>
      <c r="BX10" s="112" t="s">
        <v>28</v>
      </c>
      <c r="BY10" s="112" t="s">
        <v>28</v>
      </c>
      <c r="BZ10" s="112" t="s">
        <v>28</v>
      </c>
      <c r="CA10" s="112" t="s">
        <v>28</v>
      </c>
      <c r="CB10" s="112" t="s">
        <v>28</v>
      </c>
      <c r="CC10" s="112" t="s">
        <v>28</v>
      </c>
      <c r="CD10" s="112" t="s">
        <v>28</v>
      </c>
      <c r="CE10" s="112" t="s">
        <v>28</v>
      </c>
      <c r="CF10" s="112" t="s">
        <v>28</v>
      </c>
      <c r="CG10" s="112" t="s">
        <v>28</v>
      </c>
    </row>
    <row r="11" spans="1:85" s="7" customFormat="1" x14ac:dyDescent="0.25">
      <c r="B11" s="7" t="s">
        <v>1</v>
      </c>
      <c r="C11" s="114">
        <f>Modeloutput!B38</f>
        <v>0</v>
      </c>
      <c r="D11" s="114">
        <f>Modeloutput!C38</f>
        <v>0</v>
      </c>
      <c r="E11" s="114">
        <f>Modeloutput!D38</f>
        <v>0</v>
      </c>
      <c r="F11" s="114">
        <f>Modeloutput!E38</f>
        <v>0</v>
      </c>
      <c r="G11" s="114">
        <f>Modeloutput!F38</f>
        <v>0</v>
      </c>
      <c r="H11" s="114">
        <f>Modeloutput!G38</f>
        <v>0</v>
      </c>
      <c r="I11" s="114">
        <f>Modeloutput!H38</f>
        <v>0</v>
      </c>
      <c r="J11" s="114">
        <f>Modeloutput!I38</f>
        <v>0</v>
      </c>
      <c r="K11" s="114">
        <f>Modeloutput!J38</f>
        <v>0</v>
      </c>
      <c r="L11" s="114">
        <f>Modeloutput!K38</f>
        <v>0</v>
      </c>
      <c r="M11" s="114">
        <f>Modeloutput!L38</f>
        <v>0</v>
      </c>
      <c r="N11" s="114">
        <f>Modeloutput!M38</f>
        <v>0</v>
      </c>
      <c r="O11" s="114">
        <f>Modeloutput!N38</f>
        <v>0</v>
      </c>
      <c r="P11" s="114">
        <f>Modeloutput!O38</f>
        <v>0</v>
      </c>
      <c r="Q11" s="114">
        <f>Modeloutput!P38</f>
        <v>0</v>
      </c>
      <c r="R11" s="24"/>
      <c r="S11" s="119" t="s">
        <v>1</v>
      </c>
      <c r="T11" s="114">
        <f>Modeloutput!B293</f>
        <v>0</v>
      </c>
      <c r="U11" s="114">
        <f>Modeloutput!C293</f>
        <v>0</v>
      </c>
      <c r="V11" s="114">
        <f>Modeloutput!D293</f>
        <v>0</v>
      </c>
      <c r="W11" s="114">
        <f>Modeloutput!E293</f>
        <v>0</v>
      </c>
      <c r="X11" s="114">
        <f>Modeloutput!F293</f>
        <v>0</v>
      </c>
      <c r="Y11" s="114">
        <f>Modeloutput!G293</f>
        <v>0</v>
      </c>
      <c r="Z11" s="114">
        <f>Modeloutput!H293</f>
        <v>0</v>
      </c>
      <c r="AA11" s="114">
        <f>Modeloutput!I293</f>
        <v>0</v>
      </c>
      <c r="AB11" s="114">
        <f>Modeloutput!J293</f>
        <v>0</v>
      </c>
      <c r="AC11" s="114">
        <f>Modeloutput!K293</f>
        <v>0</v>
      </c>
      <c r="AD11" s="114">
        <f>Modeloutput!L293</f>
        <v>0</v>
      </c>
      <c r="AE11" s="114">
        <f>Modeloutput!M293</f>
        <v>0</v>
      </c>
      <c r="AF11" s="114">
        <f>Modeloutput!N293</f>
        <v>0</v>
      </c>
      <c r="AG11" s="114">
        <f>Modeloutput!O293</f>
        <v>0</v>
      </c>
      <c r="AH11" s="114">
        <f>Modeloutput!P293</f>
        <v>0</v>
      </c>
      <c r="AI11" s="24"/>
      <c r="AJ11" s="119" t="s">
        <v>1</v>
      </c>
      <c r="AK11" s="114">
        <f>Modeloutput!B548</f>
        <v>0</v>
      </c>
      <c r="AL11" s="114">
        <f>Modeloutput!C548</f>
        <v>0</v>
      </c>
      <c r="AM11" s="114">
        <f>Modeloutput!D548</f>
        <v>0</v>
      </c>
      <c r="AN11" s="114">
        <f>Modeloutput!E548</f>
        <v>0</v>
      </c>
      <c r="AO11" s="114">
        <f>Modeloutput!F548</f>
        <v>0</v>
      </c>
      <c r="AP11" s="114">
        <f>Modeloutput!G548</f>
        <v>0</v>
      </c>
      <c r="AQ11" s="114">
        <f>Modeloutput!H548</f>
        <v>0</v>
      </c>
      <c r="AR11" s="114">
        <f>Modeloutput!I548</f>
        <v>0</v>
      </c>
      <c r="AS11" s="114">
        <f>Modeloutput!J548</f>
        <v>0</v>
      </c>
      <c r="AT11" s="114">
        <f>Modeloutput!K548</f>
        <v>0</v>
      </c>
      <c r="AU11" s="114">
        <f>Modeloutput!L548</f>
        <v>0</v>
      </c>
      <c r="AV11" s="114">
        <f>Modeloutput!M548</f>
        <v>0</v>
      </c>
      <c r="AW11" s="114">
        <f>Modeloutput!N548</f>
        <v>0</v>
      </c>
      <c r="AX11" s="114">
        <f>Modeloutput!O548</f>
        <v>0</v>
      </c>
      <c r="AY11" s="114">
        <f>Modeloutput!P548</f>
        <v>0</v>
      </c>
      <c r="AZ11" s="24"/>
      <c r="BA11" s="119" t="s">
        <v>1</v>
      </c>
      <c r="BB11" s="114">
        <f>Modeloutput!B803</f>
        <v>0</v>
      </c>
      <c r="BC11" s="114">
        <f>Modeloutput!C803</f>
        <v>0</v>
      </c>
      <c r="BD11" s="114">
        <f>Modeloutput!D803</f>
        <v>0</v>
      </c>
      <c r="BE11" s="114">
        <f>Modeloutput!E803</f>
        <v>0</v>
      </c>
      <c r="BF11" s="114">
        <f>Modeloutput!F803</f>
        <v>0</v>
      </c>
      <c r="BG11" s="114">
        <f>Modeloutput!G803</f>
        <v>0</v>
      </c>
      <c r="BH11" s="114">
        <f>Modeloutput!H803</f>
        <v>0</v>
      </c>
      <c r="BI11" s="114">
        <f>Modeloutput!I803</f>
        <v>0</v>
      </c>
      <c r="BJ11" s="114">
        <f>Modeloutput!J803</f>
        <v>0</v>
      </c>
      <c r="BK11" s="114">
        <f>Modeloutput!K803</f>
        <v>0</v>
      </c>
      <c r="BL11" s="114">
        <f>Modeloutput!L803</f>
        <v>0</v>
      </c>
      <c r="BM11" s="114">
        <f>Modeloutput!M803</f>
        <v>0</v>
      </c>
      <c r="BN11" s="114">
        <f>Modeloutput!N803</f>
        <v>0</v>
      </c>
      <c r="BO11" s="114">
        <f>Modeloutput!O803</f>
        <v>0</v>
      </c>
      <c r="BP11" s="114">
        <f>Modeloutput!P803</f>
        <v>0</v>
      </c>
      <c r="BQ11" s="24"/>
      <c r="BR11" s="119" t="s">
        <v>1</v>
      </c>
      <c r="BS11" s="114">
        <f>Modeloutput!B1058</f>
        <v>0</v>
      </c>
      <c r="BT11" s="114">
        <f>Modeloutput!C1058</f>
        <v>0</v>
      </c>
      <c r="BU11" s="114">
        <f>Modeloutput!D1058</f>
        <v>0</v>
      </c>
      <c r="BV11" s="114">
        <f>Modeloutput!E1058</f>
        <v>0</v>
      </c>
      <c r="BW11" s="114">
        <f>Modeloutput!F1058</f>
        <v>0</v>
      </c>
      <c r="BX11" s="114">
        <f>Modeloutput!G1058</f>
        <v>0</v>
      </c>
      <c r="BY11" s="114">
        <f>Modeloutput!H1058</f>
        <v>0</v>
      </c>
      <c r="BZ11" s="114">
        <f>Modeloutput!I1058</f>
        <v>0</v>
      </c>
      <c r="CA11" s="114">
        <f>Modeloutput!J1058</f>
        <v>0</v>
      </c>
      <c r="CB11" s="114">
        <f>Modeloutput!K1058</f>
        <v>0</v>
      </c>
      <c r="CC11" s="114">
        <f>Modeloutput!L1058</f>
        <v>0</v>
      </c>
      <c r="CD11" s="114">
        <f>Modeloutput!M1058</f>
        <v>0</v>
      </c>
      <c r="CE11" s="114">
        <f>Modeloutput!N1058</f>
        <v>0</v>
      </c>
      <c r="CF11" s="114">
        <f>Modeloutput!O1058</f>
        <v>0</v>
      </c>
      <c r="CG11" s="114">
        <f>Modeloutput!P1058</f>
        <v>0</v>
      </c>
    </row>
    <row r="12" spans="1:85" s="7" customFormat="1" x14ac:dyDescent="0.25">
      <c r="B12" s="7" t="s">
        <v>2</v>
      </c>
      <c r="C12" s="114">
        <f>Modeloutput!B39</f>
        <v>2.1022093100000001</v>
      </c>
      <c r="D12" s="114">
        <f>Modeloutput!C39</f>
        <v>0</v>
      </c>
      <c r="E12" s="114">
        <f>Modeloutput!D39</f>
        <v>2.1022093100000001</v>
      </c>
      <c r="F12" s="114">
        <f>Modeloutput!E39</f>
        <v>0</v>
      </c>
      <c r="G12" s="114">
        <f>Modeloutput!F39</f>
        <v>0</v>
      </c>
      <c r="H12" s="114">
        <f>Modeloutput!G39</f>
        <v>0</v>
      </c>
      <c r="I12" s="114">
        <f>Modeloutput!H39</f>
        <v>0</v>
      </c>
      <c r="J12" s="114">
        <f>Modeloutput!I39</f>
        <v>0</v>
      </c>
      <c r="K12" s="114">
        <f>Modeloutput!J39</f>
        <v>0</v>
      </c>
      <c r="L12" s="114">
        <f>Modeloutput!K39</f>
        <v>2.1022093100000001</v>
      </c>
      <c r="M12" s="114">
        <f>Modeloutput!L39</f>
        <v>0</v>
      </c>
      <c r="N12" s="114">
        <f>Modeloutput!M39</f>
        <v>0</v>
      </c>
      <c r="O12" s="114">
        <f>Modeloutput!N39</f>
        <v>0</v>
      </c>
      <c r="P12" s="114">
        <f>Modeloutput!O39</f>
        <v>0</v>
      </c>
      <c r="Q12" s="114">
        <f>Modeloutput!P39</f>
        <v>0</v>
      </c>
      <c r="R12" s="24"/>
      <c r="S12" s="119" t="s">
        <v>2</v>
      </c>
      <c r="T12" s="114">
        <f>Modeloutput!B294</f>
        <v>2.1022093100000001</v>
      </c>
      <c r="U12" s="114">
        <f>Modeloutput!C294</f>
        <v>0</v>
      </c>
      <c r="V12" s="114">
        <f>Modeloutput!D294</f>
        <v>2.1022093100000001</v>
      </c>
      <c r="W12" s="114">
        <f>Modeloutput!E294</f>
        <v>0</v>
      </c>
      <c r="X12" s="114">
        <f>Modeloutput!F294</f>
        <v>0</v>
      </c>
      <c r="Y12" s="114">
        <f>Modeloutput!G294</f>
        <v>0</v>
      </c>
      <c r="Z12" s="114">
        <f>Modeloutput!H294</f>
        <v>0</v>
      </c>
      <c r="AA12" s="114">
        <f>Modeloutput!I294</f>
        <v>0</v>
      </c>
      <c r="AB12" s="114">
        <f>Modeloutput!J294</f>
        <v>0</v>
      </c>
      <c r="AC12" s="114">
        <f>Modeloutput!K294</f>
        <v>2.1022093100000001</v>
      </c>
      <c r="AD12" s="114">
        <f>Modeloutput!L294</f>
        <v>0</v>
      </c>
      <c r="AE12" s="114">
        <f>Modeloutput!M294</f>
        <v>0</v>
      </c>
      <c r="AF12" s="114">
        <f>Modeloutput!N294</f>
        <v>0</v>
      </c>
      <c r="AG12" s="114">
        <f>Modeloutput!O294</f>
        <v>0</v>
      </c>
      <c r="AH12" s="114">
        <f>Modeloutput!P294</f>
        <v>0</v>
      </c>
      <c r="AI12" s="24"/>
      <c r="AJ12" s="119" t="s">
        <v>2</v>
      </c>
      <c r="AK12" s="114">
        <f>Modeloutput!B549</f>
        <v>2.1022093100000001</v>
      </c>
      <c r="AL12" s="114">
        <f>Modeloutput!C549</f>
        <v>0</v>
      </c>
      <c r="AM12" s="114">
        <f>Modeloutput!D549</f>
        <v>2.1022093100000001</v>
      </c>
      <c r="AN12" s="114">
        <f>Modeloutput!E549</f>
        <v>0</v>
      </c>
      <c r="AO12" s="114">
        <f>Modeloutput!F549</f>
        <v>0</v>
      </c>
      <c r="AP12" s="114">
        <f>Modeloutput!G549</f>
        <v>0</v>
      </c>
      <c r="AQ12" s="114">
        <f>Modeloutput!H549</f>
        <v>0</v>
      </c>
      <c r="AR12" s="114">
        <f>Modeloutput!I549</f>
        <v>0</v>
      </c>
      <c r="AS12" s="114">
        <f>Modeloutput!J549</f>
        <v>0</v>
      </c>
      <c r="AT12" s="114">
        <f>Modeloutput!K549</f>
        <v>2.1022093100000001</v>
      </c>
      <c r="AU12" s="114">
        <f>Modeloutput!L549</f>
        <v>0</v>
      </c>
      <c r="AV12" s="114">
        <f>Modeloutput!M549</f>
        <v>0</v>
      </c>
      <c r="AW12" s="114">
        <f>Modeloutput!N549</f>
        <v>0</v>
      </c>
      <c r="AX12" s="114">
        <f>Modeloutput!O549</f>
        <v>0</v>
      </c>
      <c r="AY12" s="114">
        <f>Modeloutput!P549</f>
        <v>0</v>
      </c>
      <c r="AZ12" s="24"/>
      <c r="BA12" s="119" t="s">
        <v>2</v>
      </c>
      <c r="BB12" s="114">
        <f>Modeloutput!B804</f>
        <v>2.1022093100000001</v>
      </c>
      <c r="BC12" s="114">
        <f>Modeloutput!C804</f>
        <v>0</v>
      </c>
      <c r="BD12" s="114">
        <f>Modeloutput!D804</f>
        <v>2.1022093100000001</v>
      </c>
      <c r="BE12" s="114">
        <f>Modeloutput!E804</f>
        <v>0</v>
      </c>
      <c r="BF12" s="114">
        <f>Modeloutput!F804</f>
        <v>0</v>
      </c>
      <c r="BG12" s="114">
        <f>Modeloutput!G804</f>
        <v>0</v>
      </c>
      <c r="BH12" s="114">
        <f>Modeloutput!H804</f>
        <v>0</v>
      </c>
      <c r="BI12" s="114">
        <f>Modeloutput!I804</f>
        <v>0</v>
      </c>
      <c r="BJ12" s="114">
        <f>Modeloutput!J804</f>
        <v>0</v>
      </c>
      <c r="BK12" s="114">
        <f>Modeloutput!K804</f>
        <v>2.1022093100000001</v>
      </c>
      <c r="BL12" s="114">
        <f>Modeloutput!L804</f>
        <v>0</v>
      </c>
      <c r="BM12" s="114">
        <f>Modeloutput!M804</f>
        <v>0</v>
      </c>
      <c r="BN12" s="114">
        <f>Modeloutput!N804</f>
        <v>0</v>
      </c>
      <c r="BO12" s="114">
        <f>Modeloutput!O804</f>
        <v>0</v>
      </c>
      <c r="BP12" s="114">
        <f>Modeloutput!P804</f>
        <v>0</v>
      </c>
      <c r="BQ12" s="24"/>
      <c r="BR12" s="119" t="s">
        <v>2</v>
      </c>
      <c r="BS12" s="114">
        <f>Modeloutput!B1059</f>
        <v>2.1022093100000001</v>
      </c>
      <c r="BT12" s="114">
        <f>Modeloutput!C1059</f>
        <v>0</v>
      </c>
      <c r="BU12" s="114">
        <f>Modeloutput!D1059</f>
        <v>2.1022093100000001</v>
      </c>
      <c r="BV12" s="114">
        <f>Modeloutput!E1059</f>
        <v>0</v>
      </c>
      <c r="BW12" s="114">
        <f>Modeloutput!F1059</f>
        <v>0</v>
      </c>
      <c r="BX12" s="114">
        <f>Modeloutput!G1059</f>
        <v>0</v>
      </c>
      <c r="BY12" s="114">
        <f>Modeloutput!H1059</f>
        <v>0</v>
      </c>
      <c r="BZ12" s="114">
        <f>Modeloutput!I1059</f>
        <v>0</v>
      </c>
      <c r="CA12" s="114">
        <f>Modeloutput!J1059</f>
        <v>0</v>
      </c>
      <c r="CB12" s="114">
        <f>Modeloutput!K1059</f>
        <v>2.1022093100000001</v>
      </c>
      <c r="CC12" s="114">
        <f>Modeloutput!L1059</f>
        <v>0</v>
      </c>
      <c r="CD12" s="114">
        <f>Modeloutput!M1059</f>
        <v>0</v>
      </c>
      <c r="CE12" s="114">
        <f>Modeloutput!N1059</f>
        <v>0</v>
      </c>
      <c r="CF12" s="114">
        <f>Modeloutput!O1059</f>
        <v>0</v>
      </c>
      <c r="CG12" s="114">
        <f>Modeloutput!P1059</f>
        <v>0</v>
      </c>
    </row>
    <row r="13" spans="1:85" s="7" customFormat="1" x14ac:dyDescent="0.25">
      <c r="B13" s="7" t="s">
        <v>3</v>
      </c>
      <c r="C13" s="114">
        <f>Modeloutput!B40</f>
        <v>5.2838204400000004</v>
      </c>
      <c r="D13" s="114">
        <f>Modeloutput!C40</f>
        <v>0</v>
      </c>
      <c r="E13" s="114">
        <f>Modeloutput!D40</f>
        <v>5.2838204400000004</v>
      </c>
      <c r="F13" s="114">
        <f>Modeloutput!E40</f>
        <v>3.5135086100000001</v>
      </c>
      <c r="G13" s="114">
        <f>Modeloutput!F40</f>
        <v>0</v>
      </c>
      <c r="H13" s="114">
        <f>Modeloutput!G40</f>
        <v>1.2021471500000001</v>
      </c>
      <c r="I13" s="114">
        <f>Modeloutput!H40</f>
        <v>0</v>
      </c>
      <c r="J13" s="114">
        <f>Modeloutput!I40</f>
        <v>0</v>
      </c>
      <c r="K13" s="114">
        <f>Modeloutput!J40</f>
        <v>0</v>
      </c>
      <c r="L13" s="114">
        <f>Modeloutput!K40</f>
        <v>0.56816467900000001</v>
      </c>
      <c r="M13" s="114">
        <f>Modeloutput!L40</f>
        <v>0</v>
      </c>
      <c r="N13" s="114">
        <f>Modeloutput!M40</f>
        <v>0</v>
      </c>
      <c r="O13" s="114">
        <f>Modeloutput!N40</f>
        <v>0</v>
      </c>
      <c r="P13" s="114">
        <f>Modeloutput!O40</f>
        <v>0</v>
      </c>
      <c r="Q13" s="114">
        <f>Modeloutput!P40</f>
        <v>0</v>
      </c>
      <c r="R13" s="24"/>
      <c r="S13" s="119" t="s">
        <v>3</v>
      </c>
      <c r="T13" s="114">
        <f>Modeloutput!B295</f>
        <v>5.2838204400000004</v>
      </c>
      <c r="U13" s="114">
        <f>Modeloutput!C295</f>
        <v>0</v>
      </c>
      <c r="V13" s="114">
        <f>Modeloutput!D295</f>
        <v>5.2838204400000004</v>
      </c>
      <c r="W13" s="114">
        <f>Modeloutput!E295</f>
        <v>3.5135086100000001</v>
      </c>
      <c r="X13" s="114">
        <f>Modeloutput!F295</f>
        <v>0</v>
      </c>
      <c r="Y13" s="114">
        <f>Modeloutput!G295</f>
        <v>1.2021471500000001</v>
      </c>
      <c r="Z13" s="114">
        <f>Modeloutput!H295</f>
        <v>0</v>
      </c>
      <c r="AA13" s="114">
        <f>Modeloutput!I295</f>
        <v>0</v>
      </c>
      <c r="AB13" s="114">
        <f>Modeloutput!J295</f>
        <v>0</v>
      </c>
      <c r="AC13" s="114">
        <f>Modeloutput!K295</f>
        <v>0.56816467900000001</v>
      </c>
      <c r="AD13" s="114">
        <f>Modeloutput!L295</f>
        <v>0</v>
      </c>
      <c r="AE13" s="114">
        <f>Modeloutput!M295</f>
        <v>0</v>
      </c>
      <c r="AF13" s="114">
        <f>Modeloutput!N295</f>
        <v>0</v>
      </c>
      <c r="AG13" s="114">
        <f>Modeloutput!O295</f>
        <v>0</v>
      </c>
      <c r="AH13" s="114">
        <f>Modeloutput!P295</f>
        <v>0</v>
      </c>
      <c r="AI13" s="24"/>
      <c r="AJ13" s="119" t="s">
        <v>3</v>
      </c>
      <c r="AK13" s="114">
        <f>Modeloutput!B550</f>
        <v>5.2838204400000004</v>
      </c>
      <c r="AL13" s="114">
        <f>Modeloutput!C550</f>
        <v>0</v>
      </c>
      <c r="AM13" s="114">
        <f>Modeloutput!D550</f>
        <v>5.2838204400000004</v>
      </c>
      <c r="AN13" s="114">
        <f>Modeloutput!E550</f>
        <v>3.5135086100000001</v>
      </c>
      <c r="AO13" s="114">
        <f>Modeloutput!F550</f>
        <v>0</v>
      </c>
      <c r="AP13" s="114">
        <f>Modeloutput!G550</f>
        <v>1.2021471500000001</v>
      </c>
      <c r="AQ13" s="114">
        <f>Modeloutput!H550</f>
        <v>0</v>
      </c>
      <c r="AR13" s="114">
        <f>Modeloutput!I550</f>
        <v>0</v>
      </c>
      <c r="AS13" s="114">
        <f>Modeloutput!J550</f>
        <v>0</v>
      </c>
      <c r="AT13" s="114">
        <f>Modeloutput!K550</f>
        <v>0.56816467900000001</v>
      </c>
      <c r="AU13" s="114">
        <f>Modeloutput!L550</f>
        <v>0</v>
      </c>
      <c r="AV13" s="114">
        <f>Modeloutput!M550</f>
        <v>0</v>
      </c>
      <c r="AW13" s="114">
        <f>Modeloutput!N550</f>
        <v>0</v>
      </c>
      <c r="AX13" s="114">
        <f>Modeloutput!O550</f>
        <v>0</v>
      </c>
      <c r="AY13" s="114">
        <f>Modeloutput!P550</f>
        <v>0</v>
      </c>
      <c r="AZ13" s="24"/>
      <c r="BA13" s="119" t="s">
        <v>3</v>
      </c>
      <c r="BB13" s="114">
        <f>Modeloutput!B805</f>
        <v>5.2838204400000004</v>
      </c>
      <c r="BC13" s="114">
        <f>Modeloutput!C805</f>
        <v>0</v>
      </c>
      <c r="BD13" s="114">
        <f>Modeloutput!D805</f>
        <v>5.2838204400000004</v>
      </c>
      <c r="BE13" s="114">
        <f>Modeloutput!E805</f>
        <v>3.5135086100000001</v>
      </c>
      <c r="BF13" s="114">
        <f>Modeloutput!F805</f>
        <v>0</v>
      </c>
      <c r="BG13" s="114">
        <f>Modeloutput!G805</f>
        <v>1.2021471500000001</v>
      </c>
      <c r="BH13" s="114">
        <f>Modeloutput!H805</f>
        <v>0</v>
      </c>
      <c r="BI13" s="114">
        <f>Modeloutput!I805</f>
        <v>0</v>
      </c>
      <c r="BJ13" s="114">
        <f>Modeloutput!J805</f>
        <v>0</v>
      </c>
      <c r="BK13" s="114">
        <f>Modeloutput!K805</f>
        <v>0.56816467900000001</v>
      </c>
      <c r="BL13" s="114">
        <f>Modeloutput!L805</f>
        <v>0</v>
      </c>
      <c r="BM13" s="114">
        <f>Modeloutput!M805</f>
        <v>0</v>
      </c>
      <c r="BN13" s="114">
        <f>Modeloutput!N805</f>
        <v>0</v>
      </c>
      <c r="BO13" s="114">
        <f>Modeloutput!O805</f>
        <v>0</v>
      </c>
      <c r="BP13" s="114">
        <f>Modeloutput!P805</f>
        <v>0</v>
      </c>
      <c r="BQ13" s="24"/>
      <c r="BR13" s="119" t="s">
        <v>3</v>
      </c>
      <c r="BS13" s="114">
        <f>Modeloutput!B1060</f>
        <v>5.2838204400000004</v>
      </c>
      <c r="BT13" s="114">
        <f>Modeloutput!C1060</f>
        <v>0</v>
      </c>
      <c r="BU13" s="114">
        <f>Modeloutput!D1060</f>
        <v>5.2838204400000004</v>
      </c>
      <c r="BV13" s="114">
        <f>Modeloutput!E1060</f>
        <v>3.5135086100000001</v>
      </c>
      <c r="BW13" s="114">
        <f>Modeloutput!F1060</f>
        <v>0</v>
      </c>
      <c r="BX13" s="114">
        <f>Modeloutput!G1060</f>
        <v>1.2021471500000001</v>
      </c>
      <c r="BY13" s="114">
        <f>Modeloutput!H1060</f>
        <v>0</v>
      </c>
      <c r="BZ13" s="114">
        <f>Modeloutput!I1060</f>
        <v>0</v>
      </c>
      <c r="CA13" s="114">
        <f>Modeloutput!J1060</f>
        <v>0</v>
      </c>
      <c r="CB13" s="114">
        <f>Modeloutput!K1060</f>
        <v>0.56816467900000001</v>
      </c>
      <c r="CC13" s="114">
        <f>Modeloutput!L1060</f>
        <v>0</v>
      </c>
      <c r="CD13" s="114">
        <f>Modeloutput!M1060</f>
        <v>0</v>
      </c>
      <c r="CE13" s="114">
        <f>Modeloutput!N1060</f>
        <v>0</v>
      </c>
      <c r="CF13" s="114">
        <f>Modeloutput!O1060</f>
        <v>0</v>
      </c>
      <c r="CG13" s="114">
        <f>Modeloutput!P1060</f>
        <v>0</v>
      </c>
    </row>
    <row r="14" spans="1:85" s="7" customFormat="1" x14ac:dyDescent="0.25">
      <c r="B14" s="7" t="s">
        <v>4</v>
      </c>
      <c r="C14" s="114">
        <f>Modeloutput!B41</f>
        <v>2.7905743200000002</v>
      </c>
      <c r="D14" s="114">
        <f>Modeloutput!C41</f>
        <v>0</v>
      </c>
      <c r="E14" s="114">
        <f>Modeloutput!D41</f>
        <v>2.7905743200000002</v>
      </c>
      <c r="F14" s="114">
        <f>Modeloutput!E41</f>
        <v>1.44426169</v>
      </c>
      <c r="G14" s="114">
        <f>Modeloutput!F41</f>
        <v>0</v>
      </c>
      <c r="H14" s="114">
        <f>Modeloutput!G41</f>
        <v>1.3463126299999999</v>
      </c>
      <c r="I14" s="114">
        <f>Modeloutput!H41</f>
        <v>0</v>
      </c>
      <c r="J14" s="114">
        <f>Modeloutput!I41</f>
        <v>0</v>
      </c>
      <c r="K14" s="114">
        <f>Modeloutput!J41</f>
        <v>0</v>
      </c>
      <c r="L14" s="114">
        <f>Modeloutput!K41</f>
        <v>0</v>
      </c>
      <c r="M14" s="114">
        <f>Modeloutput!L41</f>
        <v>0</v>
      </c>
      <c r="N14" s="114">
        <f>Modeloutput!M41</f>
        <v>0</v>
      </c>
      <c r="O14" s="114">
        <f>Modeloutput!N41</f>
        <v>0</v>
      </c>
      <c r="P14" s="114">
        <f>Modeloutput!O41</f>
        <v>0</v>
      </c>
      <c r="Q14" s="114">
        <f>Modeloutput!P41</f>
        <v>0</v>
      </c>
      <c r="R14" s="24"/>
      <c r="S14" s="119" t="s">
        <v>4</v>
      </c>
      <c r="T14" s="114">
        <f>Modeloutput!B296</f>
        <v>2.7905743200000002</v>
      </c>
      <c r="U14" s="114">
        <f>Modeloutput!C296</f>
        <v>0</v>
      </c>
      <c r="V14" s="114">
        <f>Modeloutput!D296</f>
        <v>2.7905743200000002</v>
      </c>
      <c r="W14" s="114">
        <f>Modeloutput!E296</f>
        <v>1.44426169</v>
      </c>
      <c r="X14" s="114">
        <f>Modeloutput!F296</f>
        <v>0</v>
      </c>
      <c r="Y14" s="114">
        <f>Modeloutput!G296</f>
        <v>1.3463126299999999</v>
      </c>
      <c r="Z14" s="114">
        <f>Modeloutput!H296</f>
        <v>0</v>
      </c>
      <c r="AA14" s="114">
        <f>Modeloutput!I296</f>
        <v>0</v>
      </c>
      <c r="AB14" s="114">
        <f>Modeloutput!J296</f>
        <v>0</v>
      </c>
      <c r="AC14" s="114">
        <f>Modeloutput!K296</f>
        <v>0</v>
      </c>
      <c r="AD14" s="114">
        <f>Modeloutput!L296</f>
        <v>0</v>
      </c>
      <c r="AE14" s="114">
        <f>Modeloutput!M296</f>
        <v>0</v>
      </c>
      <c r="AF14" s="114">
        <f>Modeloutput!N296</f>
        <v>0</v>
      </c>
      <c r="AG14" s="114">
        <f>Modeloutput!O296</f>
        <v>0</v>
      </c>
      <c r="AH14" s="114">
        <f>Modeloutput!P296</f>
        <v>0</v>
      </c>
      <c r="AI14" s="24"/>
      <c r="AJ14" s="119" t="s">
        <v>4</v>
      </c>
      <c r="AK14" s="114">
        <f>Modeloutput!B551</f>
        <v>2.7905743200000002</v>
      </c>
      <c r="AL14" s="114">
        <f>Modeloutput!C551</f>
        <v>0</v>
      </c>
      <c r="AM14" s="114">
        <f>Modeloutput!D551</f>
        <v>2.7905743200000002</v>
      </c>
      <c r="AN14" s="114">
        <f>Modeloutput!E551</f>
        <v>1.44426169</v>
      </c>
      <c r="AO14" s="114">
        <f>Modeloutput!F551</f>
        <v>0</v>
      </c>
      <c r="AP14" s="114">
        <f>Modeloutput!G551</f>
        <v>1.3463126299999999</v>
      </c>
      <c r="AQ14" s="114">
        <f>Modeloutput!H551</f>
        <v>0</v>
      </c>
      <c r="AR14" s="114">
        <f>Modeloutput!I551</f>
        <v>0</v>
      </c>
      <c r="AS14" s="114">
        <f>Modeloutput!J551</f>
        <v>0</v>
      </c>
      <c r="AT14" s="114">
        <f>Modeloutput!K551</f>
        <v>0</v>
      </c>
      <c r="AU14" s="114">
        <f>Modeloutput!L551</f>
        <v>0</v>
      </c>
      <c r="AV14" s="114">
        <f>Modeloutput!M551</f>
        <v>0</v>
      </c>
      <c r="AW14" s="114">
        <f>Modeloutput!N551</f>
        <v>0</v>
      </c>
      <c r="AX14" s="114">
        <f>Modeloutput!O551</f>
        <v>0</v>
      </c>
      <c r="AY14" s="114">
        <f>Modeloutput!P551</f>
        <v>0</v>
      </c>
      <c r="AZ14" s="24"/>
      <c r="BA14" s="119" t="s">
        <v>4</v>
      </c>
      <c r="BB14" s="114">
        <f>Modeloutput!B806</f>
        <v>2.7905743200000002</v>
      </c>
      <c r="BC14" s="114">
        <f>Modeloutput!C806</f>
        <v>0</v>
      </c>
      <c r="BD14" s="114">
        <f>Modeloutput!D806</f>
        <v>2.7905743200000002</v>
      </c>
      <c r="BE14" s="114">
        <f>Modeloutput!E806</f>
        <v>1.44426169</v>
      </c>
      <c r="BF14" s="114">
        <f>Modeloutput!F806</f>
        <v>0</v>
      </c>
      <c r="BG14" s="114">
        <f>Modeloutput!G806</f>
        <v>1.3463126299999999</v>
      </c>
      <c r="BH14" s="114">
        <f>Modeloutput!H806</f>
        <v>0</v>
      </c>
      <c r="BI14" s="114">
        <f>Modeloutput!I806</f>
        <v>0</v>
      </c>
      <c r="BJ14" s="114">
        <f>Modeloutput!J806</f>
        <v>0</v>
      </c>
      <c r="BK14" s="114">
        <f>Modeloutput!K806</f>
        <v>0</v>
      </c>
      <c r="BL14" s="114">
        <f>Modeloutput!L806</f>
        <v>0</v>
      </c>
      <c r="BM14" s="114">
        <f>Modeloutput!M806</f>
        <v>0</v>
      </c>
      <c r="BN14" s="114">
        <f>Modeloutput!N806</f>
        <v>0</v>
      </c>
      <c r="BO14" s="114">
        <f>Modeloutput!O806</f>
        <v>0</v>
      </c>
      <c r="BP14" s="114">
        <f>Modeloutput!P806</f>
        <v>0</v>
      </c>
      <c r="BQ14" s="24"/>
      <c r="BR14" s="119" t="s">
        <v>4</v>
      </c>
      <c r="BS14" s="114">
        <f>Modeloutput!B1061</f>
        <v>2.7905743200000002</v>
      </c>
      <c r="BT14" s="114">
        <f>Modeloutput!C1061</f>
        <v>0</v>
      </c>
      <c r="BU14" s="114">
        <f>Modeloutput!D1061</f>
        <v>2.7905743200000002</v>
      </c>
      <c r="BV14" s="114">
        <f>Modeloutput!E1061</f>
        <v>1.44426169</v>
      </c>
      <c r="BW14" s="114">
        <f>Modeloutput!F1061</f>
        <v>0</v>
      </c>
      <c r="BX14" s="114">
        <f>Modeloutput!G1061</f>
        <v>1.3463126299999999</v>
      </c>
      <c r="BY14" s="114">
        <f>Modeloutput!H1061</f>
        <v>0</v>
      </c>
      <c r="BZ14" s="114">
        <f>Modeloutput!I1061</f>
        <v>0</v>
      </c>
      <c r="CA14" s="114">
        <f>Modeloutput!J1061</f>
        <v>0</v>
      </c>
      <c r="CB14" s="114">
        <f>Modeloutput!K1061</f>
        <v>0</v>
      </c>
      <c r="CC14" s="114">
        <f>Modeloutput!L1061</f>
        <v>0</v>
      </c>
      <c r="CD14" s="114">
        <f>Modeloutput!M1061</f>
        <v>0</v>
      </c>
      <c r="CE14" s="114">
        <f>Modeloutput!N1061</f>
        <v>0</v>
      </c>
      <c r="CF14" s="114">
        <f>Modeloutput!O1061</f>
        <v>0</v>
      </c>
      <c r="CG14" s="114">
        <f>Modeloutput!P1061</f>
        <v>0</v>
      </c>
    </row>
    <row r="15" spans="1:85" s="7" customFormat="1" x14ac:dyDescent="0.25">
      <c r="B15" s="7" t="s">
        <v>5</v>
      </c>
      <c r="C15" s="114">
        <f>Modeloutput!B42</f>
        <v>2.1022093100000001</v>
      </c>
      <c r="D15" s="114">
        <f>Modeloutput!C42</f>
        <v>2.6703739899999999</v>
      </c>
      <c r="E15" s="114">
        <f>Modeloutput!D42</f>
        <v>-0.56816467900000001</v>
      </c>
      <c r="F15" s="114">
        <f>Modeloutput!E42</f>
        <v>1.29789595</v>
      </c>
      <c r="G15" s="114">
        <f>Modeloutput!F42</f>
        <v>0</v>
      </c>
      <c r="H15" s="114">
        <f>Modeloutput!G42</f>
        <v>0.80431336499999995</v>
      </c>
      <c r="I15" s="114">
        <f>Modeloutput!H42</f>
        <v>0</v>
      </c>
      <c r="J15" s="114">
        <f>Modeloutput!I42</f>
        <v>0</v>
      </c>
      <c r="K15" s="114">
        <f>Modeloutput!J42</f>
        <v>0</v>
      </c>
      <c r="L15" s="114">
        <f>Modeloutput!K42</f>
        <v>0</v>
      </c>
      <c r="M15" s="114">
        <f>Modeloutput!L42</f>
        <v>0</v>
      </c>
      <c r="N15" s="114">
        <f>Modeloutput!M42</f>
        <v>0</v>
      </c>
      <c r="O15" s="114">
        <f>Modeloutput!N42</f>
        <v>0</v>
      </c>
      <c r="P15" s="114">
        <f>Modeloutput!O42</f>
        <v>0</v>
      </c>
      <c r="Q15" s="114">
        <f>Modeloutput!P42</f>
        <v>0</v>
      </c>
      <c r="R15" s="24"/>
      <c r="S15" s="119" t="s">
        <v>5</v>
      </c>
      <c r="T15" s="114">
        <f>Modeloutput!B297</f>
        <v>2.1022093100000001</v>
      </c>
      <c r="U15" s="114">
        <f>Modeloutput!C297</f>
        <v>2.6703739899999999</v>
      </c>
      <c r="V15" s="114">
        <f>Modeloutput!D297</f>
        <v>-0.56816467900000001</v>
      </c>
      <c r="W15" s="114">
        <f>Modeloutput!E297</f>
        <v>1.29789595</v>
      </c>
      <c r="X15" s="114">
        <f>Modeloutput!F297</f>
        <v>0</v>
      </c>
      <c r="Y15" s="114">
        <f>Modeloutput!G297</f>
        <v>0.80431336499999995</v>
      </c>
      <c r="Z15" s="114">
        <f>Modeloutput!H297</f>
        <v>0</v>
      </c>
      <c r="AA15" s="114">
        <f>Modeloutput!I297</f>
        <v>0</v>
      </c>
      <c r="AB15" s="114">
        <f>Modeloutput!J297</f>
        <v>0</v>
      </c>
      <c r="AC15" s="114">
        <f>Modeloutput!K297</f>
        <v>0</v>
      </c>
      <c r="AD15" s="114">
        <f>Modeloutput!L297</f>
        <v>0</v>
      </c>
      <c r="AE15" s="114">
        <f>Modeloutput!M297</f>
        <v>0</v>
      </c>
      <c r="AF15" s="114">
        <f>Modeloutput!N297</f>
        <v>0</v>
      </c>
      <c r="AG15" s="114">
        <f>Modeloutput!O297</f>
        <v>0</v>
      </c>
      <c r="AH15" s="114">
        <f>Modeloutput!P297</f>
        <v>0</v>
      </c>
      <c r="AI15" s="24"/>
      <c r="AJ15" s="119" t="s">
        <v>5</v>
      </c>
      <c r="AK15" s="114">
        <f>Modeloutput!B552</f>
        <v>2.1022093100000001</v>
      </c>
      <c r="AL15" s="114">
        <f>Modeloutput!C552</f>
        <v>2.6703739899999999</v>
      </c>
      <c r="AM15" s="114">
        <f>Modeloutput!D552</f>
        <v>-0.56816467900000001</v>
      </c>
      <c r="AN15" s="114">
        <f>Modeloutput!E552</f>
        <v>1.29789595</v>
      </c>
      <c r="AO15" s="114">
        <f>Modeloutput!F552</f>
        <v>0</v>
      </c>
      <c r="AP15" s="114">
        <f>Modeloutput!G552</f>
        <v>0.80431336499999995</v>
      </c>
      <c r="AQ15" s="114">
        <f>Modeloutput!H552</f>
        <v>0</v>
      </c>
      <c r="AR15" s="114">
        <f>Modeloutput!I552</f>
        <v>0</v>
      </c>
      <c r="AS15" s="114">
        <f>Modeloutput!J552</f>
        <v>0</v>
      </c>
      <c r="AT15" s="114">
        <f>Modeloutput!K552</f>
        <v>0</v>
      </c>
      <c r="AU15" s="114">
        <f>Modeloutput!L552</f>
        <v>0</v>
      </c>
      <c r="AV15" s="114">
        <f>Modeloutput!M552</f>
        <v>0</v>
      </c>
      <c r="AW15" s="114">
        <f>Modeloutput!N552</f>
        <v>0</v>
      </c>
      <c r="AX15" s="114">
        <f>Modeloutput!O552</f>
        <v>0</v>
      </c>
      <c r="AY15" s="114">
        <f>Modeloutput!P552</f>
        <v>0</v>
      </c>
      <c r="AZ15" s="24"/>
      <c r="BA15" s="119" t="s">
        <v>5</v>
      </c>
      <c r="BB15" s="114">
        <f>Modeloutput!B807</f>
        <v>2.1022093100000001</v>
      </c>
      <c r="BC15" s="114">
        <f>Modeloutput!C807</f>
        <v>2.6703739899999999</v>
      </c>
      <c r="BD15" s="114">
        <f>Modeloutput!D807</f>
        <v>-0.56816467900000001</v>
      </c>
      <c r="BE15" s="114">
        <f>Modeloutput!E807</f>
        <v>1.29789595</v>
      </c>
      <c r="BF15" s="114">
        <f>Modeloutput!F807</f>
        <v>0</v>
      </c>
      <c r="BG15" s="114">
        <f>Modeloutput!G807</f>
        <v>0.80431336499999995</v>
      </c>
      <c r="BH15" s="114">
        <f>Modeloutput!H807</f>
        <v>0</v>
      </c>
      <c r="BI15" s="114">
        <f>Modeloutput!I807</f>
        <v>0</v>
      </c>
      <c r="BJ15" s="114">
        <f>Modeloutput!J807</f>
        <v>0</v>
      </c>
      <c r="BK15" s="114">
        <f>Modeloutput!K807</f>
        <v>0</v>
      </c>
      <c r="BL15" s="114">
        <f>Modeloutput!L807</f>
        <v>0</v>
      </c>
      <c r="BM15" s="114">
        <f>Modeloutput!M807</f>
        <v>0</v>
      </c>
      <c r="BN15" s="114">
        <f>Modeloutput!N807</f>
        <v>0</v>
      </c>
      <c r="BO15" s="114">
        <f>Modeloutput!O807</f>
        <v>0</v>
      </c>
      <c r="BP15" s="114">
        <f>Modeloutput!P807</f>
        <v>0</v>
      </c>
      <c r="BQ15" s="24"/>
      <c r="BR15" s="119" t="s">
        <v>5</v>
      </c>
      <c r="BS15" s="114">
        <f>Modeloutput!B1062</f>
        <v>2.1022093100000001</v>
      </c>
      <c r="BT15" s="114">
        <f>Modeloutput!C1062</f>
        <v>2.6703739899999999</v>
      </c>
      <c r="BU15" s="114">
        <f>Modeloutput!D1062</f>
        <v>-0.56816467900000001</v>
      </c>
      <c r="BV15" s="114">
        <f>Modeloutput!E1062</f>
        <v>1.29789595</v>
      </c>
      <c r="BW15" s="114">
        <f>Modeloutput!F1062</f>
        <v>0</v>
      </c>
      <c r="BX15" s="114">
        <f>Modeloutput!G1062</f>
        <v>0.80431336499999995</v>
      </c>
      <c r="BY15" s="114">
        <f>Modeloutput!H1062</f>
        <v>0</v>
      </c>
      <c r="BZ15" s="114">
        <f>Modeloutput!I1062</f>
        <v>0</v>
      </c>
      <c r="CA15" s="114">
        <f>Modeloutput!J1062</f>
        <v>0</v>
      </c>
      <c r="CB15" s="114">
        <f>Modeloutput!K1062</f>
        <v>0</v>
      </c>
      <c r="CC15" s="114">
        <f>Modeloutput!L1062</f>
        <v>0</v>
      </c>
      <c r="CD15" s="114">
        <f>Modeloutput!M1062</f>
        <v>0</v>
      </c>
      <c r="CE15" s="114">
        <f>Modeloutput!N1062</f>
        <v>0</v>
      </c>
      <c r="CF15" s="114">
        <f>Modeloutput!O1062</f>
        <v>0</v>
      </c>
      <c r="CG15" s="114">
        <f>Modeloutput!P1062</f>
        <v>0</v>
      </c>
    </row>
    <row r="16" spans="1:85" s="7" customFormat="1" x14ac:dyDescent="0.25">
      <c r="B16" s="7" t="s">
        <v>6</v>
      </c>
      <c r="C16" s="114">
        <f>Modeloutput!B43</f>
        <v>0</v>
      </c>
      <c r="D16" s="114">
        <f>Modeloutput!C43</f>
        <v>0</v>
      </c>
      <c r="E16" s="114">
        <f>Modeloutput!D43</f>
        <v>0</v>
      </c>
      <c r="F16" s="114">
        <f>Modeloutput!E43</f>
        <v>0</v>
      </c>
      <c r="G16" s="114">
        <f>Modeloutput!F43</f>
        <v>0</v>
      </c>
      <c r="H16" s="114">
        <f>Modeloutput!G43</f>
        <v>0</v>
      </c>
      <c r="I16" s="114">
        <f>Modeloutput!H43</f>
        <v>0</v>
      </c>
      <c r="J16" s="114">
        <f>Modeloutput!I43</f>
        <v>0</v>
      </c>
      <c r="K16" s="114">
        <f>Modeloutput!J43</f>
        <v>0</v>
      </c>
      <c r="L16" s="114">
        <f>Modeloutput!K43</f>
        <v>0</v>
      </c>
      <c r="M16" s="114">
        <f>Modeloutput!L43</f>
        <v>0</v>
      </c>
      <c r="N16" s="114">
        <f>Modeloutput!M43</f>
        <v>0</v>
      </c>
      <c r="O16" s="114">
        <f>Modeloutput!N43</f>
        <v>0</v>
      </c>
      <c r="P16" s="114">
        <f>Modeloutput!O43</f>
        <v>0</v>
      </c>
      <c r="Q16" s="114">
        <f>Modeloutput!P43</f>
        <v>0</v>
      </c>
      <c r="R16" s="24"/>
      <c r="S16" s="119" t="s">
        <v>6</v>
      </c>
      <c r="T16" s="114">
        <f>Modeloutput!B298</f>
        <v>0</v>
      </c>
      <c r="U16" s="114">
        <f>Modeloutput!C298</f>
        <v>0</v>
      </c>
      <c r="V16" s="114">
        <f>Modeloutput!D298</f>
        <v>0</v>
      </c>
      <c r="W16" s="114">
        <f>Modeloutput!E298</f>
        <v>0</v>
      </c>
      <c r="X16" s="114">
        <f>Modeloutput!F298</f>
        <v>0</v>
      </c>
      <c r="Y16" s="114">
        <f>Modeloutput!G298</f>
        <v>0</v>
      </c>
      <c r="Z16" s="114">
        <f>Modeloutput!H298</f>
        <v>0</v>
      </c>
      <c r="AA16" s="114">
        <f>Modeloutput!I298</f>
        <v>0</v>
      </c>
      <c r="AB16" s="114">
        <f>Modeloutput!J298</f>
        <v>0</v>
      </c>
      <c r="AC16" s="114">
        <f>Modeloutput!K298</f>
        <v>0</v>
      </c>
      <c r="AD16" s="114">
        <f>Modeloutput!L298</f>
        <v>0</v>
      </c>
      <c r="AE16" s="114">
        <f>Modeloutput!M298</f>
        <v>0</v>
      </c>
      <c r="AF16" s="114">
        <f>Modeloutput!N298</f>
        <v>0</v>
      </c>
      <c r="AG16" s="114">
        <f>Modeloutput!O298</f>
        <v>0</v>
      </c>
      <c r="AH16" s="114">
        <f>Modeloutput!P298</f>
        <v>0</v>
      </c>
      <c r="AI16" s="24"/>
      <c r="AJ16" s="119" t="s">
        <v>6</v>
      </c>
      <c r="AK16" s="114">
        <f>Modeloutput!B553</f>
        <v>0</v>
      </c>
      <c r="AL16" s="114">
        <f>Modeloutput!C553</f>
        <v>0</v>
      </c>
      <c r="AM16" s="114">
        <f>Modeloutput!D553</f>
        <v>0</v>
      </c>
      <c r="AN16" s="114">
        <f>Modeloutput!E553</f>
        <v>0</v>
      </c>
      <c r="AO16" s="114">
        <f>Modeloutput!F553</f>
        <v>0</v>
      </c>
      <c r="AP16" s="114">
        <f>Modeloutput!G553</f>
        <v>0</v>
      </c>
      <c r="AQ16" s="114">
        <f>Modeloutput!H553</f>
        <v>0</v>
      </c>
      <c r="AR16" s="114">
        <f>Modeloutput!I553</f>
        <v>0</v>
      </c>
      <c r="AS16" s="114">
        <f>Modeloutput!J553</f>
        <v>0</v>
      </c>
      <c r="AT16" s="114">
        <f>Modeloutput!K553</f>
        <v>0</v>
      </c>
      <c r="AU16" s="114">
        <f>Modeloutput!L553</f>
        <v>0</v>
      </c>
      <c r="AV16" s="114">
        <f>Modeloutput!M553</f>
        <v>0</v>
      </c>
      <c r="AW16" s="114">
        <f>Modeloutput!N553</f>
        <v>0</v>
      </c>
      <c r="AX16" s="114">
        <f>Modeloutput!O553</f>
        <v>0</v>
      </c>
      <c r="AY16" s="114">
        <f>Modeloutput!P553</f>
        <v>0</v>
      </c>
      <c r="AZ16" s="24"/>
      <c r="BA16" s="119" t="s">
        <v>6</v>
      </c>
      <c r="BB16" s="114">
        <f>Modeloutput!B808</f>
        <v>0</v>
      </c>
      <c r="BC16" s="114">
        <f>Modeloutput!C808</f>
        <v>0</v>
      </c>
      <c r="BD16" s="114">
        <f>Modeloutput!D808</f>
        <v>0</v>
      </c>
      <c r="BE16" s="114">
        <f>Modeloutput!E808</f>
        <v>0</v>
      </c>
      <c r="BF16" s="114">
        <f>Modeloutput!F808</f>
        <v>0</v>
      </c>
      <c r="BG16" s="114">
        <f>Modeloutput!G808</f>
        <v>0</v>
      </c>
      <c r="BH16" s="114">
        <f>Modeloutput!H808</f>
        <v>0</v>
      </c>
      <c r="BI16" s="114">
        <f>Modeloutput!I808</f>
        <v>0</v>
      </c>
      <c r="BJ16" s="114">
        <f>Modeloutput!J808</f>
        <v>0</v>
      </c>
      <c r="BK16" s="114">
        <f>Modeloutput!K808</f>
        <v>0</v>
      </c>
      <c r="BL16" s="114">
        <f>Modeloutput!L808</f>
        <v>0</v>
      </c>
      <c r="BM16" s="114">
        <f>Modeloutput!M808</f>
        <v>0</v>
      </c>
      <c r="BN16" s="114">
        <f>Modeloutput!N808</f>
        <v>0</v>
      </c>
      <c r="BO16" s="114">
        <f>Modeloutput!O808</f>
        <v>0</v>
      </c>
      <c r="BP16" s="114">
        <f>Modeloutput!P808</f>
        <v>0</v>
      </c>
      <c r="BQ16" s="24"/>
      <c r="BR16" s="119" t="s">
        <v>6</v>
      </c>
      <c r="BS16" s="114">
        <f>Modeloutput!B1063</f>
        <v>0</v>
      </c>
      <c r="BT16" s="114">
        <f>Modeloutput!C1063</f>
        <v>0</v>
      </c>
      <c r="BU16" s="114">
        <f>Modeloutput!D1063</f>
        <v>0</v>
      </c>
      <c r="BV16" s="114">
        <f>Modeloutput!E1063</f>
        <v>0</v>
      </c>
      <c r="BW16" s="114">
        <f>Modeloutput!F1063</f>
        <v>0</v>
      </c>
      <c r="BX16" s="114">
        <f>Modeloutput!G1063</f>
        <v>0</v>
      </c>
      <c r="BY16" s="114">
        <f>Modeloutput!H1063</f>
        <v>0</v>
      </c>
      <c r="BZ16" s="114">
        <f>Modeloutput!I1063</f>
        <v>0</v>
      </c>
      <c r="CA16" s="114">
        <f>Modeloutput!J1063</f>
        <v>0</v>
      </c>
      <c r="CB16" s="114">
        <f>Modeloutput!K1063</f>
        <v>0</v>
      </c>
      <c r="CC16" s="114">
        <f>Modeloutput!L1063</f>
        <v>0</v>
      </c>
      <c r="CD16" s="114">
        <f>Modeloutput!M1063</f>
        <v>0</v>
      </c>
      <c r="CE16" s="114">
        <f>Modeloutput!N1063</f>
        <v>0</v>
      </c>
      <c r="CF16" s="114">
        <f>Modeloutput!O1063</f>
        <v>0</v>
      </c>
      <c r="CG16" s="114">
        <f>Modeloutput!P1063</f>
        <v>0</v>
      </c>
    </row>
    <row r="17" spans="1:85" s="7" customFormat="1" x14ac:dyDescent="0.25">
      <c r="B17" s="7" t="s">
        <v>7</v>
      </c>
      <c r="C17" s="114">
        <f>Modeloutput!B44</f>
        <v>0</v>
      </c>
      <c r="D17" s="114">
        <f>Modeloutput!C44</f>
        <v>0</v>
      </c>
      <c r="E17" s="114">
        <f>Modeloutput!D44</f>
        <v>0</v>
      </c>
      <c r="F17" s="114">
        <f>Modeloutput!E44</f>
        <v>0</v>
      </c>
      <c r="G17" s="114">
        <f>Modeloutput!F44</f>
        <v>0</v>
      </c>
      <c r="H17" s="114">
        <f>Modeloutput!G44</f>
        <v>0</v>
      </c>
      <c r="I17" s="114">
        <f>Modeloutput!H44</f>
        <v>0</v>
      </c>
      <c r="J17" s="114">
        <f>Modeloutput!I44</f>
        <v>0</v>
      </c>
      <c r="K17" s="114">
        <f>Modeloutput!J44</f>
        <v>0</v>
      </c>
      <c r="L17" s="114">
        <f>Modeloutput!K44</f>
        <v>0</v>
      </c>
      <c r="M17" s="114">
        <f>Modeloutput!L44</f>
        <v>0</v>
      </c>
      <c r="N17" s="114">
        <f>Modeloutput!M44</f>
        <v>0</v>
      </c>
      <c r="O17" s="114">
        <f>Modeloutput!N44</f>
        <v>0</v>
      </c>
      <c r="P17" s="114">
        <f>Modeloutput!O44</f>
        <v>0</v>
      </c>
      <c r="Q17" s="114">
        <f>Modeloutput!P44</f>
        <v>0</v>
      </c>
      <c r="R17" s="24"/>
      <c r="S17" s="119" t="s">
        <v>7</v>
      </c>
      <c r="T17" s="114">
        <f>Modeloutput!B299</f>
        <v>0</v>
      </c>
      <c r="U17" s="114">
        <f>Modeloutput!C299</f>
        <v>0</v>
      </c>
      <c r="V17" s="114">
        <f>Modeloutput!D299</f>
        <v>0</v>
      </c>
      <c r="W17" s="114">
        <f>Modeloutput!E299</f>
        <v>0</v>
      </c>
      <c r="X17" s="114">
        <f>Modeloutput!F299</f>
        <v>0</v>
      </c>
      <c r="Y17" s="114">
        <f>Modeloutput!G299</f>
        <v>0</v>
      </c>
      <c r="Z17" s="114">
        <f>Modeloutput!H299</f>
        <v>0</v>
      </c>
      <c r="AA17" s="114">
        <f>Modeloutput!I299</f>
        <v>0</v>
      </c>
      <c r="AB17" s="114">
        <f>Modeloutput!J299</f>
        <v>0</v>
      </c>
      <c r="AC17" s="114">
        <f>Modeloutput!K299</f>
        <v>0</v>
      </c>
      <c r="AD17" s="114">
        <f>Modeloutput!L299</f>
        <v>0</v>
      </c>
      <c r="AE17" s="114">
        <f>Modeloutput!M299</f>
        <v>0</v>
      </c>
      <c r="AF17" s="114">
        <f>Modeloutput!N299</f>
        <v>0</v>
      </c>
      <c r="AG17" s="114">
        <f>Modeloutput!O299</f>
        <v>0</v>
      </c>
      <c r="AH17" s="114">
        <f>Modeloutput!P299</f>
        <v>0</v>
      </c>
      <c r="AI17" s="24"/>
      <c r="AJ17" s="119" t="s">
        <v>7</v>
      </c>
      <c r="AK17" s="114">
        <f>Modeloutput!B554</f>
        <v>0</v>
      </c>
      <c r="AL17" s="114">
        <f>Modeloutput!C554</f>
        <v>0</v>
      </c>
      <c r="AM17" s="114">
        <f>Modeloutput!D554</f>
        <v>0</v>
      </c>
      <c r="AN17" s="114">
        <f>Modeloutput!E554</f>
        <v>0</v>
      </c>
      <c r="AO17" s="114">
        <f>Modeloutput!F554</f>
        <v>0</v>
      </c>
      <c r="AP17" s="114">
        <f>Modeloutput!G554</f>
        <v>0</v>
      </c>
      <c r="AQ17" s="114">
        <f>Modeloutput!H554</f>
        <v>0</v>
      </c>
      <c r="AR17" s="114">
        <f>Modeloutput!I554</f>
        <v>0</v>
      </c>
      <c r="AS17" s="114">
        <f>Modeloutput!J554</f>
        <v>0</v>
      </c>
      <c r="AT17" s="114">
        <f>Modeloutput!K554</f>
        <v>0</v>
      </c>
      <c r="AU17" s="114">
        <f>Modeloutput!L554</f>
        <v>0</v>
      </c>
      <c r="AV17" s="114">
        <f>Modeloutput!M554</f>
        <v>0</v>
      </c>
      <c r="AW17" s="114">
        <f>Modeloutput!N554</f>
        <v>0</v>
      </c>
      <c r="AX17" s="114">
        <f>Modeloutput!O554</f>
        <v>0</v>
      </c>
      <c r="AY17" s="114">
        <f>Modeloutput!P554</f>
        <v>0</v>
      </c>
      <c r="AZ17" s="24"/>
      <c r="BA17" s="119" t="s">
        <v>7</v>
      </c>
      <c r="BB17" s="114">
        <f>Modeloutput!B809</f>
        <v>0</v>
      </c>
      <c r="BC17" s="114">
        <f>Modeloutput!C809</f>
        <v>0</v>
      </c>
      <c r="BD17" s="114">
        <f>Modeloutput!D809</f>
        <v>0</v>
      </c>
      <c r="BE17" s="114">
        <f>Modeloutput!E809</f>
        <v>0</v>
      </c>
      <c r="BF17" s="114">
        <f>Modeloutput!F809</f>
        <v>0</v>
      </c>
      <c r="BG17" s="114">
        <f>Modeloutput!G809</f>
        <v>0</v>
      </c>
      <c r="BH17" s="114">
        <f>Modeloutput!H809</f>
        <v>0</v>
      </c>
      <c r="BI17" s="114">
        <f>Modeloutput!I809</f>
        <v>0</v>
      </c>
      <c r="BJ17" s="114">
        <f>Modeloutput!J809</f>
        <v>0</v>
      </c>
      <c r="BK17" s="114">
        <f>Modeloutput!K809</f>
        <v>0</v>
      </c>
      <c r="BL17" s="114">
        <f>Modeloutput!L809</f>
        <v>0</v>
      </c>
      <c r="BM17" s="114">
        <f>Modeloutput!M809</f>
        <v>0</v>
      </c>
      <c r="BN17" s="114">
        <f>Modeloutput!N809</f>
        <v>0</v>
      </c>
      <c r="BO17" s="114">
        <f>Modeloutput!O809</f>
        <v>0</v>
      </c>
      <c r="BP17" s="114">
        <f>Modeloutput!P809</f>
        <v>0</v>
      </c>
      <c r="BQ17" s="24"/>
      <c r="BR17" s="119" t="s">
        <v>7</v>
      </c>
      <c r="BS17" s="114">
        <f>Modeloutput!B1064</f>
        <v>0</v>
      </c>
      <c r="BT17" s="114">
        <f>Modeloutput!C1064</f>
        <v>0</v>
      </c>
      <c r="BU17" s="114">
        <f>Modeloutput!D1064</f>
        <v>0</v>
      </c>
      <c r="BV17" s="114">
        <f>Modeloutput!E1064</f>
        <v>0</v>
      </c>
      <c r="BW17" s="114">
        <f>Modeloutput!F1064</f>
        <v>0</v>
      </c>
      <c r="BX17" s="114">
        <f>Modeloutput!G1064</f>
        <v>0</v>
      </c>
      <c r="BY17" s="114">
        <f>Modeloutput!H1064</f>
        <v>0</v>
      </c>
      <c r="BZ17" s="114">
        <f>Modeloutput!I1064</f>
        <v>0</v>
      </c>
      <c r="CA17" s="114">
        <f>Modeloutput!J1064</f>
        <v>0</v>
      </c>
      <c r="CB17" s="114">
        <f>Modeloutput!K1064</f>
        <v>0</v>
      </c>
      <c r="CC17" s="114">
        <f>Modeloutput!L1064</f>
        <v>0</v>
      </c>
      <c r="CD17" s="114">
        <f>Modeloutput!M1064</f>
        <v>0</v>
      </c>
      <c r="CE17" s="114">
        <f>Modeloutput!N1064</f>
        <v>0</v>
      </c>
      <c r="CF17" s="114">
        <f>Modeloutput!O1064</f>
        <v>0</v>
      </c>
      <c r="CG17" s="114">
        <f>Modeloutput!P1064</f>
        <v>0</v>
      </c>
    </row>
    <row r="18" spans="1:85" s="7" customFormat="1" x14ac:dyDescent="0.25">
      <c r="B18" s="7" t="s">
        <v>8</v>
      </c>
      <c r="C18" s="114">
        <f>Modeloutput!B45</f>
        <v>0</v>
      </c>
      <c r="D18" s="114">
        <f>Modeloutput!C45</f>
        <v>0</v>
      </c>
      <c r="E18" s="114">
        <f>Modeloutput!D45</f>
        <v>0</v>
      </c>
      <c r="F18" s="114">
        <f>Modeloutput!E45</f>
        <v>0</v>
      </c>
      <c r="G18" s="114">
        <f>Modeloutput!F45</f>
        <v>0</v>
      </c>
      <c r="H18" s="114">
        <f>Modeloutput!G45</f>
        <v>0</v>
      </c>
      <c r="I18" s="114">
        <f>Modeloutput!H45</f>
        <v>0</v>
      </c>
      <c r="J18" s="114">
        <f>Modeloutput!I45</f>
        <v>0</v>
      </c>
      <c r="K18" s="114">
        <f>Modeloutput!J45</f>
        <v>0</v>
      </c>
      <c r="L18" s="114">
        <f>Modeloutput!K45</f>
        <v>0</v>
      </c>
      <c r="M18" s="114">
        <f>Modeloutput!L45</f>
        <v>0</v>
      </c>
      <c r="N18" s="114">
        <f>Modeloutput!M45</f>
        <v>0</v>
      </c>
      <c r="O18" s="114">
        <f>Modeloutput!N45</f>
        <v>0</v>
      </c>
      <c r="P18" s="114">
        <f>Modeloutput!O45</f>
        <v>0</v>
      </c>
      <c r="Q18" s="114">
        <f>Modeloutput!P45</f>
        <v>0</v>
      </c>
      <c r="R18" s="24"/>
      <c r="S18" s="119" t="s">
        <v>8</v>
      </c>
      <c r="T18" s="114">
        <f>Modeloutput!B300</f>
        <v>0</v>
      </c>
      <c r="U18" s="114">
        <f>Modeloutput!C300</f>
        <v>0</v>
      </c>
      <c r="V18" s="114">
        <f>Modeloutput!D300</f>
        <v>0</v>
      </c>
      <c r="W18" s="114">
        <f>Modeloutput!E300</f>
        <v>0</v>
      </c>
      <c r="X18" s="114">
        <f>Modeloutput!F300</f>
        <v>0</v>
      </c>
      <c r="Y18" s="114">
        <f>Modeloutput!G300</f>
        <v>0</v>
      </c>
      <c r="Z18" s="114">
        <f>Modeloutput!H300</f>
        <v>0</v>
      </c>
      <c r="AA18" s="114">
        <f>Modeloutput!I300</f>
        <v>0</v>
      </c>
      <c r="AB18" s="114">
        <f>Modeloutput!J300</f>
        <v>0</v>
      </c>
      <c r="AC18" s="114">
        <f>Modeloutput!K300</f>
        <v>0</v>
      </c>
      <c r="AD18" s="114">
        <f>Modeloutput!L300</f>
        <v>0</v>
      </c>
      <c r="AE18" s="114">
        <f>Modeloutput!M300</f>
        <v>0</v>
      </c>
      <c r="AF18" s="114">
        <f>Modeloutput!N300</f>
        <v>0</v>
      </c>
      <c r="AG18" s="114">
        <f>Modeloutput!O300</f>
        <v>0</v>
      </c>
      <c r="AH18" s="114">
        <f>Modeloutput!P300</f>
        <v>0</v>
      </c>
      <c r="AI18" s="24"/>
      <c r="AJ18" s="119" t="s">
        <v>8</v>
      </c>
      <c r="AK18" s="114">
        <f>Modeloutput!B555</f>
        <v>0</v>
      </c>
      <c r="AL18" s="114">
        <f>Modeloutput!C555</f>
        <v>0</v>
      </c>
      <c r="AM18" s="114">
        <f>Modeloutput!D555</f>
        <v>0</v>
      </c>
      <c r="AN18" s="114">
        <f>Modeloutput!E555</f>
        <v>0</v>
      </c>
      <c r="AO18" s="114">
        <f>Modeloutput!F555</f>
        <v>0</v>
      </c>
      <c r="AP18" s="114">
        <f>Modeloutput!G555</f>
        <v>0</v>
      </c>
      <c r="AQ18" s="114">
        <f>Modeloutput!H555</f>
        <v>0</v>
      </c>
      <c r="AR18" s="114">
        <f>Modeloutput!I555</f>
        <v>0</v>
      </c>
      <c r="AS18" s="114">
        <f>Modeloutput!J555</f>
        <v>0</v>
      </c>
      <c r="AT18" s="114">
        <f>Modeloutput!K555</f>
        <v>0</v>
      </c>
      <c r="AU18" s="114">
        <f>Modeloutput!L555</f>
        <v>0</v>
      </c>
      <c r="AV18" s="114">
        <f>Modeloutput!M555</f>
        <v>0</v>
      </c>
      <c r="AW18" s="114">
        <f>Modeloutput!N555</f>
        <v>0</v>
      </c>
      <c r="AX18" s="114">
        <f>Modeloutput!O555</f>
        <v>0</v>
      </c>
      <c r="AY18" s="114">
        <f>Modeloutput!P555</f>
        <v>0</v>
      </c>
      <c r="AZ18" s="24"/>
      <c r="BA18" s="119" t="s">
        <v>8</v>
      </c>
      <c r="BB18" s="114">
        <f>Modeloutput!B810</f>
        <v>0</v>
      </c>
      <c r="BC18" s="114">
        <f>Modeloutput!C810</f>
        <v>0</v>
      </c>
      <c r="BD18" s="114">
        <f>Modeloutput!D810</f>
        <v>0</v>
      </c>
      <c r="BE18" s="114">
        <f>Modeloutput!E810</f>
        <v>0</v>
      </c>
      <c r="BF18" s="114">
        <f>Modeloutput!F810</f>
        <v>0</v>
      </c>
      <c r="BG18" s="114">
        <f>Modeloutput!G810</f>
        <v>0</v>
      </c>
      <c r="BH18" s="114">
        <f>Modeloutput!H810</f>
        <v>0</v>
      </c>
      <c r="BI18" s="114">
        <f>Modeloutput!I810</f>
        <v>0</v>
      </c>
      <c r="BJ18" s="114">
        <f>Modeloutput!J810</f>
        <v>0</v>
      </c>
      <c r="BK18" s="114">
        <f>Modeloutput!K810</f>
        <v>0</v>
      </c>
      <c r="BL18" s="114">
        <f>Modeloutput!L810</f>
        <v>0</v>
      </c>
      <c r="BM18" s="114">
        <f>Modeloutput!M810</f>
        <v>0</v>
      </c>
      <c r="BN18" s="114">
        <f>Modeloutput!N810</f>
        <v>0</v>
      </c>
      <c r="BO18" s="114">
        <f>Modeloutput!O810</f>
        <v>0</v>
      </c>
      <c r="BP18" s="114">
        <f>Modeloutput!P810</f>
        <v>0</v>
      </c>
      <c r="BQ18" s="24"/>
      <c r="BR18" s="119" t="s">
        <v>8</v>
      </c>
      <c r="BS18" s="114">
        <f>Modeloutput!B1065</f>
        <v>0</v>
      </c>
      <c r="BT18" s="114">
        <f>Modeloutput!C1065</f>
        <v>0</v>
      </c>
      <c r="BU18" s="114">
        <f>Modeloutput!D1065</f>
        <v>0</v>
      </c>
      <c r="BV18" s="114">
        <f>Modeloutput!E1065</f>
        <v>0</v>
      </c>
      <c r="BW18" s="114">
        <f>Modeloutput!F1065</f>
        <v>0</v>
      </c>
      <c r="BX18" s="114">
        <f>Modeloutput!G1065</f>
        <v>0</v>
      </c>
      <c r="BY18" s="114">
        <f>Modeloutput!H1065</f>
        <v>0</v>
      </c>
      <c r="BZ18" s="114">
        <f>Modeloutput!I1065</f>
        <v>0</v>
      </c>
      <c r="CA18" s="114">
        <f>Modeloutput!J1065</f>
        <v>0</v>
      </c>
      <c r="CB18" s="114">
        <f>Modeloutput!K1065</f>
        <v>0</v>
      </c>
      <c r="CC18" s="114">
        <f>Modeloutput!L1065</f>
        <v>0</v>
      </c>
      <c r="CD18" s="114">
        <f>Modeloutput!M1065</f>
        <v>0</v>
      </c>
      <c r="CE18" s="114">
        <f>Modeloutput!N1065</f>
        <v>0</v>
      </c>
      <c r="CF18" s="114">
        <f>Modeloutput!O1065</f>
        <v>0</v>
      </c>
      <c r="CG18" s="114">
        <f>Modeloutput!P1065</f>
        <v>0</v>
      </c>
    </row>
    <row r="19" spans="1:85" s="7" customFormat="1" x14ac:dyDescent="0.25">
      <c r="B19" s="7" t="s">
        <v>9</v>
      </c>
      <c r="C19" s="114">
        <f>Modeloutput!B46</f>
        <v>0</v>
      </c>
      <c r="D19" s="114">
        <f>Modeloutput!C46</f>
        <v>0</v>
      </c>
      <c r="E19" s="114">
        <f>Modeloutput!D46</f>
        <v>0</v>
      </c>
      <c r="F19" s="114">
        <f>Modeloutput!E46</f>
        <v>0</v>
      </c>
      <c r="G19" s="114">
        <f>Modeloutput!F46</f>
        <v>0</v>
      </c>
      <c r="H19" s="114">
        <f>Modeloutput!G46</f>
        <v>0</v>
      </c>
      <c r="I19" s="114">
        <f>Modeloutput!H46</f>
        <v>0</v>
      </c>
      <c r="J19" s="114">
        <f>Modeloutput!I46</f>
        <v>0</v>
      </c>
      <c r="K19" s="114">
        <f>Modeloutput!J46</f>
        <v>0</v>
      </c>
      <c r="L19" s="114">
        <f>Modeloutput!K46</f>
        <v>0</v>
      </c>
      <c r="M19" s="114">
        <f>Modeloutput!L46</f>
        <v>0</v>
      </c>
      <c r="N19" s="114">
        <f>Modeloutput!M46</f>
        <v>0</v>
      </c>
      <c r="O19" s="114">
        <f>Modeloutput!N46</f>
        <v>0</v>
      </c>
      <c r="P19" s="114">
        <f>Modeloutput!O46</f>
        <v>0</v>
      </c>
      <c r="Q19" s="114">
        <f>Modeloutput!P46</f>
        <v>0</v>
      </c>
      <c r="R19" s="24"/>
      <c r="S19" s="119" t="s">
        <v>9</v>
      </c>
      <c r="T19" s="114">
        <f>Modeloutput!B301</f>
        <v>0</v>
      </c>
      <c r="U19" s="114">
        <f>Modeloutput!C301</f>
        <v>0</v>
      </c>
      <c r="V19" s="114">
        <f>Modeloutput!D301</f>
        <v>0</v>
      </c>
      <c r="W19" s="114">
        <f>Modeloutput!E301</f>
        <v>0</v>
      </c>
      <c r="X19" s="114">
        <f>Modeloutput!F301</f>
        <v>0</v>
      </c>
      <c r="Y19" s="114">
        <f>Modeloutput!G301</f>
        <v>0</v>
      </c>
      <c r="Z19" s="114">
        <f>Modeloutput!H301</f>
        <v>0</v>
      </c>
      <c r="AA19" s="114">
        <f>Modeloutput!I301</f>
        <v>0</v>
      </c>
      <c r="AB19" s="114">
        <f>Modeloutput!J301</f>
        <v>0</v>
      </c>
      <c r="AC19" s="114">
        <f>Modeloutput!K301</f>
        <v>0</v>
      </c>
      <c r="AD19" s="114">
        <f>Modeloutput!L301</f>
        <v>0</v>
      </c>
      <c r="AE19" s="114">
        <f>Modeloutput!M301</f>
        <v>0</v>
      </c>
      <c r="AF19" s="114">
        <f>Modeloutput!N301</f>
        <v>0</v>
      </c>
      <c r="AG19" s="114">
        <f>Modeloutput!O301</f>
        <v>0</v>
      </c>
      <c r="AH19" s="114">
        <f>Modeloutput!P301</f>
        <v>0</v>
      </c>
      <c r="AI19" s="24"/>
      <c r="AJ19" s="119" t="s">
        <v>9</v>
      </c>
      <c r="AK19" s="114">
        <f>Modeloutput!B556</f>
        <v>0</v>
      </c>
      <c r="AL19" s="114">
        <f>Modeloutput!C556</f>
        <v>0</v>
      </c>
      <c r="AM19" s="114">
        <f>Modeloutput!D556</f>
        <v>0</v>
      </c>
      <c r="AN19" s="114">
        <f>Modeloutput!E556</f>
        <v>0</v>
      </c>
      <c r="AO19" s="114">
        <f>Modeloutput!F556</f>
        <v>0</v>
      </c>
      <c r="AP19" s="114">
        <f>Modeloutput!G556</f>
        <v>0</v>
      </c>
      <c r="AQ19" s="114">
        <f>Modeloutput!H556</f>
        <v>0</v>
      </c>
      <c r="AR19" s="114">
        <f>Modeloutput!I556</f>
        <v>0</v>
      </c>
      <c r="AS19" s="114">
        <f>Modeloutput!J556</f>
        <v>0</v>
      </c>
      <c r="AT19" s="114">
        <f>Modeloutput!K556</f>
        <v>0</v>
      </c>
      <c r="AU19" s="114">
        <f>Modeloutput!L556</f>
        <v>0</v>
      </c>
      <c r="AV19" s="114">
        <f>Modeloutput!M556</f>
        <v>0</v>
      </c>
      <c r="AW19" s="114">
        <f>Modeloutput!N556</f>
        <v>0</v>
      </c>
      <c r="AX19" s="114">
        <f>Modeloutput!O556</f>
        <v>0</v>
      </c>
      <c r="AY19" s="114">
        <f>Modeloutput!P556</f>
        <v>0</v>
      </c>
      <c r="AZ19" s="24"/>
      <c r="BA19" s="119" t="s">
        <v>9</v>
      </c>
      <c r="BB19" s="114">
        <f>Modeloutput!B811</f>
        <v>0</v>
      </c>
      <c r="BC19" s="114">
        <f>Modeloutput!C811</f>
        <v>0</v>
      </c>
      <c r="BD19" s="114">
        <f>Modeloutput!D811</f>
        <v>0</v>
      </c>
      <c r="BE19" s="114">
        <f>Modeloutput!E811</f>
        <v>0</v>
      </c>
      <c r="BF19" s="114">
        <f>Modeloutput!F811</f>
        <v>0</v>
      </c>
      <c r="BG19" s="114">
        <f>Modeloutput!G811</f>
        <v>0</v>
      </c>
      <c r="BH19" s="114">
        <f>Modeloutput!H811</f>
        <v>0</v>
      </c>
      <c r="BI19" s="114">
        <f>Modeloutput!I811</f>
        <v>0</v>
      </c>
      <c r="BJ19" s="114">
        <f>Modeloutput!J811</f>
        <v>0</v>
      </c>
      <c r="BK19" s="114">
        <f>Modeloutput!K811</f>
        <v>0</v>
      </c>
      <c r="BL19" s="114">
        <f>Modeloutput!L811</f>
        <v>0</v>
      </c>
      <c r="BM19" s="114">
        <f>Modeloutput!M811</f>
        <v>0</v>
      </c>
      <c r="BN19" s="114">
        <f>Modeloutput!N811</f>
        <v>0</v>
      </c>
      <c r="BO19" s="114">
        <f>Modeloutput!O811</f>
        <v>0</v>
      </c>
      <c r="BP19" s="114">
        <f>Modeloutput!P811</f>
        <v>0</v>
      </c>
      <c r="BQ19" s="24"/>
      <c r="BR19" s="119" t="s">
        <v>9</v>
      </c>
      <c r="BS19" s="114">
        <f>Modeloutput!B1066</f>
        <v>0</v>
      </c>
      <c r="BT19" s="114">
        <f>Modeloutput!C1066</f>
        <v>0</v>
      </c>
      <c r="BU19" s="114">
        <f>Modeloutput!D1066</f>
        <v>0</v>
      </c>
      <c r="BV19" s="114">
        <f>Modeloutput!E1066</f>
        <v>0</v>
      </c>
      <c r="BW19" s="114">
        <f>Modeloutput!F1066</f>
        <v>0</v>
      </c>
      <c r="BX19" s="114">
        <f>Modeloutput!G1066</f>
        <v>0</v>
      </c>
      <c r="BY19" s="114">
        <f>Modeloutput!H1066</f>
        <v>0</v>
      </c>
      <c r="BZ19" s="114">
        <f>Modeloutput!I1066</f>
        <v>0</v>
      </c>
      <c r="CA19" s="114">
        <f>Modeloutput!J1066</f>
        <v>0</v>
      </c>
      <c r="CB19" s="114">
        <f>Modeloutput!K1066</f>
        <v>0</v>
      </c>
      <c r="CC19" s="114">
        <f>Modeloutput!L1066</f>
        <v>0</v>
      </c>
      <c r="CD19" s="114">
        <f>Modeloutput!M1066</f>
        <v>0</v>
      </c>
      <c r="CE19" s="114">
        <f>Modeloutput!N1066</f>
        <v>0</v>
      </c>
      <c r="CF19" s="114">
        <f>Modeloutput!O1066</f>
        <v>0</v>
      </c>
      <c r="CG19" s="114">
        <f>Modeloutput!P1066</f>
        <v>0</v>
      </c>
    </row>
    <row r="20" spans="1:85" s="7" customFormat="1" x14ac:dyDescent="0.25">
      <c r="B20" s="7" t="s">
        <v>10</v>
      </c>
      <c r="C20" s="114">
        <f>Modeloutput!B47</f>
        <v>0</v>
      </c>
      <c r="D20" s="114">
        <f>Modeloutput!C47</f>
        <v>0</v>
      </c>
      <c r="E20" s="114">
        <f>Modeloutput!D47</f>
        <v>0</v>
      </c>
      <c r="F20" s="114">
        <f>Modeloutput!E47</f>
        <v>0</v>
      </c>
      <c r="G20" s="114">
        <f>Modeloutput!F47</f>
        <v>0</v>
      </c>
      <c r="H20" s="114">
        <f>Modeloutput!G47</f>
        <v>0</v>
      </c>
      <c r="I20" s="114">
        <f>Modeloutput!H47</f>
        <v>0</v>
      </c>
      <c r="J20" s="114">
        <f>Modeloutput!I47</f>
        <v>0</v>
      </c>
      <c r="K20" s="114">
        <f>Modeloutput!J47</f>
        <v>0</v>
      </c>
      <c r="L20" s="114">
        <f>Modeloutput!K47</f>
        <v>0</v>
      </c>
      <c r="M20" s="114">
        <f>Modeloutput!L47</f>
        <v>0</v>
      </c>
      <c r="N20" s="114">
        <f>Modeloutput!M47</f>
        <v>0</v>
      </c>
      <c r="O20" s="114">
        <f>Modeloutput!N47</f>
        <v>0</v>
      </c>
      <c r="P20" s="114">
        <f>Modeloutput!O47</f>
        <v>0</v>
      </c>
      <c r="Q20" s="114">
        <f>Modeloutput!P47</f>
        <v>0</v>
      </c>
      <c r="R20" s="24"/>
      <c r="S20" s="119" t="s">
        <v>10</v>
      </c>
      <c r="T20" s="114">
        <f>Modeloutput!B302</f>
        <v>0</v>
      </c>
      <c r="U20" s="114">
        <f>Modeloutput!C302</f>
        <v>0</v>
      </c>
      <c r="V20" s="114">
        <f>Modeloutput!D302</f>
        <v>0</v>
      </c>
      <c r="W20" s="114">
        <f>Modeloutput!E302</f>
        <v>0</v>
      </c>
      <c r="X20" s="114">
        <f>Modeloutput!F302</f>
        <v>0</v>
      </c>
      <c r="Y20" s="114">
        <f>Modeloutput!G302</f>
        <v>0</v>
      </c>
      <c r="Z20" s="114">
        <f>Modeloutput!H302</f>
        <v>0</v>
      </c>
      <c r="AA20" s="114">
        <f>Modeloutput!I302</f>
        <v>0</v>
      </c>
      <c r="AB20" s="114">
        <f>Modeloutput!J302</f>
        <v>0</v>
      </c>
      <c r="AC20" s="114">
        <f>Modeloutput!K302</f>
        <v>0</v>
      </c>
      <c r="AD20" s="114">
        <f>Modeloutput!L302</f>
        <v>0</v>
      </c>
      <c r="AE20" s="114">
        <f>Modeloutput!M302</f>
        <v>0</v>
      </c>
      <c r="AF20" s="114">
        <f>Modeloutput!N302</f>
        <v>0</v>
      </c>
      <c r="AG20" s="114">
        <f>Modeloutput!O302</f>
        <v>0</v>
      </c>
      <c r="AH20" s="114">
        <f>Modeloutput!P302</f>
        <v>0</v>
      </c>
      <c r="AI20" s="24"/>
      <c r="AJ20" s="119" t="s">
        <v>10</v>
      </c>
      <c r="AK20" s="114">
        <f>Modeloutput!B557</f>
        <v>0</v>
      </c>
      <c r="AL20" s="114">
        <f>Modeloutput!C557</f>
        <v>0</v>
      </c>
      <c r="AM20" s="114">
        <f>Modeloutput!D557</f>
        <v>0</v>
      </c>
      <c r="AN20" s="114">
        <f>Modeloutput!E557</f>
        <v>0</v>
      </c>
      <c r="AO20" s="114">
        <f>Modeloutput!F557</f>
        <v>0</v>
      </c>
      <c r="AP20" s="114">
        <f>Modeloutput!G557</f>
        <v>0</v>
      </c>
      <c r="AQ20" s="114">
        <f>Modeloutput!H557</f>
        <v>0</v>
      </c>
      <c r="AR20" s="114">
        <f>Modeloutput!I557</f>
        <v>0</v>
      </c>
      <c r="AS20" s="114">
        <f>Modeloutput!J557</f>
        <v>0</v>
      </c>
      <c r="AT20" s="114">
        <f>Modeloutput!K557</f>
        <v>0</v>
      </c>
      <c r="AU20" s="114">
        <f>Modeloutput!L557</f>
        <v>0</v>
      </c>
      <c r="AV20" s="114">
        <f>Modeloutput!M557</f>
        <v>0</v>
      </c>
      <c r="AW20" s="114">
        <f>Modeloutput!N557</f>
        <v>0</v>
      </c>
      <c r="AX20" s="114">
        <f>Modeloutput!O557</f>
        <v>0</v>
      </c>
      <c r="AY20" s="114">
        <f>Modeloutput!P557</f>
        <v>0</v>
      </c>
      <c r="AZ20" s="24"/>
      <c r="BA20" s="119" t="s">
        <v>10</v>
      </c>
      <c r="BB20" s="114">
        <f>Modeloutput!B812</f>
        <v>0</v>
      </c>
      <c r="BC20" s="114">
        <f>Modeloutput!C812</f>
        <v>0</v>
      </c>
      <c r="BD20" s="114">
        <f>Modeloutput!D812</f>
        <v>0</v>
      </c>
      <c r="BE20" s="114">
        <f>Modeloutput!E812</f>
        <v>0</v>
      </c>
      <c r="BF20" s="114">
        <f>Modeloutput!F812</f>
        <v>0</v>
      </c>
      <c r="BG20" s="114">
        <f>Modeloutput!G812</f>
        <v>0</v>
      </c>
      <c r="BH20" s="114">
        <f>Modeloutput!H812</f>
        <v>0</v>
      </c>
      <c r="BI20" s="114">
        <f>Modeloutput!I812</f>
        <v>0</v>
      </c>
      <c r="BJ20" s="114">
        <f>Modeloutput!J812</f>
        <v>0</v>
      </c>
      <c r="BK20" s="114">
        <f>Modeloutput!K812</f>
        <v>0</v>
      </c>
      <c r="BL20" s="114">
        <f>Modeloutput!L812</f>
        <v>0</v>
      </c>
      <c r="BM20" s="114">
        <f>Modeloutput!M812</f>
        <v>0</v>
      </c>
      <c r="BN20" s="114">
        <f>Modeloutput!N812</f>
        <v>0</v>
      </c>
      <c r="BO20" s="114">
        <f>Modeloutput!O812</f>
        <v>0</v>
      </c>
      <c r="BP20" s="114">
        <f>Modeloutput!P812</f>
        <v>0</v>
      </c>
      <c r="BQ20" s="24"/>
      <c r="BR20" s="119" t="s">
        <v>10</v>
      </c>
      <c r="BS20" s="114">
        <f>Modeloutput!B1067</f>
        <v>0</v>
      </c>
      <c r="BT20" s="114">
        <f>Modeloutput!C1067</f>
        <v>0</v>
      </c>
      <c r="BU20" s="114">
        <f>Modeloutput!D1067</f>
        <v>0</v>
      </c>
      <c r="BV20" s="114">
        <f>Modeloutput!E1067</f>
        <v>0</v>
      </c>
      <c r="BW20" s="114">
        <f>Modeloutput!F1067</f>
        <v>0</v>
      </c>
      <c r="BX20" s="114">
        <f>Modeloutput!G1067</f>
        <v>0</v>
      </c>
      <c r="BY20" s="114">
        <f>Modeloutput!H1067</f>
        <v>0</v>
      </c>
      <c r="BZ20" s="114">
        <f>Modeloutput!I1067</f>
        <v>0</v>
      </c>
      <c r="CA20" s="114">
        <f>Modeloutput!J1067</f>
        <v>0</v>
      </c>
      <c r="CB20" s="114">
        <f>Modeloutput!K1067</f>
        <v>0</v>
      </c>
      <c r="CC20" s="114">
        <f>Modeloutput!L1067</f>
        <v>0</v>
      </c>
      <c r="CD20" s="114">
        <f>Modeloutput!M1067</f>
        <v>0</v>
      </c>
      <c r="CE20" s="114">
        <f>Modeloutput!N1067</f>
        <v>0</v>
      </c>
      <c r="CF20" s="114">
        <f>Modeloutput!O1067</f>
        <v>0</v>
      </c>
      <c r="CG20" s="114">
        <f>Modeloutput!P1067</f>
        <v>0</v>
      </c>
    </row>
    <row r="21" spans="1:85" s="7" customFormat="1" x14ac:dyDescent="0.25">
      <c r="B21" s="7" t="s">
        <v>11</v>
      </c>
      <c r="C21" s="114">
        <f>Modeloutput!B48</f>
        <v>0</v>
      </c>
      <c r="D21" s="114">
        <f>Modeloutput!C48</f>
        <v>0</v>
      </c>
      <c r="E21" s="114">
        <f>Modeloutput!D48</f>
        <v>0</v>
      </c>
      <c r="F21" s="114">
        <f>Modeloutput!E48</f>
        <v>0</v>
      </c>
      <c r="G21" s="114">
        <f>Modeloutput!F48</f>
        <v>0</v>
      </c>
      <c r="H21" s="114">
        <f>Modeloutput!G48</f>
        <v>0</v>
      </c>
      <c r="I21" s="114">
        <f>Modeloutput!H48</f>
        <v>0</v>
      </c>
      <c r="J21" s="114">
        <f>Modeloutput!I48</f>
        <v>0</v>
      </c>
      <c r="K21" s="114">
        <f>Modeloutput!J48</f>
        <v>0</v>
      </c>
      <c r="L21" s="114">
        <f>Modeloutput!K48</f>
        <v>0</v>
      </c>
      <c r="M21" s="114">
        <f>Modeloutput!L48</f>
        <v>0</v>
      </c>
      <c r="N21" s="114">
        <f>Modeloutput!M48</f>
        <v>0</v>
      </c>
      <c r="O21" s="114">
        <f>Modeloutput!N48</f>
        <v>0</v>
      </c>
      <c r="P21" s="114">
        <f>Modeloutput!O48</f>
        <v>0</v>
      </c>
      <c r="Q21" s="114">
        <f>Modeloutput!P48</f>
        <v>0</v>
      </c>
      <c r="R21" s="24"/>
      <c r="S21" s="119" t="s">
        <v>11</v>
      </c>
      <c r="T21" s="114">
        <f>Modeloutput!B303</f>
        <v>0</v>
      </c>
      <c r="U21" s="114">
        <f>Modeloutput!C303</f>
        <v>0</v>
      </c>
      <c r="V21" s="114">
        <f>Modeloutput!D303</f>
        <v>0</v>
      </c>
      <c r="W21" s="114">
        <f>Modeloutput!E303</f>
        <v>0</v>
      </c>
      <c r="X21" s="114">
        <f>Modeloutput!F303</f>
        <v>0</v>
      </c>
      <c r="Y21" s="114">
        <f>Modeloutput!G303</f>
        <v>0</v>
      </c>
      <c r="Z21" s="114">
        <f>Modeloutput!H303</f>
        <v>0</v>
      </c>
      <c r="AA21" s="114">
        <f>Modeloutput!I303</f>
        <v>0</v>
      </c>
      <c r="AB21" s="114">
        <f>Modeloutput!J303</f>
        <v>0</v>
      </c>
      <c r="AC21" s="114">
        <f>Modeloutput!K303</f>
        <v>0</v>
      </c>
      <c r="AD21" s="114">
        <f>Modeloutput!L303</f>
        <v>0</v>
      </c>
      <c r="AE21" s="114">
        <f>Modeloutput!M303</f>
        <v>0</v>
      </c>
      <c r="AF21" s="114">
        <f>Modeloutput!N303</f>
        <v>0</v>
      </c>
      <c r="AG21" s="114">
        <f>Modeloutput!O303</f>
        <v>0</v>
      </c>
      <c r="AH21" s="114">
        <f>Modeloutput!P303</f>
        <v>0</v>
      </c>
      <c r="AI21" s="24"/>
      <c r="AJ21" s="119" t="s">
        <v>11</v>
      </c>
      <c r="AK21" s="114">
        <f>Modeloutput!B558</f>
        <v>0</v>
      </c>
      <c r="AL21" s="114">
        <f>Modeloutput!C558</f>
        <v>0</v>
      </c>
      <c r="AM21" s="114">
        <f>Modeloutput!D558</f>
        <v>0</v>
      </c>
      <c r="AN21" s="114">
        <f>Modeloutput!E558</f>
        <v>0</v>
      </c>
      <c r="AO21" s="114">
        <f>Modeloutput!F558</f>
        <v>0</v>
      </c>
      <c r="AP21" s="114">
        <f>Modeloutput!G558</f>
        <v>0</v>
      </c>
      <c r="AQ21" s="114">
        <f>Modeloutput!H558</f>
        <v>0</v>
      </c>
      <c r="AR21" s="114">
        <f>Modeloutput!I558</f>
        <v>0</v>
      </c>
      <c r="AS21" s="114">
        <f>Modeloutput!J558</f>
        <v>0</v>
      </c>
      <c r="AT21" s="114">
        <f>Modeloutput!K558</f>
        <v>0</v>
      </c>
      <c r="AU21" s="114">
        <f>Modeloutput!L558</f>
        <v>0</v>
      </c>
      <c r="AV21" s="114">
        <f>Modeloutput!M558</f>
        <v>0</v>
      </c>
      <c r="AW21" s="114">
        <f>Modeloutput!N558</f>
        <v>0</v>
      </c>
      <c r="AX21" s="114">
        <f>Modeloutput!O558</f>
        <v>0</v>
      </c>
      <c r="AY21" s="114">
        <f>Modeloutput!P558</f>
        <v>0</v>
      </c>
      <c r="AZ21" s="24"/>
      <c r="BA21" s="119" t="s">
        <v>11</v>
      </c>
      <c r="BB21" s="114">
        <f>Modeloutput!B813</f>
        <v>0</v>
      </c>
      <c r="BC21" s="114">
        <f>Modeloutput!C813</f>
        <v>0</v>
      </c>
      <c r="BD21" s="114">
        <f>Modeloutput!D813</f>
        <v>0</v>
      </c>
      <c r="BE21" s="114">
        <f>Modeloutput!E813</f>
        <v>0</v>
      </c>
      <c r="BF21" s="114">
        <f>Modeloutput!F813</f>
        <v>0</v>
      </c>
      <c r="BG21" s="114">
        <f>Modeloutput!G813</f>
        <v>0</v>
      </c>
      <c r="BH21" s="114">
        <f>Modeloutput!H813</f>
        <v>0</v>
      </c>
      <c r="BI21" s="114">
        <f>Modeloutput!I813</f>
        <v>0</v>
      </c>
      <c r="BJ21" s="114">
        <f>Modeloutput!J813</f>
        <v>0</v>
      </c>
      <c r="BK21" s="114">
        <f>Modeloutput!K813</f>
        <v>0</v>
      </c>
      <c r="BL21" s="114">
        <f>Modeloutput!L813</f>
        <v>0</v>
      </c>
      <c r="BM21" s="114">
        <f>Modeloutput!M813</f>
        <v>0</v>
      </c>
      <c r="BN21" s="114">
        <f>Modeloutput!N813</f>
        <v>0</v>
      </c>
      <c r="BO21" s="114">
        <f>Modeloutput!O813</f>
        <v>0</v>
      </c>
      <c r="BP21" s="114">
        <f>Modeloutput!P813</f>
        <v>0</v>
      </c>
      <c r="BQ21" s="24"/>
      <c r="BR21" s="119" t="s">
        <v>11</v>
      </c>
      <c r="BS21" s="114">
        <f>Modeloutput!B1068</f>
        <v>0</v>
      </c>
      <c r="BT21" s="114">
        <f>Modeloutput!C1068</f>
        <v>0</v>
      </c>
      <c r="BU21" s="114">
        <f>Modeloutput!D1068</f>
        <v>0</v>
      </c>
      <c r="BV21" s="114">
        <f>Modeloutput!E1068</f>
        <v>0</v>
      </c>
      <c r="BW21" s="114">
        <f>Modeloutput!F1068</f>
        <v>0</v>
      </c>
      <c r="BX21" s="114">
        <f>Modeloutput!G1068</f>
        <v>0</v>
      </c>
      <c r="BY21" s="114">
        <f>Modeloutput!H1068</f>
        <v>0</v>
      </c>
      <c r="BZ21" s="114">
        <f>Modeloutput!I1068</f>
        <v>0</v>
      </c>
      <c r="CA21" s="114">
        <f>Modeloutput!J1068</f>
        <v>0</v>
      </c>
      <c r="CB21" s="114">
        <f>Modeloutput!K1068</f>
        <v>0</v>
      </c>
      <c r="CC21" s="114">
        <f>Modeloutput!L1068</f>
        <v>0</v>
      </c>
      <c r="CD21" s="114">
        <f>Modeloutput!M1068</f>
        <v>0</v>
      </c>
      <c r="CE21" s="114">
        <f>Modeloutput!N1068</f>
        <v>0</v>
      </c>
      <c r="CF21" s="114">
        <f>Modeloutput!O1068</f>
        <v>0</v>
      </c>
      <c r="CG21" s="114">
        <f>Modeloutput!P1068</f>
        <v>0</v>
      </c>
    </row>
    <row r="22" spans="1:85" s="7" customFormat="1" x14ac:dyDescent="0.25">
      <c r="B22" s="7" t="s">
        <v>12</v>
      </c>
      <c r="C22" s="114">
        <f>Modeloutput!B49</f>
        <v>0</v>
      </c>
      <c r="D22" s="114">
        <f>Modeloutput!C49</f>
        <v>0</v>
      </c>
      <c r="E22" s="114">
        <f>Modeloutput!D49</f>
        <v>0</v>
      </c>
      <c r="F22" s="114">
        <f>Modeloutput!E49</f>
        <v>0</v>
      </c>
      <c r="G22" s="114">
        <f>Modeloutput!F49</f>
        <v>0</v>
      </c>
      <c r="H22" s="114">
        <f>Modeloutput!G49</f>
        <v>0</v>
      </c>
      <c r="I22" s="114">
        <f>Modeloutput!H49</f>
        <v>0</v>
      </c>
      <c r="J22" s="114">
        <f>Modeloutput!I49</f>
        <v>0</v>
      </c>
      <c r="K22" s="114">
        <f>Modeloutput!J49</f>
        <v>0</v>
      </c>
      <c r="L22" s="114">
        <f>Modeloutput!K49</f>
        <v>0</v>
      </c>
      <c r="M22" s="114">
        <f>Modeloutput!L49</f>
        <v>0</v>
      </c>
      <c r="N22" s="114">
        <f>Modeloutput!M49</f>
        <v>0</v>
      </c>
      <c r="O22" s="114">
        <f>Modeloutput!N49</f>
        <v>0</v>
      </c>
      <c r="P22" s="114">
        <f>Modeloutput!O49</f>
        <v>0</v>
      </c>
      <c r="Q22" s="114">
        <f>Modeloutput!P49</f>
        <v>0</v>
      </c>
      <c r="R22" s="24"/>
      <c r="S22" s="119" t="s">
        <v>12</v>
      </c>
      <c r="T22" s="114">
        <f>Modeloutput!B304</f>
        <v>0</v>
      </c>
      <c r="U22" s="114">
        <f>Modeloutput!C304</f>
        <v>0</v>
      </c>
      <c r="V22" s="114">
        <f>Modeloutput!D304</f>
        <v>0</v>
      </c>
      <c r="W22" s="114">
        <f>Modeloutput!E304</f>
        <v>0</v>
      </c>
      <c r="X22" s="114">
        <f>Modeloutput!F304</f>
        <v>0</v>
      </c>
      <c r="Y22" s="114">
        <f>Modeloutput!G304</f>
        <v>0</v>
      </c>
      <c r="Z22" s="114">
        <f>Modeloutput!H304</f>
        <v>0</v>
      </c>
      <c r="AA22" s="114">
        <f>Modeloutput!I304</f>
        <v>0</v>
      </c>
      <c r="AB22" s="114">
        <f>Modeloutput!J304</f>
        <v>0</v>
      </c>
      <c r="AC22" s="114">
        <f>Modeloutput!K304</f>
        <v>0</v>
      </c>
      <c r="AD22" s="114">
        <f>Modeloutput!L304</f>
        <v>0</v>
      </c>
      <c r="AE22" s="114">
        <f>Modeloutput!M304</f>
        <v>0</v>
      </c>
      <c r="AF22" s="114">
        <f>Modeloutput!N304</f>
        <v>0</v>
      </c>
      <c r="AG22" s="114">
        <f>Modeloutput!O304</f>
        <v>0</v>
      </c>
      <c r="AH22" s="114">
        <f>Modeloutput!P304</f>
        <v>0</v>
      </c>
      <c r="AI22" s="24"/>
      <c r="AJ22" s="119" t="s">
        <v>12</v>
      </c>
      <c r="AK22" s="114">
        <f>Modeloutput!B559</f>
        <v>0</v>
      </c>
      <c r="AL22" s="114">
        <f>Modeloutput!C559</f>
        <v>0</v>
      </c>
      <c r="AM22" s="114">
        <f>Modeloutput!D559</f>
        <v>0</v>
      </c>
      <c r="AN22" s="114">
        <f>Modeloutput!E559</f>
        <v>0</v>
      </c>
      <c r="AO22" s="114">
        <f>Modeloutput!F559</f>
        <v>0</v>
      </c>
      <c r="AP22" s="114">
        <f>Modeloutput!G559</f>
        <v>0</v>
      </c>
      <c r="AQ22" s="114">
        <f>Modeloutput!H559</f>
        <v>0</v>
      </c>
      <c r="AR22" s="114">
        <f>Modeloutput!I559</f>
        <v>0</v>
      </c>
      <c r="AS22" s="114">
        <f>Modeloutput!J559</f>
        <v>0</v>
      </c>
      <c r="AT22" s="114">
        <f>Modeloutput!K559</f>
        <v>0</v>
      </c>
      <c r="AU22" s="114">
        <f>Modeloutput!L559</f>
        <v>0</v>
      </c>
      <c r="AV22" s="114">
        <f>Modeloutput!M559</f>
        <v>0</v>
      </c>
      <c r="AW22" s="114">
        <f>Modeloutput!N559</f>
        <v>0</v>
      </c>
      <c r="AX22" s="114">
        <f>Modeloutput!O559</f>
        <v>0</v>
      </c>
      <c r="AY22" s="114">
        <f>Modeloutput!P559</f>
        <v>0</v>
      </c>
      <c r="AZ22" s="24"/>
      <c r="BA22" s="119" t="s">
        <v>12</v>
      </c>
      <c r="BB22" s="114">
        <f>Modeloutput!B814</f>
        <v>0</v>
      </c>
      <c r="BC22" s="114">
        <f>Modeloutput!C814</f>
        <v>0</v>
      </c>
      <c r="BD22" s="114">
        <f>Modeloutput!D814</f>
        <v>0</v>
      </c>
      <c r="BE22" s="114">
        <f>Modeloutput!E814</f>
        <v>0</v>
      </c>
      <c r="BF22" s="114">
        <f>Modeloutput!F814</f>
        <v>0</v>
      </c>
      <c r="BG22" s="114">
        <f>Modeloutput!G814</f>
        <v>0</v>
      </c>
      <c r="BH22" s="114">
        <f>Modeloutput!H814</f>
        <v>0</v>
      </c>
      <c r="BI22" s="114">
        <f>Modeloutput!I814</f>
        <v>0</v>
      </c>
      <c r="BJ22" s="114">
        <f>Modeloutput!J814</f>
        <v>0</v>
      </c>
      <c r="BK22" s="114">
        <f>Modeloutput!K814</f>
        <v>0</v>
      </c>
      <c r="BL22" s="114">
        <f>Modeloutput!L814</f>
        <v>0</v>
      </c>
      <c r="BM22" s="114">
        <f>Modeloutput!M814</f>
        <v>0</v>
      </c>
      <c r="BN22" s="114">
        <f>Modeloutput!N814</f>
        <v>0</v>
      </c>
      <c r="BO22" s="114">
        <f>Modeloutput!O814</f>
        <v>0</v>
      </c>
      <c r="BP22" s="114">
        <f>Modeloutput!P814</f>
        <v>0</v>
      </c>
      <c r="BQ22" s="24"/>
      <c r="BR22" s="119" t="s">
        <v>12</v>
      </c>
      <c r="BS22" s="114">
        <f>Modeloutput!B1069</f>
        <v>0</v>
      </c>
      <c r="BT22" s="114">
        <f>Modeloutput!C1069</f>
        <v>0</v>
      </c>
      <c r="BU22" s="114">
        <f>Modeloutput!D1069</f>
        <v>0</v>
      </c>
      <c r="BV22" s="114">
        <f>Modeloutput!E1069</f>
        <v>0</v>
      </c>
      <c r="BW22" s="114">
        <f>Modeloutput!F1069</f>
        <v>0</v>
      </c>
      <c r="BX22" s="114">
        <f>Modeloutput!G1069</f>
        <v>0</v>
      </c>
      <c r="BY22" s="114">
        <f>Modeloutput!H1069</f>
        <v>0</v>
      </c>
      <c r="BZ22" s="114">
        <f>Modeloutput!I1069</f>
        <v>0</v>
      </c>
      <c r="CA22" s="114">
        <f>Modeloutput!J1069</f>
        <v>0</v>
      </c>
      <c r="CB22" s="114">
        <f>Modeloutput!K1069</f>
        <v>0</v>
      </c>
      <c r="CC22" s="114">
        <f>Modeloutput!L1069</f>
        <v>0</v>
      </c>
      <c r="CD22" s="114">
        <f>Modeloutput!M1069</f>
        <v>0</v>
      </c>
      <c r="CE22" s="114">
        <f>Modeloutput!N1069</f>
        <v>0</v>
      </c>
      <c r="CF22" s="114">
        <f>Modeloutput!O1069</f>
        <v>0</v>
      </c>
      <c r="CG22" s="114">
        <f>Modeloutput!P1069</f>
        <v>0</v>
      </c>
    </row>
    <row r="23" spans="1:85" s="7" customFormat="1" x14ac:dyDescent="0.25">
      <c r="B23" s="7" t="s">
        <v>13</v>
      </c>
      <c r="C23" s="114">
        <f>Modeloutput!B50</f>
        <v>0</v>
      </c>
      <c r="D23" s="114">
        <f>Modeloutput!C50</f>
        <v>0</v>
      </c>
      <c r="E23" s="114">
        <f>Modeloutput!D50</f>
        <v>0</v>
      </c>
      <c r="F23" s="114">
        <f>Modeloutput!E50</f>
        <v>0</v>
      </c>
      <c r="G23" s="114">
        <f>Modeloutput!F50</f>
        <v>0</v>
      </c>
      <c r="H23" s="114">
        <f>Modeloutput!G50</f>
        <v>0</v>
      </c>
      <c r="I23" s="114">
        <f>Modeloutput!H50</f>
        <v>0</v>
      </c>
      <c r="J23" s="114">
        <f>Modeloutput!I50</f>
        <v>0</v>
      </c>
      <c r="K23" s="114">
        <f>Modeloutput!J50</f>
        <v>0</v>
      </c>
      <c r="L23" s="114">
        <f>Modeloutput!K50</f>
        <v>0</v>
      </c>
      <c r="M23" s="114">
        <f>Modeloutput!L50</f>
        <v>0</v>
      </c>
      <c r="N23" s="114">
        <f>Modeloutput!M50</f>
        <v>0</v>
      </c>
      <c r="O23" s="114">
        <f>Modeloutput!N50</f>
        <v>0</v>
      </c>
      <c r="P23" s="114">
        <f>Modeloutput!O50</f>
        <v>0</v>
      </c>
      <c r="Q23" s="114">
        <f>Modeloutput!P50</f>
        <v>0</v>
      </c>
      <c r="R23" s="24"/>
      <c r="S23" s="119" t="s">
        <v>13</v>
      </c>
      <c r="T23" s="114">
        <f>Modeloutput!B305</f>
        <v>0</v>
      </c>
      <c r="U23" s="114">
        <f>Modeloutput!C305</f>
        <v>0</v>
      </c>
      <c r="V23" s="114">
        <f>Modeloutput!D305</f>
        <v>0</v>
      </c>
      <c r="W23" s="114">
        <f>Modeloutput!E305</f>
        <v>0</v>
      </c>
      <c r="X23" s="114">
        <f>Modeloutput!F305</f>
        <v>0</v>
      </c>
      <c r="Y23" s="114">
        <f>Modeloutput!G305</f>
        <v>0</v>
      </c>
      <c r="Z23" s="114">
        <f>Modeloutput!H305</f>
        <v>0</v>
      </c>
      <c r="AA23" s="114">
        <f>Modeloutput!I305</f>
        <v>0</v>
      </c>
      <c r="AB23" s="114">
        <f>Modeloutput!J305</f>
        <v>0</v>
      </c>
      <c r="AC23" s="114">
        <f>Modeloutput!K305</f>
        <v>0</v>
      </c>
      <c r="AD23" s="114">
        <f>Modeloutput!L305</f>
        <v>0</v>
      </c>
      <c r="AE23" s="114">
        <f>Modeloutput!M305</f>
        <v>0</v>
      </c>
      <c r="AF23" s="114">
        <f>Modeloutput!N305</f>
        <v>0</v>
      </c>
      <c r="AG23" s="114">
        <f>Modeloutput!O305</f>
        <v>0</v>
      </c>
      <c r="AH23" s="114">
        <f>Modeloutput!P305</f>
        <v>0</v>
      </c>
      <c r="AI23" s="24"/>
      <c r="AJ23" s="119" t="s">
        <v>13</v>
      </c>
      <c r="AK23" s="114">
        <f>Modeloutput!B560</f>
        <v>0</v>
      </c>
      <c r="AL23" s="114">
        <f>Modeloutput!C560</f>
        <v>0</v>
      </c>
      <c r="AM23" s="114">
        <f>Modeloutput!D560</f>
        <v>0</v>
      </c>
      <c r="AN23" s="114">
        <f>Modeloutput!E560</f>
        <v>0</v>
      </c>
      <c r="AO23" s="114">
        <f>Modeloutput!F560</f>
        <v>0</v>
      </c>
      <c r="AP23" s="114">
        <f>Modeloutput!G560</f>
        <v>0</v>
      </c>
      <c r="AQ23" s="114">
        <f>Modeloutput!H560</f>
        <v>0</v>
      </c>
      <c r="AR23" s="114">
        <f>Modeloutput!I560</f>
        <v>0</v>
      </c>
      <c r="AS23" s="114">
        <f>Modeloutput!J560</f>
        <v>0</v>
      </c>
      <c r="AT23" s="114">
        <f>Modeloutput!K560</f>
        <v>0</v>
      </c>
      <c r="AU23" s="114">
        <f>Modeloutput!L560</f>
        <v>0</v>
      </c>
      <c r="AV23" s="114">
        <f>Modeloutput!M560</f>
        <v>0</v>
      </c>
      <c r="AW23" s="114">
        <f>Modeloutput!N560</f>
        <v>0</v>
      </c>
      <c r="AX23" s="114">
        <f>Modeloutput!O560</f>
        <v>0</v>
      </c>
      <c r="AY23" s="114">
        <f>Modeloutput!P560</f>
        <v>0</v>
      </c>
      <c r="AZ23" s="24"/>
      <c r="BA23" s="119" t="s">
        <v>13</v>
      </c>
      <c r="BB23" s="114">
        <f>Modeloutput!B815</f>
        <v>0</v>
      </c>
      <c r="BC23" s="114">
        <f>Modeloutput!C815</f>
        <v>0</v>
      </c>
      <c r="BD23" s="114">
        <f>Modeloutput!D815</f>
        <v>0</v>
      </c>
      <c r="BE23" s="114">
        <f>Modeloutput!E815</f>
        <v>0</v>
      </c>
      <c r="BF23" s="114">
        <f>Modeloutput!F815</f>
        <v>0</v>
      </c>
      <c r="BG23" s="114">
        <f>Modeloutput!G815</f>
        <v>0</v>
      </c>
      <c r="BH23" s="114">
        <f>Modeloutput!H815</f>
        <v>0</v>
      </c>
      <c r="BI23" s="114">
        <f>Modeloutput!I815</f>
        <v>0</v>
      </c>
      <c r="BJ23" s="114">
        <f>Modeloutput!J815</f>
        <v>0</v>
      </c>
      <c r="BK23" s="114">
        <f>Modeloutput!K815</f>
        <v>0</v>
      </c>
      <c r="BL23" s="114">
        <f>Modeloutput!L815</f>
        <v>0</v>
      </c>
      <c r="BM23" s="114">
        <f>Modeloutput!M815</f>
        <v>0</v>
      </c>
      <c r="BN23" s="114">
        <f>Modeloutput!N815</f>
        <v>0</v>
      </c>
      <c r="BO23" s="114">
        <f>Modeloutput!O815</f>
        <v>0</v>
      </c>
      <c r="BP23" s="114">
        <f>Modeloutput!P815</f>
        <v>0</v>
      </c>
      <c r="BQ23" s="24"/>
      <c r="BR23" s="119" t="s">
        <v>13</v>
      </c>
      <c r="BS23" s="114">
        <f>Modeloutput!B1070</f>
        <v>0</v>
      </c>
      <c r="BT23" s="114">
        <f>Modeloutput!C1070</f>
        <v>0</v>
      </c>
      <c r="BU23" s="114">
        <f>Modeloutput!D1070</f>
        <v>0</v>
      </c>
      <c r="BV23" s="114">
        <f>Modeloutput!E1070</f>
        <v>0</v>
      </c>
      <c r="BW23" s="114">
        <f>Modeloutput!F1070</f>
        <v>0</v>
      </c>
      <c r="BX23" s="114">
        <f>Modeloutput!G1070</f>
        <v>0</v>
      </c>
      <c r="BY23" s="114">
        <f>Modeloutput!H1070</f>
        <v>0</v>
      </c>
      <c r="BZ23" s="114">
        <f>Modeloutput!I1070</f>
        <v>0</v>
      </c>
      <c r="CA23" s="114">
        <f>Modeloutput!J1070</f>
        <v>0</v>
      </c>
      <c r="CB23" s="114">
        <f>Modeloutput!K1070</f>
        <v>0</v>
      </c>
      <c r="CC23" s="114">
        <f>Modeloutput!L1070</f>
        <v>0</v>
      </c>
      <c r="CD23" s="114">
        <f>Modeloutput!M1070</f>
        <v>0</v>
      </c>
      <c r="CE23" s="114">
        <f>Modeloutput!N1070</f>
        <v>0</v>
      </c>
      <c r="CF23" s="114">
        <f>Modeloutput!O1070</f>
        <v>0</v>
      </c>
      <c r="CG23" s="114">
        <f>Modeloutput!P1070</f>
        <v>0</v>
      </c>
    </row>
    <row r="24" spans="1:85" s="7" customFormat="1" x14ac:dyDescent="0.25">
      <c r="B24" s="7" t="s">
        <v>14</v>
      </c>
      <c r="C24" s="114">
        <f>Modeloutput!B51</f>
        <v>0</v>
      </c>
      <c r="D24" s="114">
        <f>Modeloutput!C51</f>
        <v>0</v>
      </c>
      <c r="E24" s="114">
        <f>Modeloutput!D51</f>
        <v>0</v>
      </c>
      <c r="F24" s="114">
        <f>Modeloutput!E51</f>
        <v>0</v>
      </c>
      <c r="G24" s="114">
        <f>Modeloutput!F51</f>
        <v>0</v>
      </c>
      <c r="H24" s="114">
        <f>Modeloutput!G51</f>
        <v>0</v>
      </c>
      <c r="I24" s="114">
        <f>Modeloutput!H51</f>
        <v>0</v>
      </c>
      <c r="J24" s="114">
        <f>Modeloutput!I51</f>
        <v>0</v>
      </c>
      <c r="K24" s="114">
        <f>Modeloutput!J51</f>
        <v>0</v>
      </c>
      <c r="L24" s="114">
        <f>Modeloutput!K51</f>
        <v>0</v>
      </c>
      <c r="M24" s="114">
        <f>Modeloutput!L51</f>
        <v>0</v>
      </c>
      <c r="N24" s="114">
        <f>Modeloutput!M51</f>
        <v>0</v>
      </c>
      <c r="O24" s="114">
        <f>Modeloutput!N51</f>
        <v>0</v>
      </c>
      <c r="P24" s="114">
        <f>Modeloutput!O51</f>
        <v>0</v>
      </c>
      <c r="Q24" s="114">
        <f>Modeloutput!P51</f>
        <v>0</v>
      </c>
      <c r="R24" s="24"/>
      <c r="S24" s="119" t="s">
        <v>14</v>
      </c>
      <c r="T24" s="114">
        <f>Modeloutput!B306</f>
        <v>0</v>
      </c>
      <c r="U24" s="114">
        <f>Modeloutput!C306</f>
        <v>0</v>
      </c>
      <c r="V24" s="114">
        <f>Modeloutput!D306</f>
        <v>0</v>
      </c>
      <c r="W24" s="114">
        <f>Modeloutput!E306</f>
        <v>0</v>
      </c>
      <c r="X24" s="114">
        <f>Modeloutput!F306</f>
        <v>0</v>
      </c>
      <c r="Y24" s="114">
        <f>Modeloutput!G306</f>
        <v>0</v>
      </c>
      <c r="Z24" s="114">
        <f>Modeloutput!H306</f>
        <v>0</v>
      </c>
      <c r="AA24" s="114">
        <f>Modeloutput!I306</f>
        <v>0</v>
      </c>
      <c r="AB24" s="114">
        <f>Modeloutput!J306</f>
        <v>0</v>
      </c>
      <c r="AC24" s="114">
        <f>Modeloutput!K306</f>
        <v>0</v>
      </c>
      <c r="AD24" s="114">
        <f>Modeloutput!L306</f>
        <v>0</v>
      </c>
      <c r="AE24" s="114">
        <f>Modeloutput!M306</f>
        <v>0</v>
      </c>
      <c r="AF24" s="114">
        <f>Modeloutput!N306</f>
        <v>0</v>
      </c>
      <c r="AG24" s="114">
        <f>Modeloutput!O306</f>
        <v>0</v>
      </c>
      <c r="AH24" s="114">
        <f>Modeloutput!P306</f>
        <v>0</v>
      </c>
      <c r="AI24" s="24"/>
      <c r="AJ24" s="119" t="s">
        <v>14</v>
      </c>
      <c r="AK24" s="114">
        <f>Modeloutput!B561</f>
        <v>0</v>
      </c>
      <c r="AL24" s="114">
        <f>Modeloutput!C561</f>
        <v>0</v>
      </c>
      <c r="AM24" s="114">
        <f>Modeloutput!D561</f>
        <v>0</v>
      </c>
      <c r="AN24" s="114">
        <f>Modeloutput!E561</f>
        <v>0</v>
      </c>
      <c r="AO24" s="114">
        <f>Modeloutput!F561</f>
        <v>0</v>
      </c>
      <c r="AP24" s="114">
        <f>Modeloutput!G561</f>
        <v>0</v>
      </c>
      <c r="AQ24" s="114">
        <f>Modeloutput!H561</f>
        <v>0</v>
      </c>
      <c r="AR24" s="114">
        <f>Modeloutput!I561</f>
        <v>0</v>
      </c>
      <c r="AS24" s="114">
        <f>Modeloutput!J561</f>
        <v>0</v>
      </c>
      <c r="AT24" s="114">
        <f>Modeloutput!K561</f>
        <v>0</v>
      </c>
      <c r="AU24" s="114">
        <f>Modeloutput!L561</f>
        <v>0</v>
      </c>
      <c r="AV24" s="114">
        <f>Modeloutput!M561</f>
        <v>0</v>
      </c>
      <c r="AW24" s="114">
        <f>Modeloutput!N561</f>
        <v>0</v>
      </c>
      <c r="AX24" s="114">
        <f>Modeloutput!O561</f>
        <v>0</v>
      </c>
      <c r="AY24" s="114">
        <f>Modeloutput!P561</f>
        <v>0</v>
      </c>
      <c r="AZ24" s="24"/>
      <c r="BA24" s="119" t="s">
        <v>14</v>
      </c>
      <c r="BB24" s="114">
        <f>Modeloutput!B816</f>
        <v>0</v>
      </c>
      <c r="BC24" s="114">
        <f>Modeloutput!C816</f>
        <v>0</v>
      </c>
      <c r="BD24" s="114">
        <f>Modeloutput!D816</f>
        <v>0</v>
      </c>
      <c r="BE24" s="114">
        <f>Modeloutput!E816</f>
        <v>0</v>
      </c>
      <c r="BF24" s="114">
        <f>Modeloutput!F816</f>
        <v>0</v>
      </c>
      <c r="BG24" s="114">
        <f>Modeloutput!G816</f>
        <v>0</v>
      </c>
      <c r="BH24" s="114">
        <f>Modeloutput!H816</f>
        <v>0</v>
      </c>
      <c r="BI24" s="114">
        <f>Modeloutput!I816</f>
        <v>0</v>
      </c>
      <c r="BJ24" s="114">
        <f>Modeloutput!J816</f>
        <v>0</v>
      </c>
      <c r="BK24" s="114">
        <f>Modeloutput!K816</f>
        <v>0</v>
      </c>
      <c r="BL24" s="114">
        <f>Modeloutput!L816</f>
        <v>0</v>
      </c>
      <c r="BM24" s="114">
        <f>Modeloutput!M816</f>
        <v>0</v>
      </c>
      <c r="BN24" s="114">
        <f>Modeloutput!N816</f>
        <v>0</v>
      </c>
      <c r="BO24" s="114">
        <f>Modeloutput!O816</f>
        <v>0</v>
      </c>
      <c r="BP24" s="114">
        <f>Modeloutput!P816</f>
        <v>0</v>
      </c>
      <c r="BQ24" s="24"/>
      <c r="BR24" s="119" t="s">
        <v>14</v>
      </c>
      <c r="BS24" s="114">
        <f>Modeloutput!B1071</f>
        <v>0</v>
      </c>
      <c r="BT24" s="114">
        <f>Modeloutput!C1071</f>
        <v>0</v>
      </c>
      <c r="BU24" s="114">
        <f>Modeloutput!D1071</f>
        <v>0</v>
      </c>
      <c r="BV24" s="114">
        <f>Modeloutput!E1071</f>
        <v>0</v>
      </c>
      <c r="BW24" s="114">
        <f>Modeloutput!F1071</f>
        <v>0</v>
      </c>
      <c r="BX24" s="114">
        <f>Modeloutput!G1071</f>
        <v>0</v>
      </c>
      <c r="BY24" s="114">
        <f>Modeloutput!H1071</f>
        <v>0</v>
      </c>
      <c r="BZ24" s="114">
        <f>Modeloutput!I1071</f>
        <v>0</v>
      </c>
      <c r="CA24" s="114">
        <f>Modeloutput!J1071</f>
        <v>0</v>
      </c>
      <c r="CB24" s="114">
        <f>Modeloutput!K1071</f>
        <v>0</v>
      </c>
      <c r="CC24" s="114">
        <f>Modeloutput!L1071</f>
        <v>0</v>
      </c>
      <c r="CD24" s="114">
        <f>Modeloutput!M1071</f>
        <v>0</v>
      </c>
      <c r="CE24" s="114">
        <f>Modeloutput!N1071</f>
        <v>0</v>
      </c>
      <c r="CF24" s="114">
        <f>Modeloutput!O1071</f>
        <v>0</v>
      </c>
      <c r="CG24" s="114">
        <f>Modeloutput!P1071</f>
        <v>0</v>
      </c>
    </row>
    <row r="25" spans="1:85" s="7" customFormat="1" x14ac:dyDescent="0.25">
      <c r="B25" s="28" t="s">
        <v>18</v>
      </c>
      <c r="C25" s="115">
        <f t="shared" ref="C25:Q25" si="0">SUM(C11:C24)</f>
        <v>12.278813379999999</v>
      </c>
      <c r="D25" s="115">
        <f t="shared" si="0"/>
        <v>2.6703739899999999</v>
      </c>
      <c r="E25" s="115">
        <f t="shared" si="0"/>
        <v>9.6084393909999992</v>
      </c>
      <c r="F25" s="115">
        <f t="shared" si="0"/>
        <v>6.25566625</v>
      </c>
      <c r="G25" s="115">
        <f t="shared" si="0"/>
        <v>0</v>
      </c>
      <c r="H25" s="115">
        <f t="shared" si="0"/>
        <v>3.352773145</v>
      </c>
      <c r="I25" s="115">
        <f t="shared" si="0"/>
        <v>0</v>
      </c>
      <c r="J25" s="115">
        <f t="shared" si="0"/>
        <v>0</v>
      </c>
      <c r="K25" s="115">
        <f t="shared" si="0"/>
        <v>0</v>
      </c>
      <c r="L25" s="115">
        <f t="shared" si="0"/>
        <v>2.6703739890000002</v>
      </c>
      <c r="M25" s="115">
        <f t="shared" si="0"/>
        <v>0</v>
      </c>
      <c r="N25" s="115">
        <f t="shared" si="0"/>
        <v>0</v>
      </c>
      <c r="O25" s="115">
        <f t="shared" si="0"/>
        <v>0</v>
      </c>
      <c r="P25" s="115">
        <f t="shared" si="0"/>
        <v>0</v>
      </c>
      <c r="Q25" s="115">
        <f t="shared" si="0"/>
        <v>0</v>
      </c>
      <c r="R25" s="24"/>
      <c r="S25" s="120" t="s">
        <v>18</v>
      </c>
      <c r="T25" s="115">
        <f t="shared" ref="T25:AH25" si="1">SUM(T11:T24)</f>
        <v>12.278813379999999</v>
      </c>
      <c r="U25" s="115">
        <f t="shared" si="1"/>
        <v>2.6703739899999999</v>
      </c>
      <c r="V25" s="115">
        <f t="shared" si="1"/>
        <v>9.6084393909999992</v>
      </c>
      <c r="W25" s="115">
        <f t="shared" si="1"/>
        <v>6.25566625</v>
      </c>
      <c r="X25" s="115">
        <f t="shared" si="1"/>
        <v>0</v>
      </c>
      <c r="Y25" s="115">
        <f t="shared" si="1"/>
        <v>3.352773145</v>
      </c>
      <c r="Z25" s="115">
        <f t="shared" si="1"/>
        <v>0</v>
      </c>
      <c r="AA25" s="115">
        <f t="shared" si="1"/>
        <v>0</v>
      </c>
      <c r="AB25" s="115">
        <f t="shared" si="1"/>
        <v>0</v>
      </c>
      <c r="AC25" s="115">
        <f t="shared" si="1"/>
        <v>2.6703739890000002</v>
      </c>
      <c r="AD25" s="115">
        <f t="shared" si="1"/>
        <v>0</v>
      </c>
      <c r="AE25" s="115">
        <f t="shared" si="1"/>
        <v>0</v>
      </c>
      <c r="AF25" s="115">
        <f t="shared" si="1"/>
        <v>0</v>
      </c>
      <c r="AG25" s="115">
        <f t="shared" si="1"/>
        <v>0</v>
      </c>
      <c r="AH25" s="115">
        <f t="shared" si="1"/>
        <v>0</v>
      </c>
      <c r="AI25" s="24"/>
      <c r="AJ25" s="120" t="s">
        <v>18</v>
      </c>
      <c r="AK25" s="115">
        <f t="shared" ref="AK25:AY25" si="2">SUM(AK11:AK24)</f>
        <v>12.278813379999999</v>
      </c>
      <c r="AL25" s="115">
        <f t="shared" si="2"/>
        <v>2.6703739899999999</v>
      </c>
      <c r="AM25" s="115">
        <f t="shared" si="2"/>
        <v>9.6084393909999992</v>
      </c>
      <c r="AN25" s="115">
        <f t="shared" si="2"/>
        <v>6.25566625</v>
      </c>
      <c r="AO25" s="115">
        <f t="shared" si="2"/>
        <v>0</v>
      </c>
      <c r="AP25" s="115">
        <f t="shared" si="2"/>
        <v>3.352773145</v>
      </c>
      <c r="AQ25" s="115">
        <f t="shared" si="2"/>
        <v>0</v>
      </c>
      <c r="AR25" s="115">
        <f t="shared" si="2"/>
        <v>0</v>
      </c>
      <c r="AS25" s="115">
        <f t="shared" si="2"/>
        <v>0</v>
      </c>
      <c r="AT25" s="115">
        <f t="shared" si="2"/>
        <v>2.6703739890000002</v>
      </c>
      <c r="AU25" s="115">
        <f t="shared" si="2"/>
        <v>0</v>
      </c>
      <c r="AV25" s="115">
        <f t="shared" si="2"/>
        <v>0</v>
      </c>
      <c r="AW25" s="115">
        <f t="shared" si="2"/>
        <v>0</v>
      </c>
      <c r="AX25" s="115">
        <f t="shared" si="2"/>
        <v>0</v>
      </c>
      <c r="AY25" s="115">
        <f t="shared" si="2"/>
        <v>0</v>
      </c>
      <c r="AZ25" s="24"/>
      <c r="BA25" s="120" t="s">
        <v>18</v>
      </c>
      <c r="BB25" s="115">
        <f t="shared" ref="BB25:BP25" si="3">SUM(BB11:BB24)</f>
        <v>12.278813379999999</v>
      </c>
      <c r="BC25" s="115">
        <f t="shared" si="3"/>
        <v>2.6703739899999999</v>
      </c>
      <c r="BD25" s="115">
        <f t="shared" si="3"/>
        <v>9.6084393909999992</v>
      </c>
      <c r="BE25" s="115">
        <f t="shared" si="3"/>
        <v>6.25566625</v>
      </c>
      <c r="BF25" s="115">
        <f t="shared" si="3"/>
        <v>0</v>
      </c>
      <c r="BG25" s="115">
        <f t="shared" si="3"/>
        <v>3.352773145</v>
      </c>
      <c r="BH25" s="115">
        <f t="shared" si="3"/>
        <v>0</v>
      </c>
      <c r="BI25" s="115">
        <f t="shared" si="3"/>
        <v>0</v>
      </c>
      <c r="BJ25" s="115">
        <f t="shared" si="3"/>
        <v>0</v>
      </c>
      <c r="BK25" s="115">
        <f t="shared" si="3"/>
        <v>2.6703739890000002</v>
      </c>
      <c r="BL25" s="115">
        <f t="shared" si="3"/>
        <v>0</v>
      </c>
      <c r="BM25" s="115">
        <f t="shared" si="3"/>
        <v>0</v>
      </c>
      <c r="BN25" s="115">
        <f t="shared" si="3"/>
        <v>0</v>
      </c>
      <c r="BO25" s="115">
        <f t="shared" si="3"/>
        <v>0</v>
      </c>
      <c r="BP25" s="115">
        <f t="shared" si="3"/>
        <v>0</v>
      </c>
      <c r="BQ25" s="24"/>
      <c r="BR25" s="120" t="s">
        <v>18</v>
      </c>
      <c r="BS25" s="115">
        <f t="shared" ref="BS25:CG25" si="4">SUM(BS11:BS24)</f>
        <v>12.278813379999999</v>
      </c>
      <c r="BT25" s="115">
        <f t="shared" si="4"/>
        <v>2.6703739899999999</v>
      </c>
      <c r="BU25" s="115">
        <f t="shared" si="4"/>
        <v>9.6084393909999992</v>
      </c>
      <c r="BV25" s="115">
        <f t="shared" si="4"/>
        <v>6.25566625</v>
      </c>
      <c r="BW25" s="115">
        <f t="shared" si="4"/>
        <v>0</v>
      </c>
      <c r="BX25" s="115">
        <f t="shared" si="4"/>
        <v>3.352773145</v>
      </c>
      <c r="BY25" s="115">
        <f t="shared" si="4"/>
        <v>0</v>
      </c>
      <c r="BZ25" s="115">
        <f t="shared" si="4"/>
        <v>0</v>
      </c>
      <c r="CA25" s="115">
        <f t="shared" si="4"/>
        <v>0</v>
      </c>
      <c r="CB25" s="115">
        <f t="shared" si="4"/>
        <v>2.6703739890000002</v>
      </c>
      <c r="CC25" s="115">
        <f t="shared" si="4"/>
        <v>0</v>
      </c>
      <c r="CD25" s="115">
        <f t="shared" si="4"/>
        <v>0</v>
      </c>
      <c r="CE25" s="115">
        <f t="shared" si="4"/>
        <v>0</v>
      </c>
      <c r="CF25" s="115">
        <f t="shared" si="4"/>
        <v>0</v>
      </c>
      <c r="CG25" s="115">
        <f t="shared" si="4"/>
        <v>0</v>
      </c>
    </row>
    <row r="27" spans="1:85" x14ac:dyDescent="0.25">
      <c r="B27" s="21" t="s">
        <v>3</v>
      </c>
      <c r="C27" s="121">
        <f>SUM(F13:K13)</f>
        <v>4.7156557600000006</v>
      </c>
      <c r="S27" s="121" t="s">
        <v>3</v>
      </c>
      <c r="T27" s="121">
        <f>SUM(W13:AB13)</f>
        <v>4.7156557600000006</v>
      </c>
      <c r="AJ27" s="121" t="s">
        <v>3</v>
      </c>
      <c r="AK27" s="121">
        <f>SUM(AN13:AS13)</f>
        <v>4.7156557600000006</v>
      </c>
      <c r="BA27" s="121" t="s">
        <v>3</v>
      </c>
      <c r="BB27" s="121">
        <f>SUM(BE13:BJ13)</f>
        <v>4.7156557600000006</v>
      </c>
      <c r="BR27" s="121" t="s">
        <v>3</v>
      </c>
      <c r="BS27" s="121">
        <f>SUM(BV13:CA13)</f>
        <v>4.7156557600000006</v>
      </c>
    </row>
    <row r="28" spans="1:85" x14ac:dyDescent="0.25">
      <c r="B28" s="12" t="s">
        <v>38</v>
      </c>
      <c r="C28" s="122">
        <f>SUM(F14:Q14)</f>
        <v>2.7905743200000002</v>
      </c>
      <c r="S28" s="122" t="s">
        <v>38</v>
      </c>
      <c r="T28" s="122">
        <f>SUM(W14:AH14)</f>
        <v>2.7905743200000002</v>
      </c>
      <c r="AJ28" s="122" t="s">
        <v>38</v>
      </c>
      <c r="AK28" s="122">
        <f>SUM(AN14:AY14)</f>
        <v>2.7905743200000002</v>
      </c>
      <c r="BA28" s="122" t="s">
        <v>38</v>
      </c>
      <c r="BB28" s="122">
        <f>SUM(BE14:BP14)</f>
        <v>2.7905743200000002</v>
      </c>
      <c r="BR28" s="122" t="s">
        <v>38</v>
      </c>
      <c r="BS28" s="122">
        <f>SUM(BV14:CG14)</f>
        <v>2.7905743200000002</v>
      </c>
    </row>
    <row r="29" spans="1:85" x14ac:dyDescent="0.25">
      <c r="B29" s="26" t="s">
        <v>39</v>
      </c>
      <c r="C29" s="123">
        <f>SUM(F15:K19)</f>
        <v>2.1022093150000001</v>
      </c>
      <c r="S29" s="123" t="s">
        <v>39</v>
      </c>
      <c r="T29" s="123">
        <f>SUM(W15:AB19)</f>
        <v>2.1022093150000001</v>
      </c>
      <c r="AJ29" s="123" t="s">
        <v>39</v>
      </c>
      <c r="AK29" s="123">
        <f>SUM(AN15:AS19)</f>
        <v>2.1022093150000001</v>
      </c>
      <c r="BA29" s="123" t="s">
        <v>39</v>
      </c>
      <c r="BB29" s="123">
        <f>SUM(BE15:BJ19)</f>
        <v>2.1022093150000001</v>
      </c>
      <c r="BR29" s="123" t="s">
        <v>39</v>
      </c>
      <c r="BS29" s="123">
        <f>SUM(BV15:CA19)</f>
        <v>2.1022093150000001</v>
      </c>
    </row>
    <row r="30" spans="1:85" x14ac:dyDescent="0.25">
      <c r="B30" s="10" t="s">
        <v>40</v>
      </c>
      <c r="C30" s="124">
        <f>SUM(F12:K12)</f>
        <v>0</v>
      </c>
      <c r="S30" s="124" t="s">
        <v>40</v>
      </c>
      <c r="T30" s="124">
        <f>SUM(W12:AB12)</f>
        <v>0</v>
      </c>
      <c r="AJ30" s="124" t="s">
        <v>40</v>
      </c>
      <c r="AK30" s="124">
        <f>SUM(AN12:AS12)</f>
        <v>0</v>
      </c>
      <c r="BA30" s="124" t="s">
        <v>40</v>
      </c>
      <c r="BB30" s="124">
        <f>SUM(BE12:BJ12)</f>
        <v>0</v>
      </c>
      <c r="BR30" s="124" t="s">
        <v>40</v>
      </c>
      <c r="BS30" s="124">
        <f>SUM(BV12:CA12)</f>
        <v>0</v>
      </c>
    </row>
    <row r="31" spans="1:85" x14ac:dyDescent="0.25">
      <c r="B31" s="20" t="s">
        <v>41</v>
      </c>
      <c r="C31" s="125">
        <f>SUM(L13:P13)</f>
        <v>0.56816467900000001</v>
      </c>
      <c r="S31" s="125" t="s">
        <v>41</v>
      </c>
      <c r="T31" s="125">
        <f>SUM(AC13:AG13)</f>
        <v>0.56816467900000001</v>
      </c>
      <c r="AJ31" s="125" t="s">
        <v>41</v>
      </c>
      <c r="AK31" s="125">
        <f>SUM(AT13:AX13)</f>
        <v>0.56816467900000001</v>
      </c>
      <c r="BA31" s="125" t="s">
        <v>41</v>
      </c>
      <c r="BB31" s="125">
        <f>SUM(BK13:BO13)</f>
        <v>0.56816467900000001</v>
      </c>
      <c r="BR31" s="125" t="s">
        <v>41</v>
      </c>
      <c r="BS31" s="125">
        <f>SUM(CB13:CF13)</f>
        <v>0.56816467900000001</v>
      </c>
    </row>
    <row r="32" spans="1:85" ht="21" x14ac:dyDescent="0.35">
      <c r="A32" s="5">
        <v>2020</v>
      </c>
      <c r="R32" s="128">
        <v>2020</v>
      </c>
      <c r="AI32" s="128">
        <v>2020</v>
      </c>
      <c r="AZ32" s="128">
        <v>2020</v>
      </c>
      <c r="BQ32" s="128">
        <v>2020</v>
      </c>
    </row>
    <row r="33" spans="2:85" x14ac:dyDescent="0.25">
      <c r="B33" s="4" t="str">
        <f>$B$6</f>
        <v>ReferentieUtrecht</v>
      </c>
      <c r="S33" s="118" t="str">
        <f>$S$6</f>
        <v>Utrecht_Label B</v>
      </c>
      <c r="AJ33" s="118" t="str">
        <f>$AJ$6</f>
        <v>Utrecht_Label Aplus</v>
      </c>
      <c r="BA33" s="118" t="str">
        <f>BA$6</f>
        <v>Utrecht_Label Aplus, met eWP</v>
      </c>
      <c r="BR33" s="118" t="str">
        <f>BR$6</f>
        <v>Utrecht_Label B_Warmtenetten</v>
      </c>
    </row>
    <row r="34" spans="2:85" x14ac:dyDescent="0.25">
      <c r="C34" s="112" t="s">
        <v>18</v>
      </c>
      <c r="D34" s="112" t="s">
        <v>19</v>
      </c>
      <c r="E34" s="112" t="s">
        <v>20</v>
      </c>
      <c r="F34" s="112" t="s">
        <v>21</v>
      </c>
      <c r="G34" s="112" t="s">
        <v>22</v>
      </c>
      <c r="H34" s="112" t="s">
        <v>23</v>
      </c>
      <c r="I34" s="112" t="s">
        <v>24</v>
      </c>
      <c r="J34" s="112" t="s">
        <v>25</v>
      </c>
      <c r="K34" s="112" t="s">
        <v>26</v>
      </c>
      <c r="L34" s="112" t="s">
        <v>5</v>
      </c>
      <c r="M34" s="112" t="s">
        <v>6</v>
      </c>
      <c r="N34" s="112" t="s">
        <v>7</v>
      </c>
      <c r="O34" s="112" t="s">
        <v>8</v>
      </c>
      <c r="P34" s="112" t="s">
        <v>9</v>
      </c>
      <c r="Q34" s="112" t="s">
        <v>27</v>
      </c>
      <c r="T34" s="112" t="s">
        <v>18</v>
      </c>
      <c r="U34" s="112" t="s">
        <v>19</v>
      </c>
      <c r="V34" s="112" t="s">
        <v>20</v>
      </c>
      <c r="W34" s="112" t="s">
        <v>21</v>
      </c>
      <c r="X34" s="112" t="s">
        <v>22</v>
      </c>
      <c r="Y34" s="112" t="s">
        <v>23</v>
      </c>
      <c r="Z34" s="112" t="s">
        <v>24</v>
      </c>
      <c r="AA34" s="112" t="s">
        <v>25</v>
      </c>
      <c r="AB34" s="112" t="s">
        <v>26</v>
      </c>
      <c r="AC34" s="112" t="s">
        <v>5</v>
      </c>
      <c r="AD34" s="112" t="s">
        <v>6</v>
      </c>
      <c r="AE34" s="112" t="s">
        <v>7</v>
      </c>
      <c r="AF34" s="112" t="s">
        <v>8</v>
      </c>
      <c r="AG34" s="112" t="s">
        <v>9</v>
      </c>
      <c r="AH34" s="112" t="s">
        <v>27</v>
      </c>
      <c r="AK34" s="112" t="s">
        <v>18</v>
      </c>
      <c r="AL34" s="112" t="s">
        <v>19</v>
      </c>
      <c r="AM34" s="112" t="s">
        <v>20</v>
      </c>
      <c r="AN34" s="112" t="s">
        <v>21</v>
      </c>
      <c r="AO34" s="112" t="s">
        <v>22</v>
      </c>
      <c r="AP34" s="112" t="s">
        <v>23</v>
      </c>
      <c r="AQ34" s="112" t="s">
        <v>24</v>
      </c>
      <c r="AR34" s="112" t="s">
        <v>25</v>
      </c>
      <c r="AS34" s="112" t="s">
        <v>26</v>
      </c>
      <c r="AT34" s="112" t="s">
        <v>5</v>
      </c>
      <c r="AU34" s="112" t="s">
        <v>6</v>
      </c>
      <c r="AV34" s="112" t="s">
        <v>7</v>
      </c>
      <c r="AW34" s="112" t="s">
        <v>8</v>
      </c>
      <c r="AX34" s="112" t="s">
        <v>9</v>
      </c>
      <c r="AY34" s="112" t="s">
        <v>27</v>
      </c>
      <c r="BB34" s="112" t="s">
        <v>18</v>
      </c>
      <c r="BC34" s="112" t="s">
        <v>19</v>
      </c>
      <c r="BD34" s="112" t="s">
        <v>20</v>
      </c>
      <c r="BE34" s="112" t="s">
        <v>21</v>
      </c>
      <c r="BF34" s="112" t="s">
        <v>22</v>
      </c>
      <c r="BG34" s="112" t="s">
        <v>23</v>
      </c>
      <c r="BH34" s="112" t="s">
        <v>24</v>
      </c>
      <c r="BI34" s="112" t="s">
        <v>25</v>
      </c>
      <c r="BJ34" s="112" t="s">
        <v>26</v>
      </c>
      <c r="BK34" s="112" t="s">
        <v>5</v>
      </c>
      <c r="BL34" s="112" t="s">
        <v>6</v>
      </c>
      <c r="BM34" s="112" t="s">
        <v>7</v>
      </c>
      <c r="BN34" s="112" t="s">
        <v>8</v>
      </c>
      <c r="BO34" s="112" t="s">
        <v>9</v>
      </c>
      <c r="BP34" s="112" t="s">
        <v>27</v>
      </c>
      <c r="BS34" s="112" t="s">
        <v>18</v>
      </c>
      <c r="BT34" s="112" t="s">
        <v>19</v>
      </c>
      <c r="BU34" s="112" t="s">
        <v>20</v>
      </c>
      <c r="BV34" s="112" t="s">
        <v>21</v>
      </c>
      <c r="BW34" s="112" t="s">
        <v>22</v>
      </c>
      <c r="BX34" s="112" t="s">
        <v>23</v>
      </c>
      <c r="BY34" s="112" t="s">
        <v>24</v>
      </c>
      <c r="BZ34" s="112" t="s">
        <v>25</v>
      </c>
      <c r="CA34" s="112" t="s">
        <v>26</v>
      </c>
      <c r="CB34" s="112" t="s">
        <v>5</v>
      </c>
      <c r="CC34" s="112" t="s">
        <v>6</v>
      </c>
      <c r="CD34" s="112" t="s">
        <v>7</v>
      </c>
      <c r="CE34" s="112" t="s">
        <v>8</v>
      </c>
      <c r="CF34" s="112" t="s">
        <v>9</v>
      </c>
      <c r="CG34" s="112" t="s">
        <v>27</v>
      </c>
    </row>
    <row r="35" spans="2:85" x14ac:dyDescent="0.25">
      <c r="C35" s="112" t="s">
        <v>28</v>
      </c>
      <c r="D35" s="112" t="s">
        <v>28</v>
      </c>
      <c r="E35" s="112" t="s">
        <v>28</v>
      </c>
      <c r="F35" s="112" t="s">
        <v>28</v>
      </c>
      <c r="G35" s="112" t="s">
        <v>28</v>
      </c>
      <c r="H35" s="112" t="s">
        <v>28</v>
      </c>
      <c r="I35" s="112" t="s">
        <v>28</v>
      </c>
      <c r="J35" s="112" t="s">
        <v>28</v>
      </c>
      <c r="K35" s="112" t="s">
        <v>28</v>
      </c>
      <c r="L35" s="112" t="s">
        <v>28</v>
      </c>
      <c r="M35" s="112" t="s">
        <v>28</v>
      </c>
      <c r="N35" s="112" t="s">
        <v>28</v>
      </c>
      <c r="O35" s="112" t="s">
        <v>28</v>
      </c>
      <c r="P35" s="112" t="s">
        <v>28</v>
      </c>
      <c r="Q35" s="112" t="s">
        <v>28</v>
      </c>
      <c r="T35" s="112" t="s">
        <v>28</v>
      </c>
      <c r="U35" s="112" t="s">
        <v>28</v>
      </c>
      <c r="V35" s="112" t="s">
        <v>28</v>
      </c>
      <c r="W35" s="112" t="s">
        <v>28</v>
      </c>
      <c r="X35" s="112" t="s">
        <v>28</v>
      </c>
      <c r="Y35" s="112" t="s">
        <v>28</v>
      </c>
      <c r="Z35" s="112" t="s">
        <v>28</v>
      </c>
      <c r="AA35" s="112" t="s">
        <v>28</v>
      </c>
      <c r="AB35" s="112" t="s">
        <v>28</v>
      </c>
      <c r="AC35" s="112" t="s">
        <v>28</v>
      </c>
      <c r="AD35" s="112" t="s">
        <v>28</v>
      </c>
      <c r="AE35" s="112" t="s">
        <v>28</v>
      </c>
      <c r="AF35" s="112" t="s">
        <v>28</v>
      </c>
      <c r="AG35" s="112" t="s">
        <v>28</v>
      </c>
      <c r="AH35" s="112" t="s">
        <v>28</v>
      </c>
      <c r="AK35" s="112" t="s">
        <v>28</v>
      </c>
      <c r="AL35" s="112" t="s">
        <v>28</v>
      </c>
      <c r="AM35" s="112" t="s">
        <v>28</v>
      </c>
      <c r="AN35" s="112" t="s">
        <v>28</v>
      </c>
      <c r="AO35" s="112" t="s">
        <v>28</v>
      </c>
      <c r="AP35" s="112" t="s">
        <v>28</v>
      </c>
      <c r="AQ35" s="112" t="s">
        <v>28</v>
      </c>
      <c r="AR35" s="112" t="s">
        <v>28</v>
      </c>
      <c r="AS35" s="112" t="s">
        <v>28</v>
      </c>
      <c r="AT35" s="112" t="s">
        <v>28</v>
      </c>
      <c r="AU35" s="112" t="s">
        <v>28</v>
      </c>
      <c r="AV35" s="112" t="s">
        <v>28</v>
      </c>
      <c r="AW35" s="112" t="s">
        <v>28</v>
      </c>
      <c r="AX35" s="112" t="s">
        <v>28</v>
      </c>
      <c r="AY35" s="112" t="s">
        <v>28</v>
      </c>
      <c r="BB35" s="112" t="s">
        <v>28</v>
      </c>
      <c r="BC35" s="112" t="s">
        <v>28</v>
      </c>
      <c r="BD35" s="112" t="s">
        <v>28</v>
      </c>
      <c r="BE35" s="112" t="s">
        <v>28</v>
      </c>
      <c r="BF35" s="112" t="s">
        <v>28</v>
      </c>
      <c r="BG35" s="112" t="s">
        <v>28</v>
      </c>
      <c r="BH35" s="112" t="s">
        <v>28</v>
      </c>
      <c r="BI35" s="112" t="s">
        <v>28</v>
      </c>
      <c r="BJ35" s="112" t="s">
        <v>28</v>
      </c>
      <c r="BK35" s="112" t="s">
        <v>28</v>
      </c>
      <c r="BL35" s="112" t="s">
        <v>28</v>
      </c>
      <c r="BM35" s="112" t="s">
        <v>28</v>
      </c>
      <c r="BN35" s="112" t="s">
        <v>28</v>
      </c>
      <c r="BO35" s="112" t="s">
        <v>28</v>
      </c>
      <c r="BP35" s="112" t="s">
        <v>28</v>
      </c>
      <c r="BS35" s="112" t="s">
        <v>28</v>
      </c>
      <c r="BT35" s="112" t="s">
        <v>28</v>
      </c>
      <c r="BU35" s="112" t="s">
        <v>28</v>
      </c>
      <c r="BV35" s="112" t="s">
        <v>28</v>
      </c>
      <c r="BW35" s="112" t="s">
        <v>28</v>
      </c>
      <c r="BX35" s="112" t="s">
        <v>28</v>
      </c>
      <c r="BY35" s="112" t="s">
        <v>28</v>
      </c>
      <c r="BZ35" s="112" t="s">
        <v>28</v>
      </c>
      <c r="CA35" s="112" t="s">
        <v>28</v>
      </c>
      <c r="CB35" s="112" t="s">
        <v>28</v>
      </c>
      <c r="CC35" s="112" t="s">
        <v>28</v>
      </c>
      <c r="CD35" s="112" t="s">
        <v>28</v>
      </c>
      <c r="CE35" s="112" t="s">
        <v>28</v>
      </c>
      <c r="CF35" s="112" t="s">
        <v>28</v>
      </c>
      <c r="CG35" s="112" t="s">
        <v>28</v>
      </c>
    </row>
    <row r="36" spans="2:85" s="7" customFormat="1" x14ac:dyDescent="0.25">
      <c r="B36" s="7" t="s">
        <v>1</v>
      </c>
      <c r="C36" s="114">
        <f>Modeloutput!B89</f>
        <v>0</v>
      </c>
      <c r="D36" s="114">
        <f>Modeloutput!C89</f>
        <v>0</v>
      </c>
      <c r="E36" s="114">
        <f>Modeloutput!D89</f>
        <v>0</v>
      </c>
      <c r="F36" s="114">
        <f>Modeloutput!E89</f>
        <v>0</v>
      </c>
      <c r="G36" s="114">
        <f>Modeloutput!F89</f>
        <v>0</v>
      </c>
      <c r="H36" s="114">
        <f>Modeloutput!G89</f>
        <v>0</v>
      </c>
      <c r="I36" s="114">
        <f>Modeloutput!H89</f>
        <v>0</v>
      </c>
      <c r="J36" s="114">
        <f>Modeloutput!I89</f>
        <v>0</v>
      </c>
      <c r="K36" s="114">
        <f>Modeloutput!J89</f>
        <v>0</v>
      </c>
      <c r="L36" s="114">
        <f>Modeloutput!K89</f>
        <v>0</v>
      </c>
      <c r="M36" s="114">
        <f>Modeloutput!L89</f>
        <v>0</v>
      </c>
      <c r="N36" s="114">
        <f>Modeloutput!M89</f>
        <v>0</v>
      </c>
      <c r="O36" s="114">
        <f>Modeloutput!N89</f>
        <v>0</v>
      </c>
      <c r="P36" s="114">
        <f>Modeloutput!O89</f>
        <v>0</v>
      </c>
      <c r="Q36" s="114">
        <f>Modeloutput!P89</f>
        <v>0</v>
      </c>
      <c r="R36" s="24"/>
      <c r="S36" s="119" t="s">
        <v>1</v>
      </c>
      <c r="T36" s="114">
        <f>Modeloutput!B344</f>
        <v>0</v>
      </c>
      <c r="U36" s="114">
        <f>Modeloutput!C344</f>
        <v>0</v>
      </c>
      <c r="V36" s="114">
        <f>Modeloutput!D344</f>
        <v>0</v>
      </c>
      <c r="W36" s="114">
        <f>Modeloutput!E344</f>
        <v>0</v>
      </c>
      <c r="X36" s="114">
        <f>Modeloutput!F344</f>
        <v>0</v>
      </c>
      <c r="Y36" s="114">
        <f>Modeloutput!G344</f>
        <v>0</v>
      </c>
      <c r="Z36" s="114">
        <f>Modeloutput!H344</f>
        <v>0</v>
      </c>
      <c r="AA36" s="114">
        <f>Modeloutput!I344</f>
        <v>0</v>
      </c>
      <c r="AB36" s="114">
        <f>Modeloutput!J344</f>
        <v>0</v>
      </c>
      <c r="AC36" s="114">
        <f>Modeloutput!K344</f>
        <v>0</v>
      </c>
      <c r="AD36" s="114">
        <f>Modeloutput!L344</f>
        <v>0</v>
      </c>
      <c r="AE36" s="114">
        <f>Modeloutput!M344</f>
        <v>0</v>
      </c>
      <c r="AF36" s="114">
        <f>Modeloutput!N344</f>
        <v>0</v>
      </c>
      <c r="AG36" s="114">
        <f>Modeloutput!O344</f>
        <v>0</v>
      </c>
      <c r="AH36" s="114">
        <f>Modeloutput!P344</f>
        <v>0</v>
      </c>
      <c r="AI36" s="24"/>
      <c r="AJ36" s="119" t="s">
        <v>1</v>
      </c>
      <c r="AK36" s="93">
        <f>Modeloutput!B599</f>
        <v>0</v>
      </c>
      <c r="AL36" s="93">
        <f>Modeloutput!C599</f>
        <v>0</v>
      </c>
      <c r="AM36" s="93">
        <f>Modeloutput!D599</f>
        <v>0</v>
      </c>
      <c r="AN36" s="93">
        <f>Modeloutput!E599</f>
        <v>0</v>
      </c>
      <c r="AO36" s="93">
        <f>Modeloutput!F599</f>
        <v>0</v>
      </c>
      <c r="AP36" s="93">
        <f>Modeloutput!G599</f>
        <v>0</v>
      </c>
      <c r="AQ36" s="93">
        <f>Modeloutput!H599</f>
        <v>0</v>
      </c>
      <c r="AR36" s="93">
        <f>Modeloutput!I599</f>
        <v>0</v>
      </c>
      <c r="AS36" s="93">
        <f>Modeloutput!J599</f>
        <v>0</v>
      </c>
      <c r="AT36" s="93">
        <f>Modeloutput!K599</f>
        <v>0</v>
      </c>
      <c r="AU36" s="93">
        <f>Modeloutput!L599</f>
        <v>0</v>
      </c>
      <c r="AV36" s="93">
        <f>Modeloutput!M599</f>
        <v>0</v>
      </c>
      <c r="AW36" s="93">
        <f>Modeloutput!N599</f>
        <v>0</v>
      </c>
      <c r="AX36" s="93">
        <f>Modeloutput!O599</f>
        <v>0</v>
      </c>
      <c r="AY36" s="93">
        <f>Modeloutput!P599</f>
        <v>0</v>
      </c>
      <c r="AZ36" s="24"/>
      <c r="BA36" s="119" t="s">
        <v>1</v>
      </c>
      <c r="BB36" s="114">
        <f>Modeloutput!B854</f>
        <v>0</v>
      </c>
      <c r="BC36" s="114">
        <f>Modeloutput!C854</f>
        <v>0</v>
      </c>
      <c r="BD36" s="114">
        <f>Modeloutput!D854</f>
        <v>0</v>
      </c>
      <c r="BE36" s="114">
        <f>Modeloutput!E854</f>
        <v>0</v>
      </c>
      <c r="BF36" s="114">
        <f>Modeloutput!F854</f>
        <v>0</v>
      </c>
      <c r="BG36" s="114">
        <f>Modeloutput!G854</f>
        <v>0</v>
      </c>
      <c r="BH36" s="114">
        <f>Modeloutput!H854</f>
        <v>0</v>
      </c>
      <c r="BI36" s="114">
        <f>Modeloutput!I854</f>
        <v>0</v>
      </c>
      <c r="BJ36" s="114">
        <f>Modeloutput!J854</f>
        <v>0</v>
      </c>
      <c r="BK36" s="114">
        <f>Modeloutput!K854</f>
        <v>0</v>
      </c>
      <c r="BL36" s="114">
        <f>Modeloutput!L854</f>
        <v>0</v>
      </c>
      <c r="BM36" s="114">
        <f>Modeloutput!M854</f>
        <v>0</v>
      </c>
      <c r="BN36" s="114">
        <f>Modeloutput!N854</f>
        <v>0</v>
      </c>
      <c r="BO36" s="114">
        <f>Modeloutput!O854</f>
        <v>0</v>
      </c>
      <c r="BP36" s="114">
        <f>Modeloutput!P854</f>
        <v>0</v>
      </c>
      <c r="BQ36" s="24"/>
      <c r="BR36" s="119" t="s">
        <v>1</v>
      </c>
      <c r="BS36" s="114">
        <f>Modeloutput!B1109</f>
        <v>0</v>
      </c>
      <c r="BT36" s="114">
        <f>Modeloutput!C1109</f>
        <v>0</v>
      </c>
      <c r="BU36" s="114">
        <f>Modeloutput!D1109</f>
        <v>0</v>
      </c>
      <c r="BV36" s="114">
        <f>Modeloutput!E1109</f>
        <v>0</v>
      </c>
      <c r="BW36" s="114">
        <f>Modeloutput!F1109</f>
        <v>0</v>
      </c>
      <c r="BX36" s="114">
        <f>Modeloutput!G1109</f>
        <v>0</v>
      </c>
      <c r="BY36" s="114">
        <f>Modeloutput!H1109</f>
        <v>0</v>
      </c>
      <c r="BZ36" s="114">
        <f>Modeloutput!I1109</f>
        <v>0</v>
      </c>
      <c r="CA36" s="114">
        <f>Modeloutput!J1109</f>
        <v>0</v>
      </c>
      <c r="CB36" s="114">
        <f>Modeloutput!K1109</f>
        <v>0</v>
      </c>
      <c r="CC36" s="114">
        <f>Modeloutput!L1109</f>
        <v>0</v>
      </c>
      <c r="CD36" s="114">
        <f>Modeloutput!M1109</f>
        <v>0</v>
      </c>
      <c r="CE36" s="114">
        <f>Modeloutput!N1109</f>
        <v>0</v>
      </c>
      <c r="CF36" s="114">
        <f>Modeloutput!O1109</f>
        <v>0</v>
      </c>
      <c r="CG36" s="114">
        <f>Modeloutput!P1109</f>
        <v>0</v>
      </c>
    </row>
    <row r="37" spans="2:85" s="7" customFormat="1" x14ac:dyDescent="0.25">
      <c r="B37" s="7" t="s">
        <v>2</v>
      </c>
      <c r="C37" s="114">
        <f>Modeloutput!B90</f>
        <v>2.2625091199999998</v>
      </c>
      <c r="D37" s="114">
        <f>Modeloutput!C90</f>
        <v>0</v>
      </c>
      <c r="E37" s="114">
        <f>Modeloutput!D90</f>
        <v>2.2625091199999998</v>
      </c>
      <c r="F37" s="114">
        <f>Modeloutput!E90</f>
        <v>0</v>
      </c>
      <c r="G37" s="114">
        <f>Modeloutput!F90</f>
        <v>0</v>
      </c>
      <c r="H37" s="114">
        <f>Modeloutput!G90</f>
        <v>0</v>
      </c>
      <c r="I37" s="114">
        <f>Modeloutput!H90</f>
        <v>0</v>
      </c>
      <c r="J37" s="114">
        <f>Modeloutput!I90</f>
        <v>0</v>
      </c>
      <c r="K37" s="114">
        <f>Modeloutput!J90</f>
        <v>0</v>
      </c>
      <c r="L37" s="114">
        <f>Modeloutput!K90</f>
        <v>2.2625091199999998</v>
      </c>
      <c r="M37" s="114">
        <f>Modeloutput!L90</f>
        <v>0</v>
      </c>
      <c r="N37" s="114">
        <f>Modeloutput!M90</f>
        <v>0</v>
      </c>
      <c r="O37" s="114">
        <f>Modeloutput!N90</f>
        <v>0</v>
      </c>
      <c r="P37" s="114">
        <f>Modeloutput!O90</f>
        <v>0</v>
      </c>
      <c r="Q37" s="114">
        <f>Modeloutput!P90</f>
        <v>0</v>
      </c>
      <c r="R37" s="24"/>
      <c r="S37" s="119" t="s">
        <v>2</v>
      </c>
      <c r="T37" s="114">
        <f>Modeloutput!B345</f>
        <v>1.65682942</v>
      </c>
      <c r="U37" s="114">
        <f>Modeloutput!C345</f>
        <v>0</v>
      </c>
      <c r="V37" s="114">
        <f>Modeloutput!D345</f>
        <v>1.65682942</v>
      </c>
      <c r="W37" s="114">
        <f>Modeloutput!E345</f>
        <v>0</v>
      </c>
      <c r="X37" s="114">
        <f>Modeloutput!F345</f>
        <v>0</v>
      </c>
      <c r="Y37" s="114">
        <f>Modeloutput!G345</f>
        <v>0</v>
      </c>
      <c r="Z37" s="114">
        <f>Modeloutput!H345</f>
        <v>0</v>
      </c>
      <c r="AA37" s="114">
        <f>Modeloutput!I345</f>
        <v>0</v>
      </c>
      <c r="AB37" s="114">
        <f>Modeloutput!J345</f>
        <v>0</v>
      </c>
      <c r="AC37" s="114">
        <f>Modeloutput!K345</f>
        <v>1.65682942</v>
      </c>
      <c r="AD37" s="114">
        <f>Modeloutput!L345</f>
        <v>0</v>
      </c>
      <c r="AE37" s="114">
        <f>Modeloutput!M345</f>
        <v>0</v>
      </c>
      <c r="AF37" s="114">
        <f>Modeloutput!N345</f>
        <v>0</v>
      </c>
      <c r="AG37" s="114">
        <f>Modeloutput!O345</f>
        <v>0</v>
      </c>
      <c r="AH37" s="114">
        <f>Modeloutput!P345</f>
        <v>0</v>
      </c>
      <c r="AI37" s="24"/>
      <c r="AJ37" s="119" t="s">
        <v>2</v>
      </c>
      <c r="AK37" s="93">
        <f>Modeloutput!B600</f>
        <v>1.1483841100000001</v>
      </c>
      <c r="AL37" s="93">
        <f>Modeloutput!C600</f>
        <v>0</v>
      </c>
      <c r="AM37" s="93">
        <f>Modeloutput!D600</f>
        <v>1.1483841100000001</v>
      </c>
      <c r="AN37" s="93">
        <f>Modeloutput!E600</f>
        <v>0</v>
      </c>
      <c r="AO37" s="93">
        <f>Modeloutput!F600</f>
        <v>0</v>
      </c>
      <c r="AP37" s="93">
        <f>Modeloutput!G600</f>
        <v>0</v>
      </c>
      <c r="AQ37" s="93">
        <f>Modeloutput!H600</f>
        <v>0</v>
      </c>
      <c r="AR37" s="93">
        <f>Modeloutput!I600</f>
        <v>0</v>
      </c>
      <c r="AS37" s="93">
        <f>Modeloutput!J600</f>
        <v>0</v>
      </c>
      <c r="AT37" s="93">
        <f>Modeloutput!K600</f>
        <v>1.1483841100000001</v>
      </c>
      <c r="AU37" s="93">
        <f>Modeloutput!L600</f>
        <v>0</v>
      </c>
      <c r="AV37" s="93">
        <f>Modeloutput!M600</f>
        <v>0</v>
      </c>
      <c r="AW37" s="93">
        <f>Modeloutput!N600</f>
        <v>0</v>
      </c>
      <c r="AX37" s="93">
        <f>Modeloutput!O600</f>
        <v>0</v>
      </c>
      <c r="AY37" s="93">
        <f>Modeloutput!P600</f>
        <v>0</v>
      </c>
      <c r="AZ37" s="24"/>
      <c r="BA37" s="119" t="s">
        <v>2</v>
      </c>
      <c r="BB37" s="114">
        <f>Modeloutput!B855</f>
        <v>2.2809532699999999</v>
      </c>
      <c r="BC37" s="114">
        <f>Modeloutput!C855</f>
        <v>0</v>
      </c>
      <c r="BD37" s="114">
        <f>Modeloutput!D855</f>
        <v>2.2809532699999999</v>
      </c>
      <c r="BE37" s="114">
        <f>Modeloutput!E855</f>
        <v>0</v>
      </c>
      <c r="BF37" s="114">
        <f>Modeloutput!F855</f>
        <v>0</v>
      </c>
      <c r="BG37" s="114">
        <f>Modeloutput!G855</f>
        <v>0</v>
      </c>
      <c r="BH37" s="114">
        <f>Modeloutput!H855</f>
        <v>0</v>
      </c>
      <c r="BI37" s="114">
        <f>Modeloutput!I855</f>
        <v>0</v>
      </c>
      <c r="BJ37" s="114">
        <f>Modeloutput!J855</f>
        <v>0</v>
      </c>
      <c r="BK37" s="114">
        <f>Modeloutput!K855</f>
        <v>2.2809532699999999</v>
      </c>
      <c r="BL37" s="114">
        <f>Modeloutput!L855</f>
        <v>0</v>
      </c>
      <c r="BM37" s="114">
        <f>Modeloutput!M855</f>
        <v>0</v>
      </c>
      <c r="BN37" s="114">
        <f>Modeloutput!N855</f>
        <v>0</v>
      </c>
      <c r="BO37" s="114">
        <f>Modeloutput!O855</f>
        <v>0</v>
      </c>
      <c r="BP37" s="114">
        <f>Modeloutput!P855</f>
        <v>0</v>
      </c>
      <c r="BQ37" s="24"/>
      <c r="BR37" s="119" t="s">
        <v>2</v>
      </c>
      <c r="BS37" s="114">
        <f>Modeloutput!B1110</f>
        <v>4.8263879100000002</v>
      </c>
      <c r="BT37" s="114">
        <f>Modeloutput!C1110</f>
        <v>0</v>
      </c>
      <c r="BU37" s="114">
        <f>Modeloutput!D1110</f>
        <v>4.8263879100000002</v>
      </c>
      <c r="BV37" s="114">
        <f>Modeloutput!E1110</f>
        <v>0</v>
      </c>
      <c r="BW37" s="114">
        <f>Modeloutput!F1110</f>
        <v>0</v>
      </c>
      <c r="BX37" s="114">
        <f>Modeloutput!G1110</f>
        <v>0</v>
      </c>
      <c r="BY37" s="114">
        <f>Modeloutput!H1110</f>
        <v>0</v>
      </c>
      <c r="BZ37" s="114">
        <f>Modeloutput!I1110</f>
        <v>0</v>
      </c>
      <c r="CA37" s="114">
        <f>Modeloutput!J1110</f>
        <v>0</v>
      </c>
      <c r="CB37" s="114">
        <f>Modeloutput!K1110</f>
        <v>3.29877917</v>
      </c>
      <c r="CC37" s="114">
        <f>Modeloutput!L1110</f>
        <v>1.52760874</v>
      </c>
      <c r="CD37" s="114">
        <f>Modeloutput!M1110</f>
        <v>0</v>
      </c>
      <c r="CE37" s="114">
        <f>Modeloutput!N1110</f>
        <v>0</v>
      </c>
      <c r="CF37" s="114">
        <f>Modeloutput!O1110</f>
        <v>0</v>
      </c>
      <c r="CG37" s="114">
        <f>Modeloutput!P1110</f>
        <v>0</v>
      </c>
    </row>
    <row r="38" spans="2:85" s="7" customFormat="1" x14ac:dyDescent="0.25">
      <c r="B38" s="7" t="s">
        <v>3</v>
      </c>
      <c r="C38" s="114">
        <f>Modeloutput!B91</f>
        <v>4.7779425800000004</v>
      </c>
      <c r="D38" s="114">
        <f>Modeloutput!C91</f>
        <v>0</v>
      </c>
      <c r="E38" s="114">
        <f>Modeloutput!D91</f>
        <v>4.7779425800000004</v>
      </c>
      <c r="F38" s="114">
        <f>Modeloutput!E91</f>
        <v>3.1137658899999998</v>
      </c>
      <c r="G38" s="114">
        <f>Modeloutput!F91</f>
        <v>8.9167111699999992E-3</v>
      </c>
      <c r="H38" s="114">
        <f>Modeloutput!G91</f>
        <v>1.0419479700000001</v>
      </c>
      <c r="I38" s="114">
        <f>Modeloutput!H91</f>
        <v>1.82305708E-3</v>
      </c>
      <c r="J38" s="114">
        <f>Modeloutput!I91</f>
        <v>0</v>
      </c>
      <c r="K38" s="114">
        <f>Modeloutput!J91</f>
        <v>0</v>
      </c>
      <c r="L38" s="114">
        <f>Modeloutput!K91</f>
        <v>0.61148895199999997</v>
      </c>
      <c r="M38" s="114">
        <f>Modeloutput!L91</f>
        <v>0</v>
      </c>
      <c r="N38" s="114">
        <f>Modeloutput!M91</f>
        <v>0</v>
      </c>
      <c r="O38" s="114">
        <f>Modeloutput!N91</f>
        <v>0</v>
      </c>
      <c r="P38" s="114">
        <f>Modeloutput!O91</f>
        <v>0</v>
      </c>
      <c r="Q38" s="114">
        <f>Modeloutput!P91</f>
        <v>0</v>
      </c>
      <c r="R38" s="24"/>
      <c r="S38" s="119" t="s">
        <v>3</v>
      </c>
      <c r="T38" s="114">
        <f>Modeloutput!B346</f>
        <v>3.6519476399999999</v>
      </c>
      <c r="U38" s="114">
        <f>Modeloutput!C346</f>
        <v>0</v>
      </c>
      <c r="V38" s="114">
        <f>Modeloutput!D346</f>
        <v>3.6519476399999999</v>
      </c>
      <c r="W38" s="114">
        <f>Modeloutput!E346</f>
        <v>2.6041502400000001</v>
      </c>
      <c r="X38" s="114">
        <f>Modeloutput!F346</f>
        <v>1.04135446E-2</v>
      </c>
      <c r="Y38" s="114">
        <f>Modeloutput!G346</f>
        <v>0.58776905899999998</v>
      </c>
      <c r="Z38" s="114">
        <f>Modeloutput!H346</f>
        <v>1.82305708E-3</v>
      </c>
      <c r="AA38" s="114">
        <f>Modeloutput!I346</f>
        <v>0</v>
      </c>
      <c r="AB38" s="114">
        <f>Modeloutput!J346</f>
        <v>0</v>
      </c>
      <c r="AC38" s="114">
        <f>Modeloutput!K346</f>
        <v>0.44779173500000002</v>
      </c>
      <c r="AD38" s="114">
        <f>Modeloutput!L346</f>
        <v>0</v>
      </c>
      <c r="AE38" s="114">
        <f>Modeloutput!M346</f>
        <v>0</v>
      </c>
      <c r="AF38" s="114">
        <f>Modeloutput!N346</f>
        <v>0</v>
      </c>
      <c r="AG38" s="114">
        <f>Modeloutput!O346</f>
        <v>0</v>
      </c>
      <c r="AH38" s="114">
        <f>Modeloutput!P346</f>
        <v>0</v>
      </c>
      <c r="AI38" s="24"/>
      <c r="AJ38" s="119" t="s">
        <v>3</v>
      </c>
      <c r="AK38" s="93">
        <f>Modeloutput!B601</f>
        <v>0.92821056899999999</v>
      </c>
      <c r="AL38" s="93">
        <f>Modeloutput!C601</f>
        <v>0</v>
      </c>
      <c r="AM38" s="93">
        <f>Modeloutput!D601</f>
        <v>0.92821056899999999</v>
      </c>
      <c r="AN38" s="93">
        <f>Modeloutput!E601</f>
        <v>0.43671623999999998</v>
      </c>
      <c r="AO38" s="93">
        <f>Modeloutput!F601</f>
        <v>6.7362455700000004E-3</v>
      </c>
      <c r="AP38" s="93">
        <f>Modeloutput!G601</f>
        <v>0.17256094299999999</v>
      </c>
      <c r="AQ38" s="93">
        <f>Modeloutput!H601</f>
        <v>1.82305708E-3</v>
      </c>
      <c r="AR38" s="93">
        <f>Modeloutput!I601</f>
        <v>0</v>
      </c>
      <c r="AS38" s="93">
        <f>Modeloutput!J601</f>
        <v>0</v>
      </c>
      <c r="AT38" s="93">
        <f>Modeloutput!K601</f>
        <v>0.31037408300000002</v>
      </c>
      <c r="AU38" s="93">
        <f>Modeloutput!L601</f>
        <v>0</v>
      </c>
      <c r="AV38" s="93">
        <f>Modeloutput!M601</f>
        <v>0</v>
      </c>
      <c r="AW38" s="93">
        <f>Modeloutput!N601</f>
        <v>0</v>
      </c>
      <c r="AX38" s="93">
        <f>Modeloutput!O601</f>
        <v>0</v>
      </c>
      <c r="AY38" s="93">
        <f>Modeloutput!P601</f>
        <v>0</v>
      </c>
      <c r="AZ38" s="24"/>
      <c r="BA38" s="119" t="s">
        <v>3</v>
      </c>
      <c r="BB38" s="114">
        <f>Modeloutput!B856</f>
        <v>0.61647385799999999</v>
      </c>
      <c r="BC38" s="114">
        <f>Modeloutput!C856</f>
        <v>0</v>
      </c>
      <c r="BD38" s="114">
        <f>Modeloutput!D856</f>
        <v>0.61647385799999999</v>
      </c>
      <c r="BE38" s="114">
        <f>Modeloutput!E856</f>
        <v>0</v>
      </c>
      <c r="BF38" s="114">
        <f>Modeloutput!F856</f>
        <v>0</v>
      </c>
      <c r="BG38" s="114">
        <f>Modeloutput!G856</f>
        <v>0</v>
      </c>
      <c r="BH38" s="114">
        <f>Modeloutput!H856</f>
        <v>0</v>
      </c>
      <c r="BI38" s="114">
        <f>Modeloutput!I856</f>
        <v>0</v>
      </c>
      <c r="BJ38" s="114">
        <f>Modeloutput!J856</f>
        <v>0</v>
      </c>
      <c r="BK38" s="114">
        <f>Modeloutput!K856</f>
        <v>0.61647385799999999</v>
      </c>
      <c r="BL38" s="114">
        <f>Modeloutput!L856</f>
        <v>0</v>
      </c>
      <c r="BM38" s="114">
        <f>Modeloutput!M856</f>
        <v>0</v>
      </c>
      <c r="BN38" s="114">
        <f>Modeloutput!N856</f>
        <v>0</v>
      </c>
      <c r="BO38" s="114">
        <f>Modeloutput!O856</f>
        <v>0</v>
      </c>
      <c r="BP38" s="114">
        <f>Modeloutput!P856</f>
        <v>0</v>
      </c>
      <c r="BQ38" s="24"/>
      <c r="BR38" s="119" t="s">
        <v>3</v>
      </c>
      <c r="BS38" s="114">
        <f>Modeloutput!B1111</f>
        <v>1.3173186400000001</v>
      </c>
      <c r="BT38" s="114">
        <f>Modeloutput!C1111</f>
        <v>0</v>
      </c>
      <c r="BU38" s="114">
        <f>Modeloutput!D1111</f>
        <v>1.3173186400000001</v>
      </c>
      <c r="BV38" s="114">
        <f>Modeloutput!E1111</f>
        <v>1.1395166999999999E-2</v>
      </c>
      <c r="BW38" s="114">
        <f>Modeloutput!F1111</f>
        <v>2.5273556799999998E-4</v>
      </c>
      <c r="BX38" s="114">
        <f>Modeloutput!G1111</f>
        <v>1.2415756200000001E-3</v>
      </c>
      <c r="BY38" s="114">
        <f>Modeloutput!H1111</f>
        <v>0</v>
      </c>
      <c r="BZ38" s="114">
        <f>Modeloutput!I1111</f>
        <v>0</v>
      </c>
      <c r="CA38" s="114">
        <f>Modeloutput!J1111</f>
        <v>0</v>
      </c>
      <c r="CB38" s="114">
        <f>Modeloutput!K1111</f>
        <v>0.89156193800000005</v>
      </c>
      <c r="CC38" s="114">
        <f>Modeloutput!L1111</f>
        <v>0.41286722799999998</v>
      </c>
      <c r="CD38" s="114">
        <f>Modeloutput!M1111</f>
        <v>0</v>
      </c>
      <c r="CE38" s="114">
        <f>Modeloutput!N1111</f>
        <v>0</v>
      </c>
      <c r="CF38" s="114">
        <f>Modeloutput!O1111</f>
        <v>0</v>
      </c>
      <c r="CG38" s="114">
        <f>Modeloutput!P1111</f>
        <v>0</v>
      </c>
    </row>
    <row r="39" spans="2:85" s="7" customFormat="1" x14ac:dyDescent="0.25">
      <c r="B39" s="7" t="s">
        <v>4</v>
      </c>
      <c r="C39" s="114">
        <f>Modeloutput!B92</f>
        <v>3.13394672</v>
      </c>
      <c r="D39" s="114">
        <f>Modeloutput!C92</f>
        <v>0</v>
      </c>
      <c r="E39" s="114">
        <f>Modeloutput!D92</f>
        <v>3.13394672</v>
      </c>
      <c r="F39" s="114">
        <f>Modeloutput!E92</f>
        <v>1.4315866399999999</v>
      </c>
      <c r="G39" s="114">
        <f>Modeloutput!F92</f>
        <v>0.21387187699999999</v>
      </c>
      <c r="H39" s="114">
        <f>Modeloutput!G92</f>
        <v>1.33701198</v>
      </c>
      <c r="I39" s="114">
        <f>Modeloutput!H92</f>
        <v>6.6501678800000005E-2</v>
      </c>
      <c r="J39" s="114">
        <f>Modeloutput!I92</f>
        <v>0</v>
      </c>
      <c r="K39" s="114">
        <f>Modeloutput!J92</f>
        <v>0</v>
      </c>
      <c r="L39" s="114">
        <f>Modeloutput!K92</f>
        <v>0</v>
      </c>
      <c r="M39" s="114">
        <f>Modeloutput!L92</f>
        <v>0</v>
      </c>
      <c r="N39" s="114">
        <f>Modeloutput!M92</f>
        <v>8.4974541200000003E-2</v>
      </c>
      <c r="O39" s="114">
        <f>Modeloutput!N92</f>
        <v>0</v>
      </c>
      <c r="P39" s="114">
        <f>Modeloutput!O92</f>
        <v>0</v>
      </c>
      <c r="Q39" s="114">
        <f>Modeloutput!P92</f>
        <v>0</v>
      </c>
      <c r="R39" s="24"/>
      <c r="S39" s="119" t="s">
        <v>4</v>
      </c>
      <c r="T39" s="114">
        <f>Modeloutput!B347</f>
        <v>3.1334118399999999</v>
      </c>
      <c r="U39" s="114">
        <f>Modeloutput!C347</f>
        <v>0</v>
      </c>
      <c r="V39" s="114">
        <f>Modeloutput!D347</f>
        <v>3.1334118399999999</v>
      </c>
      <c r="W39" s="114">
        <f>Modeloutput!E347</f>
        <v>1.4315866399999999</v>
      </c>
      <c r="X39" s="114">
        <f>Modeloutput!F347</f>
        <v>0.21387187699999999</v>
      </c>
      <c r="Y39" s="114">
        <f>Modeloutput!G347</f>
        <v>1.3369979000000001</v>
      </c>
      <c r="Z39" s="114">
        <f>Modeloutput!H347</f>
        <v>6.6501678800000005E-2</v>
      </c>
      <c r="AA39" s="114">
        <f>Modeloutput!I347</f>
        <v>0</v>
      </c>
      <c r="AB39" s="114">
        <f>Modeloutput!J347</f>
        <v>0</v>
      </c>
      <c r="AC39" s="114">
        <f>Modeloutput!K347</f>
        <v>0</v>
      </c>
      <c r="AD39" s="114">
        <f>Modeloutput!L347</f>
        <v>0</v>
      </c>
      <c r="AE39" s="114">
        <f>Modeloutput!M347</f>
        <v>8.4453747300000007E-2</v>
      </c>
      <c r="AF39" s="114">
        <f>Modeloutput!N347</f>
        <v>0</v>
      </c>
      <c r="AG39" s="114">
        <f>Modeloutput!O347</f>
        <v>0</v>
      </c>
      <c r="AH39" s="114">
        <f>Modeloutput!P347</f>
        <v>0</v>
      </c>
      <c r="AI39" s="24"/>
      <c r="AJ39" s="119" t="s">
        <v>4</v>
      </c>
      <c r="AK39" s="93">
        <f>Modeloutput!B602</f>
        <v>3.6672349099999999</v>
      </c>
      <c r="AL39" s="93">
        <f>Modeloutput!C602</f>
        <v>0</v>
      </c>
      <c r="AM39" s="93">
        <f>Modeloutput!D602</f>
        <v>3.6672349099999999</v>
      </c>
      <c r="AN39" s="93">
        <f>Modeloutput!E602</f>
        <v>1.4315866399999999</v>
      </c>
      <c r="AO39" s="93">
        <f>Modeloutput!F602</f>
        <v>0.21387187699999999</v>
      </c>
      <c r="AP39" s="93">
        <f>Modeloutput!G602</f>
        <v>1.3014465200000001</v>
      </c>
      <c r="AQ39" s="93">
        <f>Modeloutput!H602</f>
        <v>6.6501678800000005E-2</v>
      </c>
      <c r="AR39" s="93">
        <f>Modeloutput!I602</f>
        <v>0</v>
      </c>
      <c r="AS39" s="93">
        <f>Modeloutput!J602</f>
        <v>0</v>
      </c>
      <c r="AT39" s="93">
        <f>Modeloutput!K602</f>
        <v>0</v>
      </c>
      <c r="AU39" s="93">
        <f>Modeloutput!L602</f>
        <v>0</v>
      </c>
      <c r="AV39" s="93">
        <f>Modeloutput!M602</f>
        <v>0.65382818799999998</v>
      </c>
      <c r="AW39" s="93">
        <f>Modeloutput!N602</f>
        <v>0</v>
      </c>
      <c r="AX39" s="93">
        <f>Modeloutput!O602</f>
        <v>0</v>
      </c>
      <c r="AY39" s="93">
        <f>Modeloutput!P602</f>
        <v>0</v>
      </c>
      <c r="AZ39" s="24"/>
      <c r="BA39" s="119" t="s">
        <v>4</v>
      </c>
      <c r="BB39" s="114">
        <f>Modeloutput!B857</f>
        <v>3.46359562</v>
      </c>
      <c r="BC39" s="114">
        <f>Modeloutput!C857</f>
        <v>0</v>
      </c>
      <c r="BD39" s="114">
        <f>Modeloutput!D857</f>
        <v>3.46359562</v>
      </c>
      <c r="BE39" s="114">
        <f>Modeloutput!E857</f>
        <v>1.73640025</v>
      </c>
      <c r="BF39" s="114">
        <f>Modeloutput!F857</f>
        <v>0.24962928200000001</v>
      </c>
      <c r="BG39" s="114">
        <f>Modeloutput!G857</f>
        <v>1.3992899999999999</v>
      </c>
      <c r="BH39" s="114">
        <f>Modeloutput!H857</f>
        <v>7.82760822E-2</v>
      </c>
      <c r="BI39" s="114">
        <f>Modeloutput!I857</f>
        <v>0</v>
      </c>
      <c r="BJ39" s="114">
        <f>Modeloutput!J857</f>
        <v>0</v>
      </c>
      <c r="BK39" s="114">
        <f>Modeloutput!K857</f>
        <v>0</v>
      </c>
      <c r="BL39" s="114">
        <f>Modeloutput!L857</f>
        <v>0</v>
      </c>
      <c r="BM39" s="114">
        <f>Modeloutput!M857</f>
        <v>0</v>
      </c>
      <c r="BN39" s="114">
        <f>Modeloutput!N857</f>
        <v>0</v>
      </c>
      <c r="BO39" s="114">
        <f>Modeloutput!O857</f>
        <v>0</v>
      </c>
      <c r="BP39" s="114">
        <f>Modeloutput!P857</f>
        <v>0</v>
      </c>
      <c r="BQ39" s="24"/>
      <c r="BR39" s="119" t="s">
        <v>4</v>
      </c>
      <c r="BS39" s="114">
        <f>Modeloutput!B1112</f>
        <v>3.0640865100000001</v>
      </c>
      <c r="BT39" s="114">
        <f>Modeloutput!C1112</f>
        <v>0</v>
      </c>
      <c r="BU39" s="114">
        <f>Modeloutput!D1112</f>
        <v>3.0640865100000001</v>
      </c>
      <c r="BV39" s="114">
        <f>Modeloutput!E1112</f>
        <v>1.4315866399999999</v>
      </c>
      <c r="BW39" s="114">
        <f>Modeloutput!F1112</f>
        <v>0.21387187699999999</v>
      </c>
      <c r="BX39" s="114">
        <f>Modeloutput!G1112</f>
        <v>1.3429660999999999</v>
      </c>
      <c r="BY39" s="114">
        <f>Modeloutput!H1112</f>
        <v>7.4894239400000007E-2</v>
      </c>
      <c r="BZ39" s="114">
        <f>Modeloutput!I1112</f>
        <v>0</v>
      </c>
      <c r="CA39" s="114">
        <f>Modeloutput!J1112</f>
        <v>0</v>
      </c>
      <c r="CB39" s="114">
        <f>Modeloutput!K1112</f>
        <v>0</v>
      </c>
      <c r="CC39" s="114">
        <f>Modeloutput!L1112</f>
        <v>0</v>
      </c>
      <c r="CD39" s="114">
        <f>Modeloutput!M1112</f>
        <v>7.67662084E-4</v>
      </c>
      <c r="CE39" s="114">
        <f>Modeloutput!N1112</f>
        <v>0</v>
      </c>
      <c r="CF39" s="114">
        <f>Modeloutput!O1112</f>
        <v>0</v>
      </c>
      <c r="CG39" s="114">
        <f>Modeloutput!P1112</f>
        <v>0</v>
      </c>
    </row>
    <row r="40" spans="2:85" s="7" customFormat="1" x14ac:dyDescent="0.25">
      <c r="B40" s="7" t="s">
        <v>5</v>
      </c>
      <c r="C40" s="114">
        <f>Modeloutput!B93</f>
        <v>2.2625091199999998</v>
      </c>
      <c r="D40" s="114">
        <f>Modeloutput!C93</f>
        <v>2.8739980799999998</v>
      </c>
      <c r="E40" s="114">
        <f>Modeloutput!D93</f>
        <v>-0.61148895199999997</v>
      </c>
      <c r="F40" s="114">
        <f>Modeloutput!E93</f>
        <v>1.2570249200000001</v>
      </c>
      <c r="G40" s="114">
        <f>Modeloutput!F93</f>
        <v>0.19939332400000001</v>
      </c>
      <c r="H40" s="114">
        <f>Modeloutput!G93</f>
        <v>0.79183212999999997</v>
      </c>
      <c r="I40" s="114">
        <f>Modeloutput!H93</f>
        <v>1.4258748200000001E-2</v>
      </c>
      <c r="J40" s="114">
        <f>Modeloutput!I93</f>
        <v>0</v>
      </c>
      <c r="K40" s="114">
        <f>Modeloutput!J93</f>
        <v>0</v>
      </c>
      <c r="L40" s="114">
        <f>Modeloutput!K93</f>
        <v>0</v>
      </c>
      <c r="M40" s="114">
        <f>Modeloutput!L93</f>
        <v>0</v>
      </c>
      <c r="N40" s="114">
        <f>Modeloutput!M93</f>
        <v>0</v>
      </c>
      <c r="O40" s="114">
        <f>Modeloutput!N93</f>
        <v>0</v>
      </c>
      <c r="P40" s="114">
        <f>Modeloutput!O93</f>
        <v>0</v>
      </c>
      <c r="Q40" s="114">
        <f>Modeloutput!P93</f>
        <v>0</v>
      </c>
      <c r="R40" s="24"/>
      <c r="S40" s="119" t="s">
        <v>5</v>
      </c>
      <c r="T40" s="114">
        <f>Modeloutput!B348</f>
        <v>1.65682942</v>
      </c>
      <c r="U40" s="114">
        <f>Modeloutput!C348</f>
        <v>2.1046211499999998</v>
      </c>
      <c r="V40" s="114">
        <f>Modeloutput!D348</f>
        <v>-0.44779173500000002</v>
      </c>
      <c r="W40" s="114">
        <f>Modeloutput!E348</f>
        <v>1.09612943</v>
      </c>
      <c r="X40" s="114">
        <f>Modeloutput!F348</f>
        <v>0.19939332400000001</v>
      </c>
      <c r="Y40" s="114">
        <f>Modeloutput!G348</f>
        <v>0.34704791899999998</v>
      </c>
      <c r="Z40" s="114">
        <f>Modeloutput!H348</f>
        <v>1.4258748200000001E-2</v>
      </c>
      <c r="AA40" s="114">
        <f>Modeloutput!I348</f>
        <v>0</v>
      </c>
      <c r="AB40" s="114">
        <f>Modeloutput!J348</f>
        <v>0</v>
      </c>
      <c r="AC40" s="114">
        <f>Modeloutput!K348</f>
        <v>0</v>
      </c>
      <c r="AD40" s="114">
        <f>Modeloutput!L348</f>
        <v>0</v>
      </c>
      <c r="AE40" s="114">
        <f>Modeloutput!M348</f>
        <v>0</v>
      </c>
      <c r="AF40" s="114">
        <f>Modeloutput!N348</f>
        <v>0</v>
      </c>
      <c r="AG40" s="114">
        <f>Modeloutput!O348</f>
        <v>0</v>
      </c>
      <c r="AH40" s="114">
        <f>Modeloutput!P348</f>
        <v>0</v>
      </c>
      <c r="AI40" s="24"/>
      <c r="AJ40" s="119" t="s">
        <v>5</v>
      </c>
      <c r="AK40" s="93">
        <f>Modeloutput!B603</f>
        <v>1.1483841100000001</v>
      </c>
      <c r="AL40" s="93">
        <f>Modeloutput!C603</f>
        <v>1.45875819</v>
      </c>
      <c r="AM40" s="93">
        <f>Modeloutput!D603</f>
        <v>-0.31037408300000002</v>
      </c>
      <c r="AN40" s="93">
        <f>Modeloutput!E603</f>
        <v>0.71949479100000002</v>
      </c>
      <c r="AO40" s="93">
        <f>Modeloutput!F603</f>
        <v>0.19939332400000001</v>
      </c>
      <c r="AP40" s="93">
        <f>Modeloutput!G603</f>
        <v>0.21523724399999999</v>
      </c>
      <c r="AQ40" s="93">
        <f>Modeloutput!H603</f>
        <v>1.4258748200000001E-2</v>
      </c>
      <c r="AR40" s="93">
        <f>Modeloutput!I603</f>
        <v>0</v>
      </c>
      <c r="AS40" s="93">
        <f>Modeloutput!J603</f>
        <v>0</v>
      </c>
      <c r="AT40" s="93">
        <f>Modeloutput!K603</f>
        <v>0</v>
      </c>
      <c r="AU40" s="93">
        <f>Modeloutput!L603</f>
        <v>0</v>
      </c>
      <c r="AV40" s="93">
        <f>Modeloutput!M603</f>
        <v>0</v>
      </c>
      <c r="AW40" s="93">
        <f>Modeloutput!N603</f>
        <v>0</v>
      </c>
      <c r="AX40" s="93">
        <f>Modeloutput!O603</f>
        <v>0</v>
      </c>
      <c r="AY40" s="93">
        <f>Modeloutput!P603</f>
        <v>0</v>
      </c>
      <c r="AZ40" s="24"/>
      <c r="BA40" s="119" t="s">
        <v>5</v>
      </c>
      <c r="BB40" s="114">
        <f>Modeloutput!B858</f>
        <v>2.2809532699999999</v>
      </c>
      <c r="BC40" s="114">
        <f>Modeloutput!C858</f>
        <v>2.8974271300000001</v>
      </c>
      <c r="BD40" s="114">
        <f>Modeloutput!D858</f>
        <v>-0.61647385799999999</v>
      </c>
      <c r="BE40" s="114">
        <f>Modeloutput!E858</f>
        <v>1.27546907</v>
      </c>
      <c r="BF40" s="114">
        <f>Modeloutput!F858</f>
        <v>0.19939332400000001</v>
      </c>
      <c r="BG40" s="114">
        <f>Modeloutput!G858</f>
        <v>0.79183212999999997</v>
      </c>
      <c r="BH40" s="114">
        <f>Modeloutput!H858</f>
        <v>1.4258748200000001E-2</v>
      </c>
      <c r="BI40" s="114">
        <f>Modeloutput!I858</f>
        <v>0</v>
      </c>
      <c r="BJ40" s="114">
        <f>Modeloutput!J858</f>
        <v>0</v>
      </c>
      <c r="BK40" s="114">
        <f>Modeloutput!K858</f>
        <v>0</v>
      </c>
      <c r="BL40" s="114">
        <f>Modeloutput!L858</f>
        <v>0</v>
      </c>
      <c r="BM40" s="114">
        <f>Modeloutput!M858</f>
        <v>0</v>
      </c>
      <c r="BN40" s="114">
        <f>Modeloutput!N858</f>
        <v>0</v>
      </c>
      <c r="BO40" s="114">
        <f>Modeloutput!O858</f>
        <v>0</v>
      </c>
      <c r="BP40" s="114">
        <f>Modeloutput!P858</f>
        <v>0</v>
      </c>
      <c r="BQ40" s="24"/>
      <c r="BR40" s="119" t="s">
        <v>5</v>
      </c>
      <c r="BS40" s="114">
        <f>Modeloutput!B1113</f>
        <v>3.29877917</v>
      </c>
      <c r="BT40" s="114">
        <f>Modeloutput!C1113</f>
        <v>4.1903411100000003</v>
      </c>
      <c r="BU40" s="114">
        <f>Modeloutput!D1113</f>
        <v>-0.89156193800000005</v>
      </c>
      <c r="BV40" s="114">
        <f>Modeloutput!E1113</f>
        <v>2.2614853699999999</v>
      </c>
      <c r="BW40" s="114">
        <f>Modeloutput!F1113</f>
        <v>0.284582797</v>
      </c>
      <c r="BX40" s="114">
        <f>Modeloutput!G1113</f>
        <v>0.73393136599999997</v>
      </c>
      <c r="BY40" s="114">
        <f>Modeloutput!H1113</f>
        <v>1.87796348E-2</v>
      </c>
      <c r="BZ40" s="114">
        <f>Modeloutput!I1113</f>
        <v>0</v>
      </c>
      <c r="CA40" s="114">
        <f>Modeloutput!J1113</f>
        <v>0</v>
      </c>
      <c r="CB40" s="114">
        <f>Modeloutput!K1113</f>
        <v>0</v>
      </c>
      <c r="CC40" s="114">
        <f>Modeloutput!L1113</f>
        <v>0</v>
      </c>
      <c r="CD40" s="114">
        <f>Modeloutput!M1113</f>
        <v>0</v>
      </c>
      <c r="CE40" s="114">
        <f>Modeloutput!N1113</f>
        <v>0</v>
      </c>
      <c r="CF40" s="114">
        <f>Modeloutput!O1113</f>
        <v>0</v>
      </c>
      <c r="CG40" s="114">
        <f>Modeloutput!P1113</f>
        <v>0</v>
      </c>
    </row>
    <row r="41" spans="2:85" s="7" customFormat="1" x14ac:dyDescent="0.25">
      <c r="B41" s="7" t="s">
        <v>6</v>
      </c>
      <c r="C41" s="114">
        <f>Modeloutput!B94</f>
        <v>0</v>
      </c>
      <c r="D41" s="114">
        <f>Modeloutput!C94</f>
        <v>0</v>
      </c>
      <c r="E41" s="114">
        <f>Modeloutput!D94</f>
        <v>0</v>
      </c>
      <c r="F41" s="114">
        <f>Modeloutput!E94</f>
        <v>0</v>
      </c>
      <c r="G41" s="114">
        <f>Modeloutput!F94</f>
        <v>0</v>
      </c>
      <c r="H41" s="114">
        <f>Modeloutput!G94</f>
        <v>0</v>
      </c>
      <c r="I41" s="114">
        <f>Modeloutput!H94</f>
        <v>0</v>
      </c>
      <c r="J41" s="114">
        <f>Modeloutput!I94</f>
        <v>0</v>
      </c>
      <c r="K41" s="114">
        <f>Modeloutput!J94</f>
        <v>0</v>
      </c>
      <c r="L41" s="114">
        <f>Modeloutput!K94</f>
        <v>0</v>
      </c>
      <c r="M41" s="114">
        <f>Modeloutput!L94</f>
        <v>0</v>
      </c>
      <c r="N41" s="114">
        <f>Modeloutput!M94</f>
        <v>0</v>
      </c>
      <c r="O41" s="114">
        <f>Modeloutput!N94</f>
        <v>0</v>
      </c>
      <c r="P41" s="114">
        <f>Modeloutput!O94</f>
        <v>0</v>
      </c>
      <c r="Q41" s="114">
        <f>Modeloutput!P94</f>
        <v>0</v>
      </c>
      <c r="R41" s="24"/>
      <c r="S41" s="119" t="s">
        <v>6</v>
      </c>
      <c r="T41" s="114">
        <f>Modeloutput!B349</f>
        <v>0</v>
      </c>
      <c r="U41" s="114">
        <f>Modeloutput!C349</f>
        <v>0</v>
      </c>
      <c r="V41" s="114">
        <f>Modeloutput!D349</f>
        <v>0</v>
      </c>
      <c r="W41" s="114">
        <f>Modeloutput!E349</f>
        <v>0</v>
      </c>
      <c r="X41" s="114">
        <f>Modeloutput!F349</f>
        <v>0</v>
      </c>
      <c r="Y41" s="114">
        <f>Modeloutput!G349</f>
        <v>0</v>
      </c>
      <c r="Z41" s="114">
        <f>Modeloutput!H349</f>
        <v>0</v>
      </c>
      <c r="AA41" s="114">
        <f>Modeloutput!I349</f>
        <v>0</v>
      </c>
      <c r="AB41" s="114">
        <f>Modeloutput!J349</f>
        <v>0</v>
      </c>
      <c r="AC41" s="114">
        <f>Modeloutput!K349</f>
        <v>0</v>
      </c>
      <c r="AD41" s="114">
        <f>Modeloutput!L349</f>
        <v>0</v>
      </c>
      <c r="AE41" s="114">
        <f>Modeloutput!M349</f>
        <v>0</v>
      </c>
      <c r="AF41" s="114">
        <f>Modeloutput!N349</f>
        <v>0</v>
      </c>
      <c r="AG41" s="114">
        <f>Modeloutput!O349</f>
        <v>0</v>
      </c>
      <c r="AH41" s="114">
        <f>Modeloutput!P349</f>
        <v>0</v>
      </c>
      <c r="AI41" s="24"/>
      <c r="AJ41" s="119" t="s">
        <v>6</v>
      </c>
      <c r="AK41" s="93">
        <f>Modeloutput!B604</f>
        <v>0</v>
      </c>
      <c r="AL41" s="93">
        <f>Modeloutput!C604</f>
        <v>0</v>
      </c>
      <c r="AM41" s="93">
        <f>Modeloutput!D604</f>
        <v>0</v>
      </c>
      <c r="AN41" s="93">
        <f>Modeloutput!E604</f>
        <v>0</v>
      </c>
      <c r="AO41" s="93">
        <f>Modeloutput!F604</f>
        <v>0</v>
      </c>
      <c r="AP41" s="93">
        <f>Modeloutput!G604</f>
        <v>0</v>
      </c>
      <c r="AQ41" s="93">
        <f>Modeloutput!H604</f>
        <v>0</v>
      </c>
      <c r="AR41" s="93">
        <f>Modeloutput!I604</f>
        <v>0</v>
      </c>
      <c r="AS41" s="93">
        <f>Modeloutput!J604</f>
        <v>0</v>
      </c>
      <c r="AT41" s="93">
        <f>Modeloutput!K604</f>
        <v>0</v>
      </c>
      <c r="AU41" s="93">
        <f>Modeloutput!L604</f>
        <v>0</v>
      </c>
      <c r="AV41" s="93">
        <f>Modeloutput!M604</f>
        <v>0</v>
      </c>
      <c r="AW41" s="93">
        <f>Modeloutput!N604</f>
        <v>0</v>
      </c>
      <c r="AX41" s="93">
        <f>Modeloutput!O604</f>
        <v>0</v>
      </c>
      <c r="AY41" s="93">
        <f>Modeloutput!P604</f>
        <v>0</v>
      </c>
      <c r="AZ41" s="24"/>
      <c r="BA41" s="119" t="s">
        <v>6</v>
      </c>
      <c r="BB41" s="114">
        <f>Modeloutput!B859</f>
        <v>0</v>
      </c>
      <c r="BC41" s="114">
        <f>Modeloutput!C859</f>
        <v>0</v>
      </c>
      <c r="BD41" s="114">
        <f>Modeloutput!D859</f>
        <v>0</v>
      </c>
      <c r="BE41" s="114">
        <f>Modeloutput!E859</f>
        <v>0</v>
      </c>
      <c r="BF41" s="114">
        <f>Modeloutput!F859</f>
        <v>0</v>
      </c>
      <c r="BG41" s="114">
        <f>Modeloutput!G859</f>
        <v>0</v>
      </c>
      <c r="BH41" s="114">
        <f>Modeloutput!H859</f>
        <v>0</v>
      </c>
      <c r="BI41" s="114">
        <f>Modeloutput!I859</f>
        <v>0</v>
      </c>
      <c r="BJ41" s="114">
        <f>Modeloutput!J859</f>
        <v>0</v>
      </c>
      <c r="BK41" s="114">
        <f>Modeloutput!K859</f>
        <v>0</v>
      </c>
      <c r="BL41" s="114">
        <f>Modeloutput!L859</f>
        <v>0</v>
      </c>
      <c r="BM41" s="114">
        <f>Modeloutput!M859</f>
        <v>0</v>
      </c>
      <c r="BN41" s="114">
        <f>Modeloutput!N859</f>
        <v>0</v>
      </c>
      <c r="BO41" s="114">
        <f>Modeloutput!O859</f>
        <v>0</v>
      </c>
      <c r="BP41" s="114">
        <f>Modeloutput!P859</f>
        <v>0</v>
      </c>
      <c r="BQ41" s="24"/>
      <c r="BR41" s="119" t="s">
        <v>6</v>
      </c>
      <c r="BS41" s="114">
        <f>Modeloutput!B1114</f>
        <v>1.52760874</v>
      </c>
      <c r="BT41" s="114">
        <f>Modeloutput!C1114</f>
        <v>1.94047597</v>
      </c>
      <c r="BU41" s="114">
        <f>Modeloutput!D1114</f>
        <v>-0.41286722799999998</v>
      </c>
      <c r="BV41" s="114">
        <f>Modeloutput!E1114</f>
        <v>1.1986816899999999</v>
      </c>
      <c r="BW41" s="114">
        <f>Modeloutput!F1114</f>
        <v>8.9551763899999998E-2</v>
      </c>
      <c r="BX41" s="114">
        <f>Modeloutput!G1114</f>
        <v>0.22733162500000001</v>
      </c>
      <c r="BY41" s="114">
        <f>Modeloutput!H1114</f>
        <v>1.20436603E-2</v>
      </c>
      <c r="BZ41" s="114">
        <f>Modeloutput!I1114</f>
        <v>0</v>
      </c>
      <c r="CA41" s="114">
        <f>Modeloutput!J1114</f>
        <v>0</v>
      </c>
      <c r="CB41" s="114">
        <f>Modeloutput!K1114</f>
        <v>0</v>
      </c>
      <c r="CC41" s="114">
        <f>Modeloutput!L1114</f>
        <v>0</v>
      </c>
      <c r="CD41" s="114">
        <f>Modeloutput!M1114</f>
        <v>0</v>
      </c>
      <c r="CE41" s="114">
        <f>Modeloutput!N1114</f>
        <v>0</v>
      </c>
      <c r="CF41" s="114">
        <f>Modeloutput!O1114</f>
        <v>0</v>
      </c>
      <c r="CG41" s="114">
        <f>Modeloutput!P1114</f>
        <v>0</v>
      </c>
    </row>
    <row r="42" spans="2:85" s="7" customFormat="1" x14ac:dyDescent="0.25">
      <c r="B42" s="7" t="s">
        <v>7</v>
      </c>
      <c r="C42" s="114">
        <f>Modeloutput!B95</f>
        <v>0.21875103400000001</v>
      </c>
      <c r="D42" s="114">
        <f>Modeloutput!C95</f>
        <v>8.4974541200000003E-2</v>
      </c>
      <c r="E42" s="114">
        <f>Modeloutput!D95</f>
        <v>0.133776492</v>
      </c>
      <c r="F42" s="114">
        <f>Modeloutput!E95</f>
        <v>0</v>
      </c>
      <c r="G42" s="114">
        <f>Modeloutput!F95</f>
        <v>0.16793754899999999</v>
      </c>
      <c r="H42" s="114">
        <f>Modeloutput!G95</f>
        <v>3.5589051699999999E-2</v>
      </c>
      <c r="I42" s="114">
        <f>Modeloutput!H95</f>
        <v>1.52244331E-2</v>
      </c>
      <c r="J42" s="114">
        <f>Modeloutput!I95</f>
        <v>0</v>
      </c>
      <c r="K42" s="114">
        <f>Modeloutput!J95</f>
        <v>0</v>
      </c>
      <c r="L42" s="114">
        <f>Modeloutput!K95</f>
        <v>0</v>
      </c>
      <c r="M42" s="114">
        <f>Modeloutput!L95</f>
        <v>0</v>
      </c>
      <c r="N42" s="114">
        <f>Modeloutput!M95</f>
        <v>0</v>
      </c>
      <c r="O42" s="114">
        <f>Modeloutput!N95</f>
        <v>0</v>
      </c>
      <c r="P42" s="114">
        <f>Modeloutput!O95</f>
        <v>0</v>
      </c>
      <c r="Q42" s="114">
        <f>Modeloutput!P95</f>
        <v>0</v>
      </c>
      <c r="R42" s="24"/>
      <c r="S42" s="119" t="s">
        <v>7</v>
      </c>
      <c r="T42" s="114">
        <f>Modeloutput!B350</f>
        <v>0.217389836</v>
      </c>
      <c r="U42" s="114">
        <f>Modeloutput!C350</f>
        <v>8.4453747300000007E-2</v>
      </c>
      <c r="V42" s="114">
        <f>Modeloutput!D350</f>
        <v>0.13293608900000001</v>
      </c>
      <c r="W42" s="114">
        <f>Modeloutput!E350</f>
        <v>0</v>
      </c>
      <c r="X42" s="114">
        <f>Modeloutput!F350</f>
        <v>0.16657696599999999</v>
      </c>
      <c r="Y42" s="114">
        <f>Modeloutput!G350</f>
        <v>3.5588437200000003E-2</v>
      </c>
      <c r="Z42" s="114">
        <f>Modeloutput!H350</f>
        <v>1.52244331E-2</v>
      </c>
      <c r="AA42" s="114">
        <f>Modeloutput!I350</f>
        <v>0</v>
      </c>
      <c r="AB42" s="114">
        <f>Modeloutput!J350</f>
        <v>0</v>
      </c>
      <c r="AC42" s="114">
        <f>Modeloutput!K350</f>
        <v>0</v>
      </c>
      <c r="AD42" s="114">
        <f>Modeloutput!L350</f>
        <v>0</v>
      </c>
      <c r="AE42" s="114">
        <f>Modeloutput!M350</f>
        <v>0</v>
      </c>
      <c r="AF42" s="114">
        <f>Modeloutput!N350</f>
        <v>0</v>
      </c>
      <c r="AG42" s="114">
        <f>Modeloutput!O350</f>
        <v>0</v>
      </c>
      <c r="AH42" s="114">
        <f>Modeloutput!P350</f>
        <v>0</v>
      </c>
      <c r="AI42" s="24"/>
      <c r="AJ42" s="119" t="s">
        <v>7</v>
      </c>
      <c r="AK42" s="93">
        <f>Modeloutput!B605</f>
        <v>1.5893170299999999</v>
      </c>
      <c r="AL42" s="93">
        <f>Modeloutput!C605</f>
        <v>0.65382818799999998</v>
      </c>
      <c r="AM42" s="93">
        <f>Modeloutput!D605</f>
        <v>0.93548884600000004</v>
      </c>
      <c r="AN42" s="93">
        <f>Modeloutput!E605</f>
        <v>1.18787413</v>
      </c>
      <c r="AO42" s="93">
        <f>Modeloutput!F605</f>
        <v>0.169921871</v>
      </c>
      <c r="AP42" s="93">
        <f>Modeloutput!G605</f>
        <v>0.216296601</v>
      </c>
      <c r="AQ42" s="93">
        <f>Modeloutput!H605</f>
        <v>1.52244331E-2</v>
      </c>
      <c r="AR42" s="93">
        <f>Modeloutput!I605</f>
        <v>0</v>
      </c>
      <c r="AS42" s="93">
        <f>Modeloutput!J605</f>
        <v>0</v>
      </c>
      <c r="AT42" s="93">
        <f>Modeloutput!K605</f>
        <v>0</v>
      </c>
      <c r="AU42" s="93">
        <f>Modeloutput!L605</f>
        <v>0</v>
      </c>
      <c r="AV42" s="93">
        <f>Modeloutput!M605</f>
        <v>0</v>
      </c>
      <c r="AW42" s="93">
        <f>Modeloutput!N605</f>
        <v>0</v>
      </c>
      <c r="AX42" s="93">
        <f>Modeloutput!O605</f>
        <v>0</v>
      </c>
      <c r="AY42" s="93">
        <f>Modeloutput!P605</f>
        <v>0</v>
      </c>
      <c r="AZ42" s="24"/>
      <c r="BA42" s="119" t="s">
        <v>7</v>
      </c>
      <c r="BB42" s="114">
        <f>Modeloutput!B860</f>
        <v>0</v>
      </c>
      <c r="BC42" s="114">
        <f>Modeloutput!C860</f>
        <v>0</v>
      </c>
      <c r="BD42" s="114">
        <f>Modeloutput!D860</f>
        <v>0</v>
      </c>
      <c r="BE42" s="114">
        <f>Modeloutput!E860</f>
        <v>0</v>
      </c>
      <c r="BF42" s="114">
        <f>Modeloutput!F860</f>
        <v>0</v>
      </c>
      <c r="BG42" s="114">
        <f>Modeloutput!G860</f>
        <v>0</v>
      </c>
      <c r="BH42" s="114">
        <f>Modeloutput!H860</f>
        <v>0</v>
      </c>
      <c r="BI42" s="114">
        <f>Modeloutput!I860</f>
        <v>0</v>
      </c>
      <c r="BJ42" s="114">
        <f>Modeloutput!J860</f>
        <v>0</v>
      </c>
      <c r="BK42" s="114">
        <f>Modeloutput!K860</f>
        <v>0</v>
      </c>
      <c r="BL42" s="114">
        <f>Modeloutput!L860</f>
        <v>0</v>
      </c>
      <c r="BM42" s="114">
        <f>Modeloutput!M860</f>
        <v>0</v>
      </c>
      <c r="BN42" s="114">
        <f>Modeloutput!N860</f>
        <v>0</v>
      </c>
      <c r="BO42" s="114">
        <f>Modeloutput!O860</f>
        <v>0</v>
      </c>
      <c r="BP42" s="114">
        <f>Modeloutput!P860</f>
        <v>0</v>
      </c>
      <c r="BQ42" s="24"/>
      <c r="BR42" s="119" t="s">
        <v>7</v>
      </c>
      <c r="BS42" s="114">
        <f>Modeloutput!B1115</f>
        <v>1.9785222700000001E-3</v>
      </c>
      <c r="BT42" s="114">
        <f>Modeloutput!C1115</f>
        <v>7.67662084E-4</v>
      </c>
      <c r="BU42" s="114">
        <f>Modeloutput!D1115</f>
        <v>1.2108601899999999E-3</v>
      </c>
      <c r="BV42" s="114">
        <f>Modeloutput!E1115</f>
        <v>0</v>
      </c>
      <c r="BW42" s="114">
        <f>Modeloutput!F1115</f>
        <v>1.0450801499999999E-3</v>
      </c>
      <c r="BX42" s="114">
        <f>Modeloutput!G1115</f>
        <v>4.9044288199999995E-4</v>
      </c>
      <c r="BY42" s="114">
        <f>Modeloutput!H1115</f>
        <v>4.4299924400000002E-4</v>
      </c>
      <c r="BZ42" s="114">
        <f>Modeloutput!I1115</f>
        <v>0</v>
      </c>
      <c r="CA42" s="114">
        <f>Modeloutput!J1115</f>
        <v>0</v>
      </c>
      <c r="CB42" s="114">
        <f>Modeloutput!K1115</f>
        <v>0</v>
      </c>
      <c r="CC42" s="114">
        <f>Modeloutput!L1115</f>
        <v>0</v>
      </c>
      <c r="CD42" s="114">
        <f>Modeloutput!M1115</f>
        <v>0</v>
      </c>
      <c r="CE42" s="114">
        <f>Modeloutput!N1115</f>
        <v>0</v>
      </c>
      <c r="CF42" s="114">
        <f>Modeloutput!O1115</f>
        <v>0</v>
      </c>
      <c r="CG42" s="114">
        <f>Modeloutput!P1115</f>
        <v>0</v>
      </c>
    </row>
    <row r="43" spans="2:85" s="7" customFormat="1" x14ac:dyDescent="0.25">
      <c r="B43" s="7" t="s">
        <v>8</v>
      </c>
      <c r="C43" s="114">
        <f>Modeloutput!B96</f>
        <v>0</v>
      </c>
      <c r="D43" s="114">
        <f>Modeloutput!C96</f>
        <v>0</v>
      </c>
      <c r="E43" s="114">
        <f>Modeloutput!D96</f>
        <v>0</v>
      </c>
      <c r="F43" s="114">
        <f>Modeloutput!E96</f>
        <v>0</v>
      </c>
      <c r="G43" s="114">
        <f>Modeloutput!F96</f>
        <v>0</v>
      </c>
      <c r="H43" s="114">
        <f>Modeloutput!G96</f>
        <v>0</v>
      </c>
      <c r="I43" s="114">
        <f>Modeloutput!H96</f>
        <v>0</v>
      </c>
      <c r="J43" s="114">
        <f>Modeloutput!I96</f>
        <v>0</v>
      </c>
      <c r="K43" s="114">
        <f>Modeloutput!J96</f>
        <v>0</v>
      </c>
      <c r="L43" s="114">
        <f>Modeloutput!K96</f>
        <v>0</v>
      </c>
      <c r="M43" s="114">
        <f>Modeloutput!L96</f>
        <v>0</v>
      </c>
      <c r="N43" s="114">
        <f>Modeloutput!M96</f>
        <v>0</v>
      </c>
      <c r="O43" s="114">
        <f>Modeloutput!N96</f>
        <v>0</v>
      </c>
      <c r="P43" s="114">
        <f>Modeloutput!O96</f>
        <v>0</v>
      </c>
      <c r="Q43" s="114">
        <f>Modeloutput!P96</f>
        <v>0</v>
      </c>
      <c r="R43" s="24"/>
      <c r="S43" s="119" t="s">
        <v>8</v>
      </c>
      <c r="T43" s="114">
        <f>Modeloutput!B351</f>
        <v>0</v>
      </c>
      <c r="U43" s="114">
        <f>Modeloutput!C351</f>
        <v>0</v>
      </c>
      <c r="V43" s="114">
        <f>Modeloutput!D351</f>
        <v>0</v>
      </c>
      <c r="W43" s="114">
        <f>Modeloutput!E351</f>
        <v>0</v>
      </c>
      <c r="X43" s="114">
        <f>Modeloutput!F351</f>
        <v>0</v>
      </c>
      <c r="Y43" s="114">
        <f>Modeloutput!G351</f>
        <v>0</v>
      </c>
      <c r="Z43" s="114">
        <f>Modeloutput!H351</f>
        <v>0</v>
      </c>
      <c r="AA43" s="114">
        <f>Modeloutput!I351</f>
        <v>0</v>
      </c>
      <c r="AB43" s="114">
        <f>Modeloutput!J351</f>
        <v>0</v>
      </c>
      <c r="AC43" s="114">
        <f>Modeloutput!K351</f>
        <v>0</v>
      </c>
      <c r="AD43" s="114">
        <f>Modeloutput!L351</f>
        <v>0</v>
      </c>
      <c r="AE43" s="114">
        <f>Modeloutput!M351</f>
        <v>0</v>
      </c>
      <c r="AF43" s="114">
        <f>Modeloutput!N351</f>
        <v>0</v>
      </c>
      <c r="AG43" s="114">
        <f>Modeloutput!O351</f>
        <v>0</v>
      </c>
      <c r="AH43" s="114">
        <f>Modeloutput!P351</f>
        <v>0</v>
      </c>
      <c r="AI43" s="24"/>
      <c r="AJ43" s="119" t="s">
        <v>8</v>
      </c>
      <c r="AK43" s="93">
        <f>Modeloutput!B606</f>
        <v>0</v>
      </c>
      <c r="AL43" s="93">
        <f>Modeloutput!C606</f>
        <v>0</v>
      </c>
      <c r="AM43" s="93">
        <f>Modeloutput!D606</f>
        <v>0</v>
      </c>
      <c r="AN43" s="93">
        <f>Modeloutput!E606</f>
        <v>0</v>
      </c>
      <c r="AO43" s="93">
        <f>Modeloutput!F606</f>
        <v>0</v>
      </c>
      <c r="AP43" s="93">
        <f>Modeloutput!G606</f>
        <v>0</v>
      </c>
      <c r="AQ43" s="93">
        <f>Modeloutput!H606</f>
        <v>0</v>
      </c>
      <c r="AR43" s="93">
        <f>Modeloutput!I606</f>
        <v>0</v>
      </c>
      <c r="AS43" s="93">
        <f>Modeloutput!J606</f>
        <v>0</v>
      </c>
      <c r="AT43" s="93">
        <f>Modeloutput!K606</f>
        <v>0</v>
      </c>
      <c r="AU43" s="93">
        <f>Modeloutput!L606</f>
        <v>0</v>
      </c>
      <c r="AV43" s="93">
        <f>Modeloutput!M606</f>
        <v>0</v>
      </c>
      <c r="AW43" s="93">
        <f>Modeloutput!N606</f>
        <v>0</v>
      </c>
      <c r="AX43" s="93">
        <f>Modeloutput!O606</f>
        <v>0</v>
      </c>
      <c r="AY43" s="93">
        <f>Modeloutput!P606</f>
        <v>0</v>
      </c>
      <c r="AZ43" s="24"/>
      <c r="BA43" s="119" t="s">
        <v>8</v>
      </c>
      <c r="BB43" s="114">
        <f>Modeloutput!B861</f>
        <v>0</v>
      </c>
      <c r="BC43" s="114">
        <f>Modeloutput!C861</f>
        <v>0</v>
      </c>
      <c r="BD43" s="114">
        <f>Modeloutput!D861</f>
        <v>0</v>
      </c>
      <c r="BE43" s="114">
        <f>Modeloutput!E861</f>
        <v>0</v>
      </c>
      <c r="BF43" s="114">
        <f>Modeloutput!F861</f>
        <v>0</v>
      </c>
      <c r="BG43" s="114">
        <f>Modeloutput!G861</f>
        <v>0</v>
      </c>
      <c r="BH43" s="114">
        <f>Modeloutput!H861</f>
        <v>0</v>
      </c>
      <c r="BI43" s="114">
        <f>Modeloutput!I861</f>
        <v>0</v>
      </c>
      <c r="BJ43" s="114">
        <f>Modeloutput!J861</f>
        <v>0</v>
      </c>
      <c r="BK43" s="114">
        <f>Modeloutput!K861</f>
        <v>0</v>
      </c>
      <c r="BL43" s="114">
        <f>Modeloutput!L861</f>
        <v>0</v>
      </c>
      <c r="BM43" s="114">
        <f>Modeloutput!M861</f>
        <v>0</v>
      </c>
      <c r="BN43" s="114">
        <f>Modeloutput!N861</f>
        <v>0</v>
      </c>
      <c r="BO43" s="114">
        <f>Modeloutput!O861</f>
        <v>0</v>
      </c>
      <c r="BP43" s="114">
        <f>Modeloutput!P861</f>
        <v>0</v>
      </c>
      <c r="BQ43" s="24"/>
      <c r="BR43" s="119" t="s">
        <v>8</v>
      </c>
      <c r="BS43" s="114">
        <f>Modeloutput!B1116</f>
        <v>0</v>
      </c>
      <c r="BT43" s="114">
        <f>Modeloutput!C1116</f>
        <v>0</v>
      </c>
      <c r="BU43" s="114">
        <f>Modeloutput!D1116</f>
        <v>0</v>
      </c>
      <c r="BV43" s="114">
        <f>Modeloutput!E1116</f>
        <v>0</v>
      </c>
      <c r="BW43" s="114">
        <f>Modeloutput!F1116</f>
        <v>0</v>
      </c>
      <c r="BX43" s="114">
        <f>Modeloutput!G1116</f>
        <v>0</v>
      </c>
      <c r="BY43" s="114">
        <f>Modeloutput!H1116</f>
        <v>0</v>
      </c>
      <c r="BZ43" s="114">
        <f>Modeloutput!I1116</f>
        <v>0</v>
      </c>
      <c r="CA43" s="114">
        <f>Modeloutput!J1116</f>
        <v>0</v>
      </c>
      <c r="CB43" s="114">
        <f>Modeloutput!K1116</f>
        <v>0</v>
      </c>
      <c r="CC43" s="114">
        <f>Modeloutput!L1116</f>
        <v>0</v>
      </c>
      <c r="CD43" s="114">
        <f>Modeloutput!M1116</f>
        <v>0</v>
      </c>
      <c r="CE43" s="114">
        <f>Modeloutput!N1116</f>
        <v>0</v>
      </c>
      <c r="CF43" s="114">
        <f>Modeloutput!O1116</f>
        <v>0</v>
      </c>
      <c r="CG43" s="114">
        <f>Modeloutput!P1116</f>
        <v>0</v>
      </c>
    </row>
    <row r="44" spans="2:85" s="7" customFormat="1" x14ac:dyDescent="0.25">
      <c r="B44" s="7" t="s">
        <v>9</v>
      </c>
      <c r="C44" s="114">
        <f>Modeloutput!B97</f>
        <v>0</v>
      </c>
      <c r="D44" s="114">
        <f>Modeloutput!C97</f>
        <v>0</v>
      </c>
      <c r="E44" s="114">
        <f>Modeloutput!D97</f>
        <v>0</v>
      </c>
      <c r="F44" s="114">
        <f>Modeloutput!E97</f>
        <v>0</v>
      </c>
      <c r="G44" s="114">
        <f>Modeloutput!F97</f>
        <v>0</v>
      </c>
      <c r="H44" s="114">
        <f>Modeloutput!G97</f>
        <v>0</v>
      </c>
      <c r="I44" s="114">
        <f>Modeloutput!H97</f>
        <v>0</v>
      </c>
      <c r="J44" s="114">
        <f>Modeloutput!I97</f>
        <v>0</v>
      </c>
      <c r="K44" s="114">
        <f>Modeloutput!J97</f>
        <v>0</v>
      </c>
      <c r="L44" s="114">
        <f>Modeloutput!K97</f>
        <v>0</v>
      </c>
      <c r="M44" s="114">
        <f>Modeloutput!L97</f>
        <v>0</v>
      </c>
      <c r="N44" s="114">
        <f>Modeloutput!M97</f>
        <v>0</v>
      </c>
      <c r="O44" s="114">
        <f>Modeloutput!N97</f>
        <v>0</v>
      </c>
      <c r="P44" s="114">
        <f>Modeloutput!O97</f>
        <v>0</v>
      </c>
      <c r="Q44" s="114">
        <f>Modeloutput!P97</f>
        <v>0</v>
      </c>
      <c r="R44" s="24"/>
      <c r="S44" s="119" t="s">
        <v>9</v>
      </c>
      <c r="T44" s="114">
        <f>Modeloutput!B352</f>
        <v>0</v>
      </c>
      <c r="U44" s="114">
        <f>Modeloutput!C352</f>
        <v>0</v>
      </c>
      <c r="V44" s="114">
        <f>Modeloutput!D352</f>
        <v>0</v>
      </c>
      <c r="W44" s="114">
        <f>Modeloutput!E352</f>
        <v>0</v>
      </c>
      <c r="X44" s="114">
        <f>Modeloutput!F352</f>
        <v>0</v>
      </c>
      <c r="Y44" s="114">
        <f>Modeloutput!G352</f>
        <v>0</v>
      </c>
      <c r="Z44" s="114">
        <f>Modeloutput!H352</f>
        <v>0</v>
      </c>
      <c r="AA44" s="114">
        <f>Modeloutput!I352</f>
        <v>0</v>
      </c>
      <c r="AB44" s="114">
        <f>Modeloutput!J352</f>
        <v>0</v>
      </c>
      <c r="AC44" s="114">
        <f>Modeloutput!K352</f>
        <v>0</v>
      </c>
      <c r="AD44" s="114">
        <f>Modeloutput!L352</f>
        <v>0</v>
      </c>
      <c r="AE44" s="114">
        <f>Modeloutput!M352</f>
        <v>0</v>
      </c>
      <c r="AF44" s="114">
        <f>Modeloutput!N352</f>
        <v>0</v>
      </c>
      <c r="AG44" s="114">
        <f>Modeloutput!O352</f>
        <v>0</v>
      </c>
      <c r="AH44" s="114">
        <f>Modeloutput!P352</f>
        <v>0</v>
      </c>
      <c r="AI44" s="24"/>
      <c r="AJ44" s="119" t="s">
        <v>9</v>
      </c>
      <c r="AK44" s="93">
        <f>Modeloutput!B607</f>
        <v>0</v>
      </c>
      <c r="AL44" s="93">
        <f>Modeloutput!C607</f>
        <v>0</v>
      </c>
      <c r="AM44" s="93">
        <f>Modeloutput!D607</f>
        <v>0</v>
      </c>
      <c r="AN44" s="93">
        <f>Modeloutput!E607</f>
        <v>0</v>
      </c>
      <c r="AO44" s="93">
        <f>Modeloutput!F607</f>
        <v>0</v>
      </c>
      <c r="AP44" s="93">
        <f>Modeloutput!G607</f>
        <v>0</v>
      </c>
      <c r="AQ44" s="93">
        <f>Modeloutput!H607</f>
        <v>0</v>
      </c>
      <c r="AR44" s="93">
        <f>Modeloutput!I607</f>
        <v>0</v>
      </c>
      <c r="AS44" s="93">
        <f>Modeloutput!J607</f>
        <v>0</v>
      </c>
      <c r="AT44" s="93">
        <f>Modeloutput!K607</f>
        <v>0</v>
      </c>
      <c r="AU44" s="93">
        <f>Modeloutput!L607</f>
        <v>0</v>
      </c>
      <c r="AV44" s="93">
        <f>Modeloutput!M607</f>
        <v>0</v>
      </c>
      <c r="AW44" s="93">
        <f>Modeloutput!N607</f>
        <v>0</v>
      </c>
      <c r="AX44" s="93">
        <f>Modeloutput!O607</f>
        <v>0</v>
      </c>
      <c r="AY44" s="93">
        <f>Modeloutput!P607</f>
        <v>0</v>
      </c>
      <c r="AZ44" s="24"/>
      <c r="BA44" s="119" t="s">
        <v>9</v>
      </c>
      <c r="BB44" s="114">
        <f>Modeloutput!B862</f>
        <v>0</v>
      </c>
      <c r="BC44" s="114">
        <f>Modeloutput!C862</f>
        <v>0</v>
      </c>
      <c r="BD44" s="114">
        <f>Modeloutput!D862</f>
        <v>0</v>
      </c>
      <c r="BE44" s="114">
        <f>Modeloutput!E862</f>
        <v>0</v>
      </c>
      <c r="BF44" s="114">
        <f>Modeloutput!F862</f>
        <v>0</v>
      </c>
      <c r="BG44" s="114">
        <f>Modeloutput!G862</f>
        <v>0</v>
      </c>
      <c r="BH44" s="114">
        <f>Modeloutput!H862</f>
        <v>0</v>
      </c>
      <c r="BI44" s="114">
        <f>Modeloutput!I862</f>
        <v>0</v>
      </c>
      <c r="BJ44" s="114">
        <f>Modeloutput!J862</f>
        <v>0</v>
      </c>
      <c r="BK44" s="114">
        <f>Modeloutput!K862</f>
        <v>0</v>
      </c>
      <c r="BL44" s="114">
        <f>Modeloutput!L862</f>
        <v>0</v>
      </c>
      <c r="BM44" s="114">
        <f>Modeloutput!M862</f>
        <v>0</v>
      </c>
      <c r="BN44" s="114">
        <f>Modeloutput!N862</f>
        <v>0</v>
      </c>
      <c r="BO44" s="114">
        <f>Modeloutput!O862</f>
        <v>0</v>
      </c>
      <c r="BP44" s="114">
        <f>Modeloutput!P862</f>
        <v>0</v>
      </c>
      <c r="BQ44" s="24"/>
      <c r="BR44" s="119" t="s">
        <v>9</v>
      </c>
      <c r="BS44" s="114">
        <f>Modeloutput!B1117</f>
        <v>0</v>
      </c>
      <c r="BT44" s="114">
        <f>Modeloutput!C1117</f>
        <v>0</v>
      </c>
      <c r="BU44" s="114">
        <f>Modeloutput!D1117</f>
        <v>0</v>
      </c>
      <c r="BV44" s="114">
        <f>Modeloutput!E1117</f>
        <v>0</v>
      </c>
      <c r="BW44" s="114">
        <f>Modeloutput!F1117</f>
        <v>0</v>
      </c>
      <c r="BX44" s="114">
        <f>Modeloutput!G1117</f>
        <v>0</v>
      </c>
      <c r="BY44" s="114">
        <f>Modeloutput!H1117</f>
        <v>0</v>
      </c>
      <c r="BZ44" s="114">
        <f>Modeloutput!I1117</f>
        <v>0</v>
      </c>
      <c r="CA44" s="114">
        <f>Modeloutput!J1117</f>
        <v>0</v>
      </c>
      <c r="CB44" s="114">
        <f>Modeloutput!K1117</f>
        <v>0</v>
      </c>
      <c r="CC44" s="114">
        <f>Modeloutput!L1117</f>
        <v>0</v>
      </c>
      <c r="CD44" s="114">
        <f>Modeloutput!M1117</f>
        <v>0</v>
      </c>
      <c r="CE44" s="114">
        <f>Modeloutput!N1117</f>
        <v>0</v>
      </c>
      <c r="CF44" s="114">
        <f>Modeloutput!O1117</f>
        <v>0</v>
      </c>
      <c r="CG44" s="114">
        <f>Modeloutput!P1117</f>
        <v>0</v>
      </c>
    </row>
    <row r="45" spans="2:85" s="7" customFormat="1" x14ac:dyDescent="0.25">
      <c r="B45" s="7" t="s">
        <v>10</v>
      </c>
      <c r="C45" s="114">
        <f>Modeloutput!B98</f>
        <v>0</v>
      </c>
      <c r="D45" s="114">
        <f>Modeloutput!C98</f>
        <v>0</v>
      </c>
      <c r="E45" s="114">
        <f>Modeloutput!D98</f>
        <v>0</v>
      </c>
      <c r="F45" s="114">
        <f>Modeloutput!E98</f>
        <v>0</v>
      </c>
      <c r="G45" s="114">
        <f>Modeloutput!F98</f>
        <v>0</v>
      </c>
      <c r="H45" s="114">
        <f>Modeloutput!G98</f>
        <v>0</v>
      </c>
      <c r="I45" s="114">
        <f>Modeloutput!H98</f>
        <v>0</v>
      </c>
      <c r="J45" s="114">
        <f>Modeloutput!I98</f>
        <v>0</v>
      </c>
      <c r="K45" s="114">
        <f>Modeloutput!J98</f>
        <v>0</v>
      </c>
      <c r="L45" s="114">
        <f>Modeloutput!K98</f>
        <v>0</v>
      </c>
      <c r="M45" s="114">
        <f>Modeloutput!L98</f>
        <v>0</v>
      </c>
      <c r="N45" s="114">
        <f>Modeloutput!M98</f>
        <v>0</v>
      </c>
      <c r="O45" s="114">
        <f>Modeloutput!N98</f>
        <v>0</v>
      </c>
      <c r="P45" s="114">
        <f>Modeloutput!O98</f>
        <v>0</v>
      </c>
      <c r="Q45" s="114">
        <f>Modeloutput!P98</f>
        <v>0</v>
      </c>
      <c r="R45" s="24"/>
      <c r="S45" s="119" t="s">
        <v>10</v>
      </c>
      <c r="T45" s="114">
        <f>Modeloutput!B353</f>
        <v>0</v>
      </c>
      <c r="U45" s="114">
        <f>Modeloutput!C353</f>
        <v>0</v>
      </c>
      <c r="V45" s="114">
        <f>Modeloutput!D353</f>
        <v>0</v>
      </c>
      <c r="W45" s="114">
        <f>Modeloutput!E353</f>
        <v>0</v>
      </c>
      <c r="X45" s="114">
        <f>Modeloutput!F353</f>
        <v>0</v>
      </c>
      <c r="Y45" s="114">
        <f>Modeloutput!G353</f>
        <v>0</v>
      </c>
      <c r="Z45" s="114">
        <f>Modeloutput!H353</f>
        <v>0</v>
      </c>
      <c r="AA45" s="114">
        <f>Modeloutput!I353</f>
        <v>0</v>
      </c>
      <c r="AB45" s="114">
        <f>Modeloutput!J353</f>
        <v>0</v>
      </c>
      <c r="AC45" s="114">
        <f>Modeloutput!K353</f>
        <v>0</v>
      </c>
      <c r="AD45" s="114">
        <f>Modeloutput!L353</f>
        <v>0</v>
      </c>
      <c r="AE45" s="114">
        <f>Modeloutput!M353</f>
        <v>0</v>
      </c>
      <c r="AF45" s="114">
        <f>Modeloutput!N353</f>
        <v>0</v>
      </c>
      <c r="AG45" s="114">
        <f>Modeloutput!O353</f>
        <v>0</v>
      </c>
      <c r="AH45" s="114">
        <f>Modeloutput!P353</f>
        <v>0</v>
      </c>
      <c r="AI45" s="24"/>
      <c r="AJ45" s="119" t="s">
        <v>10</v>
      </c>
      <c r="AK45" s="93">
        <f>Modeloutput!B608</f>
        <v>0</v>
      </c>
      <c r="AL45" s="93">
        <f>Modeloutput!C608</f>
        <v>0</v>
      </c>
      <c r="AM45" s="93">
        <f>Modeloutput!D608</f>
        <v>0</v>
      </c>
      <c r="AN45" s="93">
        <f>Modeloutput!E608</f>
        <v>0</v>
      </c>
      <c r="AO45" s="93">
        <f>Modeloutput!F608</f>
        <v>0</v>
      </c>
      <c r="AP45" s="93">
        <f>Modeloutput!G608</f>
        <v>0</v>
      </c>
      <c r="AQ45" s="93">
        <f>Modeloutput!H608</f>
        <v>0</v>
      </c>
      <c r="AR45" s="93">
        <f>Modeloutput!I608</f>
        <v>0</v>
      </c>
      <c r="AS45" s="93">
        <f>Modeloutput!J608</f>
        <v>0</v>
      </c>
      <c r="AT45" s="93">
        <f>Modeloutput!K608</f>
        <v>0</v>
      </c>
      <c r="AU45" s="93">
        <f>Modeloutput!L608</f>
        <v>0</v>
      </c>
      <c r="AV45" s="93">
        <f>Modeloutput!M608</f>
        <v>0</v>
      </c>
      <c r="AW45" s="93">
        <f>Modeloutput!N608</f>
        <v>0</v>
      </c>
      <c r="AX45" s="93">
        <f>Modeloutput!O608</f>
        <v>0</v>
      </c>
      <c r="AY45" s="93">
        <f>Modeloutput!P608</f>
        <v>0</v>
      </c>
      <c r="AZ45" s="24"/>
      <c r="BA45" s="119" t="s">
        <v>10</v>
      </c>
      <c r="BB45" s="114">
        <f>Modeloutput!B863</f>
        <v>0</v>
      </c>
      <c r="BC45" s="114">
        <f>Modeloutput!C863</f>
        <v>0</v>
      </c>
      <c r="BD45" s="114">
        <f>Modeloutput!D863</f>
        <v>0</v>
      </c>
      <c r="BE45" s="114">
        <f>Modeloutput!E863</f>
        <v>0</v>
      </c>
      <c r="BF45" s="114">
        <f>Modeloutput!F863</f>
        <v>0</v>
      </c>
      <c r="BG45" s="114">
        <f>Modeloutput!G863</f>
        <v>0</v>
      </c>
      <c r="BH45" s="114">
        <f>Modeloutput!H863</f>
        <v>0</v>
      </c>
      <c r="BI45" s="114">
        <f>Modeloutput!I863</f>
        <v>0</v>
      </c>
      <c r="BJ45" s="114">
        <f>Modeloutput!J863</f>
        <v>0</v>
      </c>
      <c r="BK45" s="114">
        <f>Modeloutput!K863</f>
        <v>0</v>
      </c>
      <c r="BL45" s="114">
        <f>Modeloutput!L863</f>
        <v>0</v>
      </c>
      <c r="BM45" s="114">
        <f>Modeloutput!M863</f>
        <v>0</v>
      </c>
      <c r="BN45" s="114">
        <f>Modeloutput!N863</f>
        <v>0</v>
      </c>
      <c r="BO45" s="114">
        <f>Modeloutput!O863</f>
        <v>0</v>
      </c>
      <c r="BP45" s="114">
        <f>Modeloutput!P863</f>
        <v>0</v>
      </c>
      <c r="BQ45" s="24"/>
      <c r="BR45" s="119" t="s">
        <v>10</v>
      </c>
      <c r="BS45" s="114">
        <f>Modeloutput!B1118</f>
        <v>0</v>
      </c>
      <c r="BT45" s="114">
        <f>Modeloutput!C1118</f>
        <v>0</v>
      </c>
      <c r="BU45" s="114">
        <f>Modeloutput!D1118</f>
        <v>0</v>
      </c>
      <c r="BV45" s="114">
        <f>Modeloutput!E1118</f>
        <v>0</v>
      </c>
      <c r="BW45" s="114">
        <f>Modeloutput!F1118</f>
        <v>0</v>
      </c>
      <c r="BX45" s="114">
        <f>Modeloutput!G1118</f>
        <v>0</v>
      </c>
      <c r="BY45" s="114">
        <f>Modeloutput!H1118</f>
        <v>0</v>
      </c>
      <c r="BZ45" s="114">
        <f>Modeloutput!I1118</f>
        <v>0</v>
      </c>
      <c r="CA45" s="114">
        <f>Modeloutput!J1118</f>
        <v>0</v>
      </c>
      <c r="CB45" s="114">
        <f>Modeloutput!K1118</f>
        <v>0</v>
      </c>
      <c r="CC45" s="114">
        <f>Modeloutput!L1118</f>
        <v>0</v>
      </c>
      <c r="CD45" s="114">
        <f>Modeloutput!M1118</f>
        <v>0</v>
      </c>
      <c r="CE45" s="114">
        <f>Modeloutput!N1118</f>
        <v>0</v>
      </c>
      <c r="CF45" s="114">
        <f>Modeloutput!O1118</f>
        <v>0</v>
      </c>
      <c r="CG45" s="114">
        <f>Modeloutput!P1118</f>
        <v>0</v>
      </c>
    </row>
    <row r="46" spans="2:85" s="7" customFormat="1" x14ac:dyDescent="0.25">
      <c r="B46" s="7" t="s">
        <v>11</v>
      </c>
      <c r="C46" s="114">
        <f>Modeloutput!B99</f>
        <v>0</v>
      </c>
      <c r="D46" s="114">
        <f>Modeloutput!C99</f>
        <v>0</v>
      </c>
      <c r="E46" s="114">
        <f>Modeloutput!D99</f>
        <v>0</v>
      </c>
      <c r="F46" s="114">
        <f>Modeloutput!E99</f>
        <v>0</v>
      </c>
      <c r="G46" s="114">
        <f>Modeloutput!F99</f>
        <v>0</v>
      </c>
      <c r="H46" s="114">
        <f>Modeloutput!G99</f>
        <v>0</v>
      </c>
      <c r="I46" s="114">
        <f>Modeloutput!H99</f>
        <v>0</v>
      </c>
      <c r="J46" s="114">
        <f>Modeloutput!I99</f>
        <v>0</v>
      </c>
      <c r="K46" s="114">
        <f>Modeloutput!J99</f>
        <v>0</v>
      </c>
      <c r="L46" s="114">
        <f>Modeloutput!K99</f>
        <v>0</v>
      </c>
      <c r="M46" s="114">
        <f>Modeloutput!L99</f>
        <v>0</v>
      </c>
      <c r="N46" s="114">
        <f>Modeloutput!M99</f>
        <v>0</v>
      </c>
      <c r="O46" s="114">
        <f>Modeloutput!N99</f>
        <v>0</v>
      </c>
      <c r="P46" s="114">
        <f>Modeloutput!O99</f>
        <v>0</v>
      </c>
      <c r="Q46" s="114">
        <f>Modeloutput!P99</f>
        <v>0</v>
      </c>
      <c r="R46" s="24"/>
      <c r="S46" s="119" t="s">
        <v>11</v>
      </c>
      <c r="T46" s="114">
        <f>Modeloutput!B354</f>
        <v>0</v>
      </c>
      <c r="U46" s="114">
        <f>Modeloutput!C354</f>
        <v>0</v>
      </c>
      <c r="V46" s="114">
        <f>Modeloutput!D354</f>
        <v>0</v>
      </c>
      <c r="W46" s="114">
        <f>Modeloutput!E354</f>
        <v>0</v>
      </c>
      <c r="X46" s="114">
        <f>Modeloutput!F354</f>
        <v>0</v>
      </c>
      <c r="Y46" s="114">
        <f>Modeloutput!G354</f>
        <v>0</v>
      </c>
      <c r="Z46" s="114">
        <f>Modeloutput!H354</f>
        <v>0</v>
      </c>
      <c r="AA46" s="114">
        <f>Modeloutput!I354</f>
        <v>0</v>
      </c>
      <c r="AB46" s="114">
        <f>Modeloutput!J354</f>
        <v>0</v>
      </c>
      <c r="AC46" s="114">
        <f>Modeloutput!K354</f>
        <v>0</v>
      </c>
      <c r="AD46" s="114">
        <f>Modeloutput!L354</f>
        <v>0</v>
      </c>
      <c r="AE46" s="114">
        <f>Modeloutput!M354</f>
        <v>0</v>
      </c>
      <c r="AF46" s="114">
        <f>Modeloutput!N354</f>
        <v>0</v>
      </c>
      <c r="AG46" s="114">
        <f>Modeloutput!O354</f>
        <v>0</v>
      </c>
      <c r="AH46" s="114">
        <f>Modeloutput!P354</f>
        <v>0</v>
      </c>
      <c r="AI46" s="24"/>
      <c r="AJ46" s="119" t="s">
        <v>11</v>
      </c>
      <c r="AK46" s="93">
        <f>Modeloutput!B609</f>
        <v>0</v>
      </c>
      <c r="AL46" s="93">
        <f>Modeloutput!C609</f>
        <v>0</v>
      </c>
      <c r="AM46" s="93">
        <f>Modeloutput!D609</f>
        <v>0</v>
      </c>
      <c r="AN46" s="93">
        <f>Modeloutput!E609</f>
        <v>0</v>
      </c>
      <c r="AO46" s="93">
        <f>Modeloutput!F609</f>
        <v>0</v>
      </c>
      <c r="AP46" s="93">
        <f>Modeloutput!G609</f>
        <v>0</v>
      </c>
      <c r="AQ46" s="93">
        <f>Modeloutput!H609</f>
        <v>0</v>
      </c>
      <c r="AR46" s="93">
        <f>Modeloutput!I609</f>
        <v>0</v>
      </c>
      <c r="AS46" s="93">
        <f>Modeloutput!J609</f>
        <v>0</v>
      </c>
      <c r="AT46" s="93">
        <f>Modeloutput!K609</f>
        <v>0</v>
      </c>
      <c r="AU46" s="93">
        <f>Modeloutput!L609</f>
        <v>0</v>
      </c>
      <c r="AV46" s="93">
        <f>Modeloutput!M609</f>
        <v>0</v>
      </c>
      <c r="AW46" s="93">
        <f>Modeloutput!N609</f>
        <v>0</v>
      </c>
      <c r="AX46" s="93">
        <f>Modeloutput!O609</f>
        <v>0</v>
      </c>
      <c r="AY46" s="93">
        <f>Modeloutput!P609</f>
        <v>0</v>
      </c>
      <c r="AZ46" s="24"/>
      <c r="BA46" s="119" t="s">
        <v>11</v>
      </c>
      <c r="BB46" s="114">
        <f>Modeloutput!B864</f>
        <v>0</v>
      </c>
      <c r="BC46" s="114">
        <f>Modeloutput!C864</f>
        <v>0</v>
      </c>
      <c r="BD46" s="114">
        <f>Modeloutput!D864</f>
        <v>0</v>
      </c>
      <c r="BE46" s="114">
        <f>Modeloutput!E864</f>
        <v>0</v>
      </c>
      <c r="BF46" s="114">
        <f>Modeloutput!F864</f>
        <v>0</v>
      </c>
      <c r="BG46" s="114">
        <f>Modeloutput!G864</f>
        <v>0</v>
      </c>
      <c r="BH46" s="114">
        <f>Modeloutput!H864</f>
        <v>0</v>
      </c>
      <c r="BI46" s="114">
        <f>Modeloutput!I864</f>
        <v>0</v>
      </c>
      <c r="BJ46" s="114">
        <f>Modeloutput!J864</f>
        <v>0</v>
      </c>
      <c r="BK46" s="114">
        <f>Modeloutput!K864</f>
        <v>0</v>
      </c>
      <c r="BL46" s="114">
        <f>Modeloutput!L864</f>
        <v>0</v>
      </c>
      <c r="BM46" s="114">
        <f>Modeloutput!M864</f>
        <v>0</v>
      </c>
      <c r="BN46" s="114">
        <f>Modeloutput!N864</f>
        <v>0</v>
      </c>
      <c r="BO46" s="114">
        <f>Modeloutput!O864</f>
        <v>0</v>
      </c>
      <c r="BP46" s="114">
        <f>Modeloutput!P864</f>
        <v>0</v>
      </c>
      <c r="BQ46" s="24"/>
      <c r="BR46" s="119" t="s">
        <v>11</v>
      </c>
      <c r="BS46" s="114">
        <f>Modeloutput!B1119</f>
        <v>0</v>
      </c>
      <c r="BT46" s="114">
        <f>Modeloutput!C1119</f>
        <v>0</v>
      </c>
      <c r="BU46" s="114">
        <f>Modeloutput!D1119</f>
        <v>0</v>
      </c>
      <c r="BV46" s="114">
        <f>Modeloutput!E1119</f>
        <v>0</v>
      </c>
      <c r="BW46" s="114">
        <f>Modeloutput!F1119</f>
        <v>0</v>
      </c>
      <c r="BX46" s="114">
        <f>Modeloutput!G1119</f>
        <v>0</v>
      </c>
      <c r="BY46" s="114">
        <f>Modeloutput!H1119</f>
        <v>0</v>
      </c>
      <c r="BZ46" s="114">
        <f>Modeloutput!I1119</f>
        <v>0</v>
      </c>
      <c r="CA46" s="114">
        <f>Modeloutput!J1119</f>
        <v>0</v>
      </c>
      <c r="CB46" s="114">
        <f>Modeloutput!K1119</f>
        <v>0</v>
      </c>
      <c r="CC46" s="114">
        <f>Modeloutput!L1119</f>
        <v>0</v>
      </c>
      <c r="CD46" s="114">
        <f>Modeloutput!M1119</f>
        <v>0</v>
      </c>
      <c r="CE46" s="114">
        <f>Modeloutput!N1119</f>
        <v>0</v>
      </c>
      <c r="CF46" s="114">
        <f>Modeloutput!O1119</f>
        <v>0</v>
      </c>
      <c r="CG46" s="114">
        <f>Modeloutput!P1119</f>
        <v>0</v>
      </c>
    </row>
    <row r="47" spans="2:85" s="7" customFormat="1" x14ac:dyDescent="0.25">
      <c r="B47" s="7" t="s">
        <v>12</v>
      </c>
      <c r="C47" s="114">
        <f>Modeloutput!B100</f>
        <v>0</v>
      </c>
      <c r="D47" s="114">
        <f>Modeloutput!C100</f>
        <v>0</v>
      </c>
      <c r="E47" s="114">
        <f>Modeloutput!D100</f>
        <v>0</v>
      </c>
      <c r="F47" s="114">
        <f>Modeloutput!E100</f>
        <v>0</v>
      </c>
      <c r="G47" s="114">
        <f>Modeloutput!F100</f>
        <v>0</v>
      </c>
      <c r="H47" s="114">
        <f>Modeloutput!G100</f>
        <v>0</v>
      </c>
      <c r="I47" s="114">
        <f>Modeloutput!H100</f>
        <v>0</v>
      </c>
      <c r="J47" s="114">
        <f>Modeloutput!I100</f>
        <v>0</v>
      </c>
      <c r="K47" s="114">
        <f>Modeloutput!J100</f>
        <v>0</v>
      </c>
      <c r="L47" s="114">
        <f>Modeloutput!K100</f>
        <v>0</v>
      </c>
      <c r="M47" s="114">
        <f>Modeloutput!L100</f>
        <v>0</v>
      </c>
      <c r="N47" s="114">
        <f>Modeloutput!M100</f>
        <v>0</v>
      </c>
      <c r="O47" s="114">
        <f>Modeloutput!N100</f>
        <v>0</v>
      </c>
      <c r="P47" s="114">
        <f>Modeloutput!O100</f>
        <v>0</v>
      </c>
      <c r="Q47" s="114">
        <f>Modeloutput!P100</f>
        <v>0</v>
      </c>
      <c r="R47" s="24"/>
      <c r="S47" s="119" t="s">
        <v>12</v>
      </c>
      <c r="T47" s="114">
        <f>Modeloutput!B355</f>
        <v>0</v>
      </c>
      <c r="U47" s="114">
        <f>Modeloutput!C355</f>
        <v>0</v>
      </c>
      <c r="V47" s="114">
        <f>Modeloutput!D355</f>
        <v>0</v>
      </c>
      <c r="W47" s="114">
        <f>Modeloutput!E355</f>
        <v>0</v>
      </c>
      <c r="X47" s="114">
        <f>Modeloutput!F355</f>
        <v>0</v>
      </c>
      <c r="Y47" s="114">
        <f>Modeloutput!G355</f>
        <v>0</v>
      </c>
      <c r="Z47" s="114">
        <f>Modeloutput!H355</f>
        <v>0</v>
      </c>
      <c r="AA47" s="114">
        <f>Modeloutput!I355</f>
        <v>0</v>
      </c>
      <c r="AB47" s="114">
        <f>Modeloutput!J355</f>
        <v>0</v>
      </c>
      <c r="AC47" s="114">
        <f>Modeloutput!K355</f>
        <v>0</v>
      </c>
      <c r="AD47" s="114">
        <f>Modeloutput!L355</f>
        <v>0</v>
      </c>
      <c r="AE47" s="114">
        <f>Modeloutput!M355</f>
        <v>0</v>
      </c>
      <c r="AF47" s="114">
        <f>Modeloutput!N355</f>
        <v>0</v>
      </c>
      <c r="AG47" s="114">
        <f>Modeloutput!O355</f>
        <v>0</v>
      </c>
      <c r="AH47" s="114">
        <f>Modeloutput!P355</f>
        <v>0</v>
      </c>
      <c r="AI47" s="24"/>
      <c r="AJ47" s="119" t="s">
        <v>12</v>
      </c>
      <c r="AK47" s="93">
        <f>Modeloutput!B610</f>
        <v>0</v>
      </c>
      <c r="AL47" s="93">
        <f>Modeloutput!C610</f>
        <v>0</v>
      </c>
      <c r="AM47" s="93">
        <f>Modeloutput!D610</f>
        <v>0</v>
      </c>
      <c r="AN47" s="93">
        <f>Modeloutput!E610</f>
        <v>0</v>
      </c>
      <c r="AO47" s="93">
        <f>Modeloutput!F610</f>
        <v>0</v>
      </c>
      <c r="AP47" s="93">
        <f>Modeloutput!G610</f>
        <v>0</v>
      </c>
      <c r="AQ47" s="93">
        <f>Modeloutput!H610</f>
        <v>0</v>
      </c>
      <c r="AR47" s="93">
        <f>Modeloutput!I610</f>
        <v>0</v>
      </c>
      <c r="AS47" s="93">
        <f>Modeloutput!J610</f>
        <v>0</v>
      </c>
      <c r="AT47" s="93">
        <f>Modeloutput!K610</f>
        <v>0</v>
      </c>
      <c r="AU47" s="93">
        <f>Modeloutput!L610</f>
        <v>0</v>
      </c>
      <c r="AV47" s="93">
        <f>Modeloutput!M610</f>
        <v>0</v>
      </c>
      <c r="AW47" s="93">
        <f>Modeloutput!N610</f>
        <v>0</v>
      </c>
      <c r="AX47" s="93">
        <f>Modeloutput!O610</f>
        <v>0</v>
      </c>
      <c r="AY47" s="93">
        <f>Modeloutput!P610</f>
        <v>0</v>
      </c>
      <c r="AZ47" s="24"/>
      <c r="BA47" s="119" t="s">
        <v>12</v>
      </c>
      <c r="BB47" s="114">
        <f>Modeloutput!B865</f>
        <v>0</v>
      </c>
      <c r="BC47" s="114">
        <f>Modeloutput!C865</f>
        <v>0</v>
      </c>
      <c r="BD47" s="114">
        <f>Modeloutput!D865</f>
        <v>0</v>
      </c>
      <c r="BE47" s="114">
        <f>Modeloutput!E865</f>
        <v>0</v>
      </c>
      <c r="BF47" s="114">
        <f>Modeloutput!F865</f>
        <v>0</v>
      </c>
      <c r="BG47" s="114">
        <f>Modeloutput!G865</f>
        <v>0</v>
      </c>
      <c r="BH47" s="114">
        <f>Modeloutput!H865</f>
        <v>0</v>
      </c>
      <c r="BI47" s="114">
        <f>Modeloutput!I865</f>
        <v>0</v>
      </c>
      <c r="BJ47" s="114">
        <f>Modeloutput!J865</f>
        <v>0</v>
      </c>
      <c r="BK47" s="114">
        <f>Modeloutput!K865</f>
        <v>0</v>
      </c>
      <c r="BL47" s="114">
        <f>Modeloutput!L865</f>
        <v>0</v>
      </c>
      <c r="BM47" s="114">
        <f>Modeloutput!M865</f>
        <v>0</v>
      </c>
      <c r="BN47" s="114">
        <f>Modeloutput!N865</f>
        <v>0</v>
      </c>
      <c r="BO47" s="114">
        <f>Modeloutput!O865</f>
        <v>0</v>
      </c>
      <c r="BP47" s="114">
        <f>Modeloutput!P865</f>
        <v>0</v>
      </c>
      <c r="BQ47" s="24"/>
      <c r="BR47" s="119" t="s">
        <v>12</v>
      </c>
      <c r="BS47" s="114">
        <f>Modeloutput!B1120</f>
        <v>0</v>
      </c>
      <c r="BT47" s="114">
        <f>Modeloutput!C1120</f>
        <v>0</v>
      </c>
      <c r="BU47" s="114">
        <f>Modeloutput!D1120</f>
        <v>0</v>
      </c>
      <c r="BV47" s="114">
        <f>Modeloutput!E1120</f>
        <v>0</v>
      </c>
      <c r="BW47" s="114">
        <f>Modeloutput!F1120</f>
        <v>0</v>
      </c>
      <c r="BX47" s="114">
        <f>Modeloutput!G1120</f>
        <v>0</v>
      </c>
      <c r="BY47" s="114">
        <f>Modeloutput!H1120</f>
        <v>0</v>
      </c>
      <c r="BZ47" s="114">
        <f>Modeloutput!I1120</f>
        <v>0</v>
      </c>
      <c r="CA47" s="114">
        <f>Modeloutput!J1120</f>
        <v>0</v>
      </c>
      <c r="CB47" s="114">
        <f>Modeloutput!K1120</f>
        <v>0</v>
      </c>
      <c r="CC47" s="114">
        <f>Modeloutput!L1120</f>
        <v>0</v>
      </c>
      <c r="CD47" s="114">
        <f>Modeloutput!M1120</f>
        <v>0</v>
      </c>
      <c r="CE47" s="114">
        <f>Modeloutput!N1120</f>
        <v>0</v>
      </c>
      <c r="CF47" s="114">
        <f>Modeloutput!O1120</f>
        <v>0</v>
      </c>
      <c r="CG47" s="114">
        <f>Modeloutput!P1120</f>
        <v>0</v>
      </c>
    </row>
    <row r="48" spans="2:85" s="7" customFormat="1" x14ac:dyDescent="0.25">
      <c r="B48" s="7" t="s">
        <v>13</v>
      </c>
      <c r="C48" s="114">
        <f>Modeloutput!B101</f>
        <v>0</v>
      </c>
      <c r="D48" s="114">
        <f>Modeloutput!C101</f>
        <v>0</v>
      </c>
      <c r="E48" s="114">
        <f>Modeloutput!D101</f>
        <v>0</v>
      </c>
      <c r="F48" s="114">
        <f>Modeloutput!E101</f>
        <v>0</v>
      </c>
      <c r="G48" s="114">
        <f>Modeloutput!F101</f>
        <v>0</v>
      </c>
      <c r="H48" s="114">
        <f>Modeloutput!G101</f>
        <v>0</v>
      </c>
      <c r="I48" s="114">
        <f>Modeloutput!H101</f>
        <v>0</v>
      </c>
      <c r="J48" s="114">
        <f>Modeloutput!I101</f>
        <v>0</v>
      </c>
      <c r="K48" s="114">
        <f>Modeloutput!J101</f>
        <v>0</v>
      </c>
      <c r="L48" s="114">
        <f>Modeloutput!K101</f>
        <v>0</v>
      </c>
      <c r="M48" s="114">
        <f>Modeloutput!L101</f>
        <v>0</v>
      </c>
      <c r="N48" s="114">
        <f>Modeloutput!M101</f>
        <v>0</v>
      </c>
      <c r="O48" s="114">
        <f>Modeloutput!N101</f>
        <v>0</v>
      </c>
      <c r="P48" s="114">
        <f>Modeloutput!O101</f>
        <v>0</v>
      </c>
      <c r="Q48" s="114">
        <f>Modeloutput!P101</f>
        <v>0</v>
      </c>
      <c r="R48" s="24"/>
      <c r="S48" s="119" t="s">
        <v>13</v>
      </c>
      <c r="T48" s="114">
        <f>Modeloutput!B356</f>
        <v>0</v>
      </c>
      <c r="U48" s="114">
        <f>Modeloutput!C356</f>
        <v>0</v>
      </c>
      <c r="V48" s="114">
        <f>Modeloutput!D356</f>
        <v>0</v>
      </c>
      <c r="W48" s="114">
        <f>Modeloutput!E356</f>
        <v>0</v>
      </c>
      <c r="X48" s="114">
        <f>Modeloutput!F356</f>
        <v>0</v>
      </c>
      <c r="Y48" s="114">
        <f>Modeloutput!G356</f>
        <v>0</v>
      </c>
      <c r="Z48" s="114">
        <f>Modeloutput!H356</f>
        <v>0</v>
      </c>
      <c r="AA48" s="114">
        <f>Modeloutput!I356</f>
        <v>0</v>
      </c>
      <c r="AB48" s="114">
        <f>Modeloutput!J356</f>
        <v>0</v>
      </c>
      <c r="AC48" s="114">
        <f>Modeloutput!K356</f>
        <v>0</v>
      </c>
      <c r="AD48" s="114">
        <f>Modeloutput!L356</f>
        <v>0</v>
      </c>
      <c r="AE48" s="114">
        <f>Modeloutput!M356</f>
        <v>0</v>
      </c>
      <c r="AF48" s="114">
        <f>Modeloutput!N356</f>
        <v>0</v>
      </c>
      <c r="AG48" s="114">
        <f>Modeloutput!O356</f>
        <v>0</v>
      </c>
      <c r="AH48" s="114">
        <f>Modeloutput!P356</f>
        <v>0</v>
      </c>
      <c r="AI48" s="24"/>
      <c r="AJ48" s="119" t="s">
        <v>13</v>
      </c>
      <c r="AK48" s="93">
        <f>Modeloutput!B611</f>
        <v>0</v>
      </c>
      <c r="AL48" s="93">
        <f>Modeloutput!C611</f>
        <v>0</v>
      </c>
      <c r="AM48" s="93">
        <f>Modeloutput!D611</f>
        <v>0</v>
      </c>
      <c r="AN48" s="93">
        <f>Modeloutput!E611</f>
        <v>0</v>
      </c>
      <c r="AO48" s="93">
        <f>Modeloutput!F611</f>
        <v>0</v>
      </c>
      <c r="AP48" s="93">
        <f>Modeloutput!G611</f>
        <v>0</v>
      </c>
      <c r="AQ48" s="93">
        <f>Modeloutput!H611</f>
        <v>0</v>
      </c>
      <c r="AR48" s="93">
        <f>Modeloutput!I611</f>
        <v>0</v>
      </c>
      <c r="AS48" s="93">
        <f>Modeloutput!J611</f>
        <v>0</v>
      </c>
      <c r="AT48" s="93">
        <f>Modeloutput!K611</f>
        <v>0</v>
      </c>
      <c r="AU48" s="93">
        <f>Modeloutput!L611</f>
        <v>0</v>
      </c>
      <c r="AV48" s="93">
        <f>Modeloutput!M611</f>
        <v>0</v>
      </c>
      <c r="AW48" s="93">
        <f>Modeloutput!N611</f>
        <v>0</v>
      </c>
      <c r="AX48" s="93">
        <f>Modeloutput!O611</f>
        <v>0</v>
      </c>
      <c r="AY48" s="93">
        <f>Modeloutput!P611</f>
        <v>0</v>
      </c>
      <c r="AZ48" s="24"/>
      <c r="BA48" s="119" t="s">
        <v>13</v>
      </c>
      <c r="BB48" s="114">
        <f>Modeloutput!B866</f>
        <v>0</v>
      </c>
      <c r="BC48" s="114">
        <f>Modeloutput!C866</f>
        <v>0</v>
      </c>
      <c r="BD48" s="114">
        <f>Modeloutput!D866</f>
        <v>0</v>
      </c>
      <c r="BE48" s="114">
        <f>Modeloutput!E866</f>
        <v>0</v>
      </c>
      <c r="BF48" s="114">
        <f>Modeloutput!F866</f>
        <v>0</v>
      </c>
      <c r="BG48" s="114">
        <f>Modeloutput!G866</f>
        <v>0</v>
      </c>
      <c r="BH48" s="114">
        <f>Modeloutput!H866</f>
        <v>0</v>
      </c>
      <c r="BI48" s="114">
        <f>Modeloutput!I866</f>
        <v>0</v>
      </c>
      <c r="BJ48" s="114">
        <f>Modeloutput!J866</f>
        <v>0</v>
      </c>
      <c r="BK48" s="114">
        <f>Modeloutput!K866</f>
        <v>0</v>
      </c>
      <c r="BL48" s="114">
        <f>Modeloutput!L866</f>
        <v>0</v>
      </c>
      <c r="BM48" s="114">
        <f>Modeloutput!M866</f>
        <v>0</v>
      </c>
      <c r="BN48" s="114">
        <f>Modeloutput!N866</f>
        <v>0</v>
      </c>
      <c r="BO48" s="114">
        <f>Modeloutput!O866</f>
        <v>0</v>
      </c>
      <c r="BP48" s="114">
        <f>Modeloutput!P866</f>
        <v>0</v>
      </c>
      <c r="BQ48" s="24"/>
      <c r="BR48" s="119" t="s">
        <v>13</v>
      </c>
      <c r="BS48" s="114">
        <f>Modeloutput!B1121</f>
        <v>0</v>
      </c>
      <c r="BT48" s="114">
        <f>Modeloutput!C1121</f>
        <v>0</v>
      </c>
      <c r="BU48" s="114">
        <f>Modeloutput!D1121</f>
        <v>0</v>
      </c>
      <c r="BV48" s="114">
        <f>Modeloutput!E1121</f>
        <v>0</v>
      </c>
      <c r="BW48" s="114">
        <f>Modeloutput!F1121</f>
        <v>0</v>
      </c>
      <c r="BX48" s="114">
        <f>Modeloutput!G1121</f>
        <v>0</v>
      </c>
      <c r="BY48" s="114">
        <f>Modeloutput!H1121</f>
        <v>0</v>
      </c>
      <c r="BZ48" s="114">
        <f>Modeloutput!I1121</f>
        <v>0</v>
      </c>
      <c r="CA48" s="114">
        <f>Modeloutput!J1121</f>
        <v>0</v>
      </c>
      <c r="CB48" s="114">
        <f>Modeloutput!K1121</f>
        <v>0</v>
      </c>
      <c r="CC48" s="114">
        <f>Modeloutput!L1121</f>
        <v>0</v>
      </c>
      <c r="CD48" s="114">
        <f>Modeloutput!M1121</f>
        <v>0</v>
      </c>
      <c r="CE48" s="114">
        <f>Modeloutput!N1121</f>
        <v>0</v>
      </c>
      <c r="CF48" s="114">
        <f>Modeloutput!O1121</f>
        <v>0</v>
      </c>
      <c r="CG48" s="114">
        <f>Modeloutput!P1121</f>
        <v>0</v>
      </c>
    </row>
    <row r="49" spans="1:85" s="7" customFormat="1" x14ac:dyDescent="0.25">
      <c r="B49" s="7" t="s">
        <v>14</v>
      </c>
      <c r="C49" s="114">
        <f>Modeloutput!B102</f>
        <v>0</v>
      </c>
      <c r="D49" s="114">
        <f>Modeloutput!C102</f>
        <v>0</v>
      </c>
      <c r="E49" s="114">
        <f>Modeloutput!D102</f>
        <v>0</v>
      </c>
      <c r="F49" s="114">
        <f>Modeloutput!E102</f>
        <v>0</v>
      </c>
      <c r="G49" s="114">
        <f>Modeloutput!F102</f>
        <v>0</v>
      </c>
      <c r="H49" s="114">
        <f>Modeloutput!G102</f>
        <v>0</v>
      </c>
      <c r="I49" s="114">
        <f>Modeloutput!H102</f>
        <v>0</v>
      </c>
      <c r="J49" s="114">
        <f>Modeloutput!I102</f>
        <v>0</v>
      </c>
      <c r="K49" s="114">
        <f>Modeloutput!J102</f>
        <v>0</v>
      </c>
      <c r="L49" s="114">
        <f>Modeloutput!K102</f>
        <v>0</v>
      </c>
      <c r="M49" s="114">
        <f>Modeloutput!L102</f>
        <v>0</v>
      </c>
      <c r="N49" s="114">
        <f>Modeloutput!M102</f>
        <v>0</v>
      </c>
      <c r="O49" s="114">
        <f>Modeloutput!N102</f>
        <v>0</v>
      </c>
      <c r="P49" s="114">
        <f>Modeloutput!O102</f>
        <v>0</v>
      </c>
      <c r="Q49" s="114">
        <f>Modeloutput!P102</f>
        <v>0</v>
      </c>
      <c r="R49" s="24"/>
      <c r="S49" s="119" t="s">
        <v>14</v>
      </c>
      <c r="T49" s="114">
        <f>Modeloutput!B357</f>
        <v>0</v>
      </c>
      <c r="U49" s="114">
        <f>Modeloutput!C357</f>
        <v>0</v>
      </c>
      <c r="V49" s="114">
        <f>Modeloutput!D357</f>
        <v>0</v>
      </c>
      <c r="W49" s="114">
        <f>Modeloutput!E357</f>
        <v>0</v>
      </c>
      <c r="X49" s="114">
        <f>Modeloutput!F357</f>
        <v>0</v>
      </c>
      <c r="Y49" s="114">
        <f>Modeloutput!G357</f>
        <v>0</v>
      </c>
      <c r="Z49" s="114">
        <f>Modeloutput!H357</f>
        <v>0</v>
      </c>
      <c r="AA49" s="114">
        <f>Modeloutput!I357</f>
        <v>0</v>
      </c>
      <c r="AB49" s="114">
        <f>Modeloutput!J357</f>
        <v>0</v>
      </c>
      <c r="AC49" s="114">
        <f>Modeloutput!K357</f>
        <v>0</v>
      </c>
      <c r="AD49" s="114">
        <f>Modeloutput!L357</f>
        <v>0</v>
      </c>
      <c r="AE49" s="114">
        <f>Modeloutput!M357</f>
        <v>0</v>
      </c>
      <c r="AF49" s="114">
        <f>Modeloutput!N357</f>
        <v>0</v>
      </c>
      <c r="AG49" s="114">
        <f>Modeloutput!O357</f>
        <v>0</v>
      </c>
      <c r="AH49" s="114">
        <f>Modeloutput!P357</f>
        <v>0</v>
      </c>
      <c r="AI49" s="24"/>
      <c r="AJ49" s="119" t="s">
        <v>14</v>
      </c>
      <c r="AK49" s="93">
        <f>Modeloutput!B612</f>
        <v>0</v>
      </c>
      <c r="AL49" s="93">
        <f>Modeloutput!C612</f>
        <v>0</v>
      </c>
      <c r="AM49" s="93">
        <f>Modeloutput!D612</f>
        <v>0</v>
      </c>
      <c r="AN49" s="93">
        <f>Modeloutput!E612</f>
        <v>0</v>
      </c>
      <c r="AO49" s="93">
        <f>Modeloutput!F612</f>
        <v>0</v>
      </c>
      <c r="AP49" s="93">
        <f>Modeloutput!G612</f>
        <v>0</v>
      </c>
      <c r="AQ49" s="93">
        <f>Modeloutput!H612</f>
        <v>0</v>
      </c>
      <c r="AR49" s="93">
        <f>Modeloutput!I612</f>
        <v>0</v>
      </c>
      <c r="AS49" s="93">
        <f>Modeloutput!J612</f>
        <v>0</v>
      </c>
      <c r="AT49" s="93">
        <f>Modeloutput!K612</f>
        <v>0</v>
      </c>
      <c r="AU49" s="93">
        <f>Modeloutput!L612</f>
        <v>0</v>
      </c>
      <c r="AV49" s="93">
        <f>Modeloutput!M612</f>
        <v>0</v>
      </c>
      <c r="AW49" s="93">
        <f>Modeloutput!N612</f>
        <v>0</v>
      </c>
      <c r="AX49" s="93">
        <f>Modeloutput!O612</f>
        <v>0</v>
      </c>
      <c r="AY49" s="93">
        <f>Modeloutput!P612</f>
        <v>0</v>
      </c>
      <c r="AZ49" s="24"/>
      <c r="BA49" s="119" t="s">
        <v>14</v>
      </c>
      <c r="BB49" s="114">
        <f>Modeloutput!B867</f>
        <v>0</v>
      </c>
      <c r="BC49" s="114">
        <f>Modeloutput!C867</f>
        <v>0</v>
      </c>
      <c r="BD49" s="114">
        <f>Modeloutput!D867</f>
        <v>0</v>
      </c>
      <c r="BE49" s="114">
        <f>Modeloutput!E867</f>
        <v>0</v>
      </c>
      <c r="BF49" s="114">
        <f>Modeloutput!F867</f>
        <v>0</v>
      </c>
      <c r="BG49" s="114">
        <f>Modeloutput!G867</f>
        <v>0</v>
      </c>
      <c r="BH49" s="114">
        <f>Modeloutput!H867</f>
        <v>0</v>
      </c>
      <c r="BI49" s="114">
        <f>Modeloutput!I867</f>
        <v>0</v>
      </c>
      <c r="BJ49" s="114">
        <f>Modeloutput!J867</f>
        <v>0</v>
      </c>
      <c r="BK49" s="114">
        <f>Modeloutput!K867</f>
        <v>0</v>
      </c>
      <c r="BL49" s="114">
        <f>Modeloutput!L867</f>
        <v>0</v>
      </c>
      <c r="BM49" s="114">
        <f>Modeloutput!M867</f>
        <v>0</v>
      </c>
      <c r="BN49" s="114">
        <f>Modeloutput!N867</f>
        <v>0</v>
      </c>
      <c r="BO49" s="114">
        <f>Modeloutput!O867</f>
        <v>0</v>
      </c>
      <c r="BP49" s="114">
        <f>Modeloutput!P867</f>
        <v>0</v>
      </c>
      <c r="BQ49" s="24"/>
      <c r="BR49" s="119" t="s">
        <v>14</v>
      </c>
      <c r="BS49" s="114">
        <f>Modeloutput!B1122</f>
        <v>0</v>
      </c>
      <c r="BT49" s="114">
        <f>Modeloutput!C1122</f>
        <v>0</v>
      </c>
      <c r="BU49" s="114">
        <f>Modeloutput!D1122</f>
        <v>0</v>
      </c>
      <c r="BV49" s="114">
        <f>Modeloutput!E1122</f>
        <v>0</v>
      </c>
      <c r="BW49" s="114">
        <f>Modeloutput!F1122</f>
        <v>0</v>
      </c>
      <c r="BX49" s="114">
        <f>Modeloutput!G1122</f>
        <v>0</v>
      </c>
      <c r="BY49" s="114">
        <f>Modeloutput!H1122</f>
        <v>0</v>
      </c>
      <c r="BZ49" s="114">
        <f>Modeloutput!I1122</f>
        <v>0</v>
      </c>
      <c r="CA49" s="114">
        <f>Modeloutput!J1122</f>
        <v>0</v>
      </c>
      <c r="CB49" s="114">
        <f>Modeloutput!K1122</f>
        <v>0</v>
      </c>
      <c r="CC49" s="114">
        <f>Modeloutput!L1122</f>
        <v>0</v>
      </c>
      <c r="CD49" s="114">
        <f>Modeloutput!M1122</f>
        <v>0</v>
      </c>
      <c r="CE49" s="114">
        <f>Modeloutput!N1122</f>
        <v>0</v>
      </c>
      <c r="CF49" s="114">
        <f>Modeloutput!O1122</f>
        <v>0</v>
      </c>
      <c r="CG49" s="114">
        <f>Modeloutput!P1122</f>
        <v>0</v>
      </c>
    </row>
    <row r="50" spans="1:85" s="7" customFormat="1" x14ac:dyDescent="0.25">
      <c r="B50" s="28" t="s">
        <v>18</v>
      </c>
      <c r="C50" s="115">
        <f t="shared" ref="C50:Q50" si="5">SUM(C36:C49)</f>
        <v>12.655658574</v>
      </c>
      <c r="D50" s="115">
        <f t="shared" si="5"/>
        <v>2.9589726211999996</v>
      </c>
      <c r="E50" s="115">
        <f t="shared" si="5"/>
        <v>9.6966859599999999</v>
      </c>
      <c r="F50" s="115">
        <f t="shared" si="5"/>
        <v>5.8023774499999998</v>
      </c>
      <c r="G50" s="115">
        <f t="shared" si="5"/>
        <v>0.59011946117000003</v>
      </c>
      <c r="H50" s="115">
        <f t="shared" si="5"/>
        <v>3.2063811317000002</v>
      </c>
      <c r="I50" s="115">
        <f t="shared" si="5"/>
        <v>9.7807917180000009E-2</v>
      </c>
      <c r="J50" s="115">
        <f t="shared" si="5"/>
        <v>0</v>
      </c>
      <c r="K50" s="115">
        <f t="shared" si="5"/>
        <v>0</v>
      </c>
      <c r="L50" s="115">
        <f t="shared" si="5"/>
        <v>2.873998072</v>
      </c>
      <c r="M50" s="115">
        <f t="shared" si="5"/>
        <v>0</v>
      </c>
      <c r="N50" s="115">
        <f t="shared" si="5"/>
        <v>8.4974541200000003E-2</v>
      </c>
      <c r="O50" s="115">
        <f t="shared" si="5"/>
        <v>0</v>
      </c>
      <c r="P50" s="115">
        <f t="shared" si="5"/>
        <v>0</v>
      </c>
      <c r="Q50" s="115">
        <f t="shared" si="5"/>
        <v>0</v>
      </c>
      <c r="R50" s="24"/>
      <c r="S50" s="120" t="s">
        <v>18</v>
      </c>
      <c r="T50" s="115">
        <f t="shared" ref="T50:AH50" si="6">SUM(T36:T49)</f>
        <v>10.316408156</v>
      </c>
      <c r="U50" s="115">
        <f t="shared" si="6"/>
        <v>2.1890748972999998</v>
      </c>
      <c r="V50" s="115">
        <f t="shared" si="6"/>
        <v>8.1273332539999998</v>
      </c>
      <c r="W50" s="115">
        <f t="shared" si="6"/>
        <v>5.1318663099999995</v>
      </c>
      <c r="X50" s="115">
        <f t="shared" si="6"/>
        <v>0.59025571160000001</v>
      </c>
      <c r="Y50" s="115">
        <f t="shared" si="6"/>
        <v>2.3074033151999997</v>
      </c>
      <c r="Z50" s="115">
        <f t="shared" si="6"/>
        <v>9.7807917180000009E-2</v>
      </c>
      <c r="AA50" s="115">
        <f t="shared" si="6"/>
        <v>0</v>
      </c>
      <c r="AB50" s="115">
        <f t="shared" si="6"/>
        <v>0</v>
      </c>
      <c r="AC50" s="115">
        <f t="shared" si="6"/>
        <v>2.1046211550000002</v>
      </c>
      <c r="AD50" s="115">
        <f t="shared" si="6"/>
        <v>0</v>
      </c>
      <c r="AE50" s="115">
        <f t="shared" si="6"/>
        <v>8.4453747300000007E-2</v>
      </c>
      <c r="AF50" s="115">
        <f t="shared" si="6"/>
        <v>0</v>
      </c>
      <c r="AG50" s="115">
        <f t="shared" si="6"/>
        <v>0</v>
      </c>
      <c r="AH50" s="115">
        <f t="shared" si="6"/>
        <v>0</v>
      </c>
      <c r="AI50" s="24"/>
      <c r="AJ50" s="120" t="s">
        <v>18</v>
      </c>
      <c r="AK50" s="100">
        <f t="shared" ref="AK50:AY50" si="7">SUM(AK36:AK49)</f>
        <v>8.481530729000001</v>
      </c>
      <c r="AL50" s="100">
        <f t="shared" si="7"/>
        <v>2.112586378</v>
      </c>
      <c r="AM50" s="100">
        <f t="shared" si="7"/>
        <v>6.3689443520000006</v>
      </c>
      <c r="AN50" s="100">
        <f t="shared" si="7"/>
        <v>3.7756718009999997</v>
      </c>
      <c r="AO50" s="100">
        <f t="shared" si="7"/>
        <v>0.58992331757000005</v>
      </c>
      <c r="AP50" s="100">
        <f t="shared" si="7"/>
        <v>1.9055413079999999</v>
      </c>
      <c r="AQ50" s="100">
        <f t="shared" si="7"/>
        <v>9.7807917180000009E-2</v>
      </c>
      <c r="AR50" s="100">
        <f t="shared" si="7"/>
        <v>0</v>
      </c>
      <c r="AS50" s="100">
        <f t="shared" si="7"/>
        <v>0</v>
      </c>
      <c r="AT50" s="100">
        <f t="shared" si="7"/>
        <v>1.458758193</v>
      </c>
      <c r="AU50" s="100">
        <f t="shared" si="7"/>
        <v>0</v>
      </c>
      <c r="AV50" s="100">
        <f t="shared" si="7"/>
        <v>0.65382818799999998</v>
      </c>
      <c r="AW50" s="100">
        <f t="shared" si="7"/>
        <v>0</v>
      </c>
      <c r="AX50" s="100">
        <f t="shared" si="7"/>
        <v>0</v>
      </c>
      <c r="AY50" s="100">
        <f t="shared" si="7"/>
        <v>0</v>
      </c>
      <c r="AZ50" s="24"/>
      <c r="BA50" s="120" t="s">
        <v>18</v>
      </c>
      <c r="BB50" s="115">
        <f t="shared" ref="BB50:BP50" si="8">SUM(BB36:BB49)</f>
        <v>8.6419760179999994</v>
      </c>
      <c r="BC50" s="115">
        <f t="shared" si="8"/>
        <v>2.8974271300000001</v>
      </c>
      <c r="BD50" s="115">
        <f t="shared" si="8"/>
        <v>5.7445488899999999</v>
      </c>
      <c r="BE50" s="115">
        <f t="shared" si="8"/>
        <v>3.0118693199999997</v>
      </c>
      <c r="BF50" s="115">
        <f t="shared" si="8"/>
        <v>0.44902260599999999</v>
      </c>
      <c r="BG50" s="115">
        <f t="shared" si="8"/>
        <v>2.1911221300000001</v>
      </c>
      <c r="BH50" s="115">
        <f t="shared" si="8"/>
        <v>9.2534830400000004E-2</v>
      </c>
      <c r="BI50" s="115">
        <f t="shared" si="8"/>
        <v>0</v>
      </c>
      <c r="BJ50" s="115">
        <f t="shared" si="8"/>
        <v>0</v>
      </c>
      <c r="BK50" s="115">
        <f t="shared" si="8"/>
        <v>2.8974271279999999</v>
      </c>
      <c r="BL50" s="115">
        <f t="shared" si="8"/>
        <v>0</v>
      </c>
      <c r="BM50" s="115">
        <f t="shared" si="8"/>
        <v>0</v>
      </c>
      <c r="BN50" s="115">
        <f t="shared" si="8"/>
        <v>0</v>
      </c>
      <c r="BO50" s="115">
        <f t="shared" si="8"/>
        <v>0</v>
      </c>
      <c r="BP50" s="115">
        <f t="shared" si="8"/>
        <v>0</v>
      </c>
      <c r="BQ50" s="24"/>
      <c r="BR50" s="120" t="s">
        <v>18</v>
      </c>
      <c r="BS50" s="115">
        <f t="shared" ref="BS50:CG50" si="9">SUM(BS36:BS49)</f>
        <v>14.03615949227</v>
      </c>
      <c r="BT50" s="115">
        <f t="shared" si="9"/>
        <v>6.1315847420839997</v>
      </c>
      <c r="BU50" s="115">
        <f t="shared" si="9"/>
        <v>7.9045747541899996</v>
      </c>
      <c r="BV50" s="115">
        <f t="shared" si="9"/>
        <v>4.9031488669999996</v>
      </c>
      <c r="BW50" s="115">
        <f t="shared" si="9"/>
        <v>0.58930425361799998</v>
      </c>
      <c r="BX50" s="115">
        <f t="shared" si="9"/>
        <v>2.3059611095020003</v>
      </c>
      <c r="BY50" s="115">
        <f t="shared" si="9"/>
        <v>0.106160533744</v>
      </c>
      <c r="BZ50" s="115">
        <f t="shared" si="9"/>
        <v>0</v>
      </c>
      <c r="CA50" s="115">
        <f t="shared" si="9"/>
        <v>0</v>
      </c>
      <c r="CB50" s="115">
        <f t="shared" si="9"/>
        <v>4.1903411080000001</v>
      </c>
      <c r="CC50" s="115">
        <f t="shared" si="9"/>
        <v>1.9404759679999999</v>
      </c>
      <c r="CD50" s="115">
        <f t="shared" si="9"/>
        <v>7.67662084E-4</v>
      </c>
      <c r="CE50" s="115">
        <f t="shared" si="9"/>
        <v>0</v>
      </c>
      <c r="CF50" s="115">
        <f t="shared" si="9"/>
        <v>0</v>
      </c>
      <c r="CG50" s="115">
        <f t="shared" si="9"/>
        <v>0</v>
      </c>
    </row>
    <row r="52" spans="1:85" x14ac:dyDescent="0.25">
      <c r="B52" s="21" t="s">
        <v>3</v>
      </c>
      <c r="C52" s="121">
        <f>SUM(F38:K38)</f>
        <v>4.1664536282500002</v>
      </c>
      <c r="S52" s="121" t="s">
        <v>3</v>
      </c>
      <c r="T52" s="121">
        <f>SUM(W38:AB38)</f>
        <v>3.20415590068</v>
      </c>
      <c r="AJ52" s="121" t="s">
        <v>3</v>
      </c>
      <c r="AK52" s="121">
        <f>SUM(AN38:AS38)</f>
        <v>0.61783648564999993</v>
      </c>
      <c r="BA52" s="121" t="s">
        <v>3</v>
      </c>
      <c r="BB52" s="121">
        <f>SUM(BE38:BJ38)</f>
        <v>0</v>
      </c>
      <c r="BR52" s="121" t="s">
        <v>3</v>
      </c>
      <c r="BS52" s="121">
        <f>SUM(BV38:CA38)</f>
        <v>1.2889478188E-2</v>
      </c>
    </row>
    <row r="53" spans="1:85" x14ac:dyDescent="0.25">
      <c r="B53" s="12" t="s">
        <v>38</v>
      </c>
      <c r="C53" s="122">
        <f>SUM(F39:Q39)</f>
        <v>3.1339467169999993</v>
      </c>
      <c r="S53" s="122" t="s">
        <v>38</v>
      </c>
      <c r="T53" s="122">
        <f>SUM(W39:AH39)</f>
        <v>3.1334118430999998</v>
      </c>
      <c r="AJ53" s="122" t="s">
        <v>38</v>
      </c>
      <c r="AK53" s="122">
        <f>SUM(AN39:AY39)</f>
        <v>3.6672349037999994</v>
      </c>
      <c r="BA53" s="122" t="s">
        <v>38</v>
      </c>
      <c r="BB53" s="122">
        <f>SUM(BE39:BP39)</f>
        <v>3.4635956141999995</v>
      </c>
      <c r="BR53" s="122" t="s">
        <v>38</v>
      </c>
      <c r="BS53" s="122">
        <f>SUM(BV39:CG39)</f>
        <v>3.0640865184839994</v>
      </c>
    </row>
    <row r="54" spans="1:85" x14ac:dyDescent="0.25">
      <c r="B54" s="26" t="s">
        <v>39</v>
      </c>
      <c r="C54" s="123">
        <f>SUM(F40:K44)</f>
        <v>2.4812601560000007</v>
      </c>
      <c r="S54" s="123" t="s">
        <v>39</v>
      </c>
      <c r="T54" s="123">
        <f>SUM(W40:AB44)</f>
        <v>1.8742192575000001</v>
      </c>
      <c r="AJ54" s="123" t="s">
        <v>39</v>
      </c>
      <c r="AK54" s="123">
        <f>SUM(AN40:AS44)</f>
        <v>2.7377011423000002</v>
      </c>
      <c r="BA54" s="123" t="s">
        <v>39</v>
      </c>
      <c r="BB54" s="123">
        <f>SUM(BE40:BJ44)</f>
        <v>2.2809532722000001</v>
      </c>
      <c r="BR54" s="123" t="s">
        <v>39</v>
      </c>
      <c r="BS54" s="123">
        <f>SUM(BV40:CA44)</f>
        <v>4.8283664292759996</v>
      </c>
    </row>
    <row r="55" spans="1:85" x14ac:dyDescent="0.25">
      <c r="B55" s="10" t="s">
        <v>40</v>
      </c>
      <c r="C55" s="124">
        <f>SUM(F37:K37)</f>
        <v>0</v>
      </c>
      <c r="S55" s="124" t="s">
        <v>40</v>
      </c>
      <c r="T55" s="124">
        <f>SUM(W37:AB37)</f>
        <v>0</v>
      </c>
      <c r="AJ55" s="124" t="s">
        <v>40</v>
      </c>
      <c r="AK55" s="124">
        <f>SUM(AN37:AS37)</f>
        <v>0</v>
      </c>
      <c r="BA55" s="124" t="s">
        <v>40</v>
      </c>
      <c r="BB55" s="124">
        <f>SUM(BE37:BJ37)</f>
        <v>0</v>
      </c>
      <c r="BR55" s="124" t="s">
        <v>40</v>
      </c>
      <c r="BS55" s="124">
        <f>SUM(BV37:CA37)</f>
        <v>0</v>
      </c>
    </row>
    <row r="56" spans="1:85" x14ac:dyDescent="0.25">
      <c r="B56" s="20" t="s">
        <v>41</v>
      </c>
      <c r="C56" s="125">
        <f>SUM(L38:P38)</f>
        <v>0.61148895199999997</v>
      </c>
      <c r="S56" s="125" t="s">
        <v>41</v>
      </c>
      <c r="T56" s="125">
        <f>SUM(AC38:AG38)</f>
        <v>0.44779173500000002</v>
      </c>
      <c r="AJ56" s="125" t="s">
        <v>41</v>
      </c>
      <c r="AK56" s="125">
        <f>SUM(AT38:AX38)</f>
        <v>0.31037408300000002</v>
      </c>
      <c r="BA56" s="125" t="s">
        <v>41</v>
      </c>
      <c r="BB56" s="125">
        <f>SUM(BK38:BO38)</f>
        <v>0.61647385799999999</v>
      </c>
      <c r="BR56" s="125" t="s">
        <v>41</v>
      </c>
      <c r="BS56" s="125">
        <f>SUM(CB38:CF38)</f>
        <v>1.304429166</v>
      </c>
    </row>
    <row r="57" spans="1:85" ht="21" x14ac:dyDescent="0.35">
      <c r="A57" s="5">
        <v>2030</v>
      </c>
      <c r="R57" s="128">
        <v>2030</v>
      </c>
      <c r="AI57" s="128">
        <v>2030</v>
      </c>
      <c r="AZ57" s="128">
        <v>2030</v>
      </c>
      <c r="BQ57" s="128">
        <v>2030</v>
      </c>
    </row>
    <row r="58" spans="1:85" x14ac:dyDescent="0.25">
      <c r="B58" s="4" t="str">
        <f>$B$6</f>
        <v>ReferentieUtrecht</v>
      </c>
      <c r="S58" s="118" t="str">
        <f>$S$6</f>
        <v>Utrecht_Label B</v>
      </c>
      <c r="AJ58" s="118" t="str">
        <f>$AJ$6</f>
        <v>Utrecht_Label Aplus</v>
      </c>
      <c r="BA58" s="118" t="str">
        <f>BA$6</f>
        <v>Utrecht_Label Aplus, met eWP</v>
      </c>
      <c r="BR58" s="118" t="str">
        <f>BR$6</f>
        <v>Utrecht_Label B_Warmtenetten</v>
      </c>
    </row>
    <row r="59" spans="1:85" x14ac:dyDescent="0.25">
      <c r="C59" s="112" t="s">
        <v>18</v>
      </c>
      <c r="D59" s="112" t="s">
        <v>19</v>
      </c>
      <c r="E59" s="112" t="s">
        <v>20</v>
      </c>
      <c r="F59" s="112" t="s">
        <v>21</v>
      </c>
      <c r="G59" s="112" t="s">
        <v>22</v>
      </c>
      <c r="H59" s="112" t="s">
        <v>23</v>
      </c>
      <c r="I59" s="112" t="s">
        <v>24</v>
      </c>
      <c r="J59" s="112" t="s">
        <v>25</v>
      </c>
      <c r="K59" s="112" t="s">
        <v>26</v>
      </c>
      <c r="L59" s="112" t="s">
        <v>5</v>
      </c>
      <c r="M59" s="112" t="s">
        <v>6</v>
      </c>
      <c r="N59" s="112" t="s">
        <v>7</v>
      </c>
      <c r="O59" s="112" t="s">
        <v>8</v>
      </c>
      <c r="P59" s="112" t="s">
        <v>9</v>
      </c>
      <c r="Q59" s="112" t="s">
        <v>27</v>
      </c>
      <c r="T59" s="112" t="s">
        <v>18</v>
      </c>
      <c r="U59" s="112" t="s">
        <v>19</v>
      </c>
      <c r="V59" s="112" t="s">
        <v>20</v>
      </c>
      <c r="W59" s="112" t="s">
        <v>21</v>
      </c>
      <c r="X59" s="112" t="s">
        <v>22</v>
      </c>
      <c r="Y59" s="112" t="s">
        <v>23</v>
      </c>
      <c r="Z59" s="112" t="s">
        <v>24</v>
      </c>
      <c r="AA59" s="112" t="s">
        <v>25</v>
      </c>
      <c r="AB59" s="112" t="s">
        <v>26</v>
      </c>
      <c r="AC59" s="112" t="s">
        <v>5</v>
      </c>
      <c r="AD59" s="112" t="s">
        <v>6</v>
      </c>
      <c r="AE59" s="112" t="s">
        <v>7</v>
      </c>
      <c r="AF59" s="112" t="s">
        <v>8</v>
      </c>
      <c r="AG59" s="112" t="s">
        <v>9</v>
      </c>
      <c r="AH59" s="112" t="s">
        <v>27</v>
      </c>
      <c r="AK59" s="112" t="s">
        <v>18</v>
      </c>
      <c r="AL59" s="112" t="s">
        <v>19</v>
      </c>
      <c r="AM59" s="112" t="s">
        <v>20</v>
      </c>
      <c r="AN59" s="112" t="s">
        <v>21</v>
      </c>
      <c r="AO59" s="112" t="s">
        <v>22</v>
      </c>
      <c r="AP59" s="112" t="s">
        <v>23</v>
      </c>
      <c r="AQ59" s="112" t="s">
        <v>24</v>
      </c>
      <c r="AR59" s="112" t="s">
        <v>25</v>
      </c>
      <c r="AS59" s="112" t="s">
        <v>26</v>
      </c>
      <c r="AT59" s="112" t="s">
        <v>5</v>
      </c>
      <c r="AU59" s="112" t="s">
        <v>6</v>
      </c>
      <c r="AV59" s="112" t="s">
        <v>7</v>
      </c>
      <c r="AW59" s="112" t="s">
        <v>8</v>
      </c>
      <c r="AX59" s="112" t="s">
        <v>9</v>
      </c>
      <c r="AY59" s="112" t="s">
        <v>27</v>
      </c>
      <c r="BB59" s="112" t="s">
        <v>18</v>
      </c>
      <c r="BC59" s="112" t="s">
        <v>19</v>
      </c>
      <c r="BD59" s="112" t="s">
        <v>20</v>
      </c>
      <c r="BE59" s="112" t="s">
        <v>21</v>
      </c>
      <c r="BF59" s="112" t="s">
        <v>22</v>
      </c>
      <c r="BG59" s="112" t="s">
        <v>23</v>
      </c>
      <c r="BH59" s="112" t="s">
        <v>24</v>
      </c>
      <c r="BI59" s="112" t="s">
        <v>25</v>
      </c>
      <c r="BJ59" s="112" t="s">
        <v>26</v>
      </c>
      <c r="BK59" s="112" t="s">
        <v>5</v>
      </c>
      <c r="BL59" s="112" t="s">
        <v>6</v>
      </c>
      <c r="BM59" s="112" t="s">
        <v>7</v>
      </c>
      <c r="BN59" s="112" t="s">
        <v>8</v>
      </c>
      <c r="BO59" s="112" t="s">
        <v>9</v>
      </c>
      <c r="BP59" s="112" t="s">
        <v>27</v>
      </c>
      <c r="BS59" s="112" t="s">
        <v>18</v>
      </c>
      <c r="BT59" s="112" t="s">
        <v>19</v>
      </c>
      <c r="BU59" s="112" t="s">
        <v>20</v>
      </c>
      <c r="BV59" s="112" t="s">
        <v>21</v>
      </c>
      <c r="BW59" s="112" t="s">
        <v>22</v>
      </c>
      <c r="BX59" s="112" t="s">
        <v>23</v>
      </c>
      <c r="BY59" s="112" t="s">
        <v>24</v>
      </c>
      <c r="BZ59" s="112" t="s">
        <v>25</v>
      </c>
      <c r="CA59" s="112" t="s">
        <v>26</v>
      </c>
      <c r="CB59" s="112" t="s">
        <v>5</v>
      </c>
      <c r="CC59" s="112" t="s">
        <v>6</v>
      </c>
      <c r="CD59" s="112" t="s">
        <v>7</v>
      </c>
      <c r="CE59" s="112" t="s">
        <v>8</v>
      </c>
      <c r="CF59" s="112" t="s">
        <v>9</v>
      </c>
      <c r="CG59" s="112" t="s">
        <v>27</v>
      </c>
    </row>
    <row r="60" spans="1:85" x14ac:dyDescent="0.25">
      <c r="C60" s="112" t="s">
        <v>28</v>
      </c>
      <c r="D60" s="112" t="s">
        <v>28</v>
      </c>
      <c r="E60" s="112" t="s">
        <v>28</v>
      </c>
      <c r="F60" s="112" t="s">
        <v>28</v>
      </c>
      <c r="G60" s="112" t="s">
        <v>28</v>
      </c>
      <c r="H60" s="112" t="s">
        <v>28</v>
      </c>
      <c r="I60" s="112" t="s">
        <v>28</v>
      </c>
      <c r="J60" s="112" t="s">
        <v>28</v>
      </c>
      <c r="K60" s="112" t="s">
        <v>28</v>
      </c>
      <c r="L60" s="112" t="s">
        <v>28</v>
      </c>
      <c r="M60" s="112" t="s">
        <v>28</v>
      </c>
      <c r="N60" s="112" t="s">
        <v>28</v>
      </c>
      <c r="O60" s="112" t="s">
        <v>28</v>
      </c>
      <c r="P60" s="112" t="s">
        <v>28</v>
      </c>
      <c r="Q60" s="112" t="s">
        <v>28</v>
      </c>
      <c r="T60" s="112" t="s">
        <v>28</v>
      </c>
      <c r="U60" s="112" t="s">
        <v>28</v>
      </c>
      <c r="V60" s="112" t="s">
        <v>28</v>
      </c>
      <c r="W60" s="112" t="s">
        <v>28</v>
      </c>
      <c r="X60" s="112" t="s">
        <v>28</v>
      </c>
      <c r="Y60" s="112" t="s">
        <v>28</v>
      </c>
      <c r="Z60" s="112" t="s">
        <v>28</v>
      </c>
      <c r="AA60" s="112" t="s">
        <v>28</v>
      </c>
      <c r="AB60" s="112" t="s">
        <v>28</v>
      </c>
      <c r="AC60" s="112" t="s">
        <v>28</v>
      </c>
      <c r="AD60" s="112" t="s">
        <v>28</v>
      </c>
      <c r="AE60" s="112" t="s">
        <v>28</v>
      </c>
      <c r="AF60" s="112" t="s">
        <v>28</v>
      </c>
      <c r="AG60" s="112" t="s">
        <v>28</v>
      </c>
      <c r="AH60" s="112" t="s">
        <v>28</v>
      </c>
      <c r="AK60" s="112" t="s">
        <v>28</v>
      </c>
      <c r="AL60" s="112" t="s">
        <v>28</v>
      </c>
      <c r="AM60" s="112" t="s">
        <v>28</v>
      </c>
      <c r="AN60" s="112" t="s">
        <v>28</v>
      </c>
      <c r="AO60" s="112" t="s">
        <v>28</v>
      </c>
      <c r="AP60" s="112" t="s">
        <v>28</v>
      </c>
      <c r="AQ60" s="112" t="s">
        <v>28</v>
      </c>
      <c r="AR60" s="112" t="s">
        <v>28</v>
      </c>
      <c r="AS60" s="112" t="s">
        <v>28</v>
      </c>
      <c r="AT60" s="112" t="s">
        <v>28</v>
      </c>
      <c r="AU60" s="112" t="s">
        <v>28</v>
      </c>
      <c r="AV60" s="112" t="s">
        <v>28</v>
      </c>
      <c r="AW60" s="112" t="s">
        <v>28</v>
      </c>
      <c r="AX60" s="112" t="s">
        <v>28</v>
      </c>
      <c r="AY60" s="112" t="s">
        <v>28</v>
      </c>
      <c r="BB60" s="112" t="s">
        <v>28</v>
      </c>
      <c r="BC60" s="112" t="s">
        <v>28</v>
      </c>
      <c r="BD60" s="112" t="s">
        <v>28</v>
      </c>
      <c r="BE60" s="112" t="s">
        <v>28</v>
      </c>
      <c r="BF60" s="112" t="s">
        <v>28</v>
      </c>
      <c r="BG60" s="112" t="s">
        <v>28</v>
      </c>
      <c r="BH60" s="112" t="s">
        <v>28</v>
      </c>
      <c r="BI60" s="112" t="s">
        <v>28</v>
      </c>
      <c r="BJ60" s="112" t="s">
        <v>28</v>
      </c>
      <c r="BK60" s="112" t="s">
        <v>28</v>
      </c>
      <c r="BL60" s="112" t="s">
        <v>28</v>
      </c>
      <c r="BM60" s="112" t="s">
        <v>28</v>
      </c>
      <c r="BN60" s="112" t="s">
        <v>28</v>
      </c>
      <c r="BO60" s="112" t="s">
        <v>28</v>
      </c>
      <c r="BP60" s="112" t="s">
        <v>28</v>
      </c>
      <c r="BS60" s="112" t="s">
        <v>28</v>
      </c>
      <c r="BT60" s="112" t="s">
        <v>28</v>
      </c>
      <c r="BU60" s="112" t="s">
        <v>28</v>
      </c>
      <c r="BV60" s="112" t="s">
        <v>28</v>
      </c>
      <c r="BW60" s="112" t="s">
        <v>28</v>
      </c>
      <c r="BX60" s="112" t="s">
        <v>28</v>
      </c>
      <c r="BY60" s="112" t="s">
        <v>28</v>
      </c>
      <c r="BZ60" s="112" t="s">
        <v>28</v>
      </c>
      <c r="CA60" s="112" t="s">
        <v>28</v>
      </c>
      <c r="CB60" s="112" t="s">
        <v>28</v>
      </c>
      <c r="CC60" s="112" t="s">
        <v>28</v>
      </c>
      <c r="CD60" s="112" t="s">
        <v>28</v>
      </c>
      <c r="CE60" s="112" t="s">
        <v>28</v>
      </c>
      <c r="CF60" s="112" t="s">
        <v>28</v>
      </c>
      <c r="CG60" s="112" t="s">
        <v>28</v>
      </c>
    </row>
    <row r="61" spans="1:85" s="7" customFormat="1" x14ac:dyDescent="0.25">
      <c r="B61" s="7" t="s">
        <v>1</v>
      </c>
      <c r="C61" s="114">
        <f>Modeloutput!B140</f>
        <v>0</v>
      </c>
      <c r="D61" s="114">
        <f>Modeloutput!C140</f>
        <v>0</v>
      </c>
      <c r="E61" s="114">
        <f>Modeloutput!D140</f>
        <v>0</v>
      </c>
      <c r="F61" s="114">
        <f>Modeloutput!E140</f>
        <v>0</v>
      </c>
      <c r="G61" s="114">
        <f>Modeloutput!F140</f>
        <v>0</v>
      </c>
      <c r="H61" s="114">
        <f>Modeloutput!G140</f>
        <v>0</v>
      </c>
      <c r="I61" s="93">
        <f>Modeloutput!H140</f>
        <v>0</v>
      </c>
      <c r="J61" s="114">
        <f>Modeloutput!I140</f>
        <v>0</v>
      </c>
      <c r="K61" s="114">
        <f>Modeloutput!J140</f>
        <v>0</v>
      </c>
      <c r="L61" s="114">
        <f>Modeloutput!K140</f>
        <v>0</v>
      </c>
      <c r="M61" s="114">
        <f>Modeloutput!L140</f>
        <v>0</v>
      </c>
      <c r="N61" s="114">
        <f>Modeloutput!M140</f>
        <v>0</v>
      </c>
      <c r="O61" s="114">
        <f>Modeloutput!N140</f>
        <v>0</v>
      </c>
      <c r="P61" s="114">
        <f>Modeloutput!O140</f>
        <v>0</v>
      </c>
      <c r="Q61" s="114">
        <f>Modeloutput!P140</f>
        <v>0</v>
      </c>
      <c r="R61" s="24"/>
      <c r="S61" s="119" t="s">
        <v>1</v>
      </c>
      <c r="T61" s="114">
        <f>Modeloutput!B395</f>
        <v>0</v>
      </c>
      <c r="U61" s="114">
        <f>Modeloutput!C395</f>
        <v>0</v>
      </c>
      <c r="V61" s="114">
        <f>Modeloutput!D395</f>
        <v>0</v>
      </c>
      <c r="W61" s="114">
        <f>Modeloutput!E395</f>
        <v>0</v>
      </c>
      <c r="X61" s="114">
        <f>Modeloutput!F395</f>
        <v>0</v>
      </c>
      <c r="Y61" s="114">
        <f>Modeloutput!G395</f>
        <v>0</v>
      </c>
      <c r="Z61" s="114">
        <f>Modeloutput!H395</f>
        <v>0</v>
      </c>
      <c r="AA61" s="114">
        <f>Modeloutput!I395</f>
        <v>0</v>
      </c>
      <c r="AB61" s="114">
        <f>Modeloutput!J395</f>
        <v>0</v>
      </c>
      <c r="AC61" s="114">
        <f>Modeloutput!K395</f>
        <v>0</v>
      </c>
      <c r="AD61" s="114">
        <f>Modeloutput!L395</f>
        <v>0</v>
      </c>
      <c r="AE61" s="114">
        <f>Modeloutput!M395</f>
        <v>0</v>
      </c>
      <c r="AF61" s="114">
        <f>Modeloutput!N395</f>
        <v>0</v>
      </c>
      <c r="AG61" s="114">
        <f>Modeloutput!O395</f>
        <v>0</v>
      </c>
      <c r="AH61" s="114">
        <f>Modeloutput!P395</f>
        <v>0</v>
      </c>
      <c r="AI61" s="24"/>
      <c r="AJ61" s="119" t="s">
        <v>1</v>
      </c>
      <c r="AK61" s="93">
        <f>Modeloutput!B650</f>
        <v>0</v>
      </c>
      <c r="AL61" s="93">
        <f>Modeloutput!C650</f>
        <v>0</v>
      </c>
      <c r="AM61" s="93">
        <f>Modeloutput!D650</f>
        <v>0</v>
      </c>
      <c r="AN61" s="93">
        <f>Modeloutput!E650</f>
        <v>0</v>
      </c>
      <c r="AO61" s="93">
        <f>Modeloutput!F650</f>
        <v>0</v>
      </c>
      <c r="AP61" s="93">
        <f>Modeloutput!G650</f>
        <v>0</v>
      </c>
      <c r="AQ61" s="93">
        <f>Modeloutput!H650</f>
        <v>0</v>
      </c>
      <c r="AR61" s="93">
        <f>Modeloutput!I650</f>
        <v>0</v>
      </c>
      <c r="AS61" s="93">
        <f>Modeloutput!J650</f>
        <v>0</v>
      </c>
      <c r="AT61" s="93">
        <f>Modeloutput!K650</f>
        <v>0</v>
      </c>
      <c r="AU61" s="93">
        <f>Modeloutput!L650</f>
        <v>0</v>
      </c>
      <c r="AV61" s="93">
        <f>Modeloutput!M650</f>
        <v>0</v>
      </c>
      <c r="AW61" s="93">
        <f>Modeloutput!N650</f>
        <v>0</v>
      </c>
      <c r="AX61" s="93">
        <f>Modeloutput!O650</f>
        <v>0</v>
      </c>
      <c r="AY61" s="93">
        <f>Modeloutput!P650</f>
        <v>0</v>
      </c>
      <c r="AZ61" s="24"/>
      <c r="BA61" s="119" t="s">
        <v>1</v>
      </c>
      <c r="BB61" s="114">
        <f>Modeloutput!B905</f>
        <v>0</v>
      </c>
      <c r="BC61" s="114">
        <f>Modeloutput!C905</f>
        <v>0</v>
      </c>
      <c r="BD61" s="114">
        <f>Modeloutput!D905</f>
        <v>0</v>
      </c>
      <c r="BE61" s="114">
        <f>Modeloutput!E905</f>
        <v>0</v>
      </c>
      <c r="BF61" s="114">
        <f>Modeloutput!F905</f>
        <v>0</v>
      </c>
      <c r="BG61" s="114">
        <f>Modeloutput!G905</f>
        <v>0</v>
      </c>
      <c r="BH61" s="114">
        <f>Modeloutput!H905</f>
        <v>0</v>
      </c>
      <c r="BI61" s="114">
        <f>Modeloutput!I905</f>
        <v>0</v>
      </c>
      <c r="BJ61" s="114">
        <f>Modeloutput!J905</f>
        <v>0</v>
      </c>
      <c r="BK61" s="114">
        <f>Modeloutput!K905</f>
        <v>0</v>
      </c>
      <c r="BL61" s="114">
        <f>Modeloutput!L905</f>
        <v>0</v>
      </c>
      <c r="BM61" s="114">
        <f>Modeloutput!M905</f>
        <v>0</v>
      </c>
      <c r="BN61" s="114">
        <f>Modeloutput!N905</f>
        <v>0</v>
      </c>
      <c r="BO61" s="114">
        <f>Modeloutput!O905</f>
        <v>0</v>
      </c>
      <c r="BP61" s="114">
        <f>Modeloutput!P905</f>
        <v>0</v>
      </c>
      <c r="BQ61" s="24"/>
      <c r="BR61" s="119" t="s">
        <v>1</v>
      </c>
      <c r="BS61" s="114">
        <f>Modeloutput!B1160</f>
        <v>0</v>
      </c>
      <c r="BT61" s="114">
        <f>Modeloutput!C1160</f>
        <v>0</v>
      </c>
      <c r="BU61" s="114">
        <f>Modeloutput!D1160</f>
        <v>0</v>
      </c>
      <c r="BV61" s="114">
        <f>Modeloutput!E1160</f>
        <v>0</v>
      </c>
      <c r="BW61" s="114">
        <f>Modeloutput!F1160</f>
        <v>0</v>
      </c>
      <c r="BX61" s="114">
        <f>Modeloutput!G1160</f>
        <v>0</v>
      </c>
      <c r="BY61" s="114">
        <f>Modeloutput!H1160</f>
        <v>0</v>
      </c>
      <c r="BZ61" s="114">
        <f>Modeloutput!I1160</f>
        <v>0</v>
      </c>
      <c r="CA61" s="114">
        <f>Modeloutput!J1160</f>
        <v>0</v>
      </c>
      <c r="CB61" s="114">
        <f>Modeloutput!K1160</f>
        <v>0</v>
      </c>
      <c r="CC61" s="114">
        <f>Modeloutput!L1160</f>
        <v>0</v>
      </c>
      <c r="CD61" s="114">
        <f>Modeloutput!M1160</f>
        <v>0</v>
      </c>
      <c r="CE61" s="114">
        <f>Modeloutput!N1160</f>
        <v>0</v>
      </c>
      <c r="CF61" s="114">
        <f>Modeloutput!O1160</f>
        <v>0</v>
      </c>
      <c r="CG61" s="114">
        <f>Modeloutput!P1160</f>
        <v>0</v>
      </c>
    </row>
    <row r="62" spans="1:85" s="7" customFormat="1" x14ac:dyDescent="0.25">
      <c r="B62" s="7" t="s">
        <v>2</v>
      </c>
      <c r="C62" s="114">
        <f>Modeloutput!B141</f>
        <v>2.2073066899999998</v>
      </c>
      <c r="D62" s="114">
        <f>Modeloutput!C141</f>
        <v>0</v>
      </c>
      <c r="E62" s="114">
        <f>Modeloutput!D141</f>
        <v>2.2073066899999998</v>
      </c>
      <c r="F62" s="114">
        <f>Modeloutput!E141</f>
        <v>0</v>
      </c>
      <c r="G62" s="114">
        <f>Modeloutput!F141</f>
        <v>0</v>
      </c>
      <c r="H62" s="114">
        <f>Modeloutput!G141</f>
        <v>0</v>
      </c>
      <c r="I62" s="93">
        <f>Modeloutput!H141</f>
        <v>0</v>
      </c>
      <c r="J62" s="114">
        <f>Modeloutput!I141</f>
        <v>0</v>
      </c>
      <c r="K62" s="114">
        <f>Modeloutput!J141</f>
        <v>0</v>
      </c>
      <c r="L62" s="114">
        <f>Modeloutput!K141</f>
        <v>2.2073066899999998</v>
      </c>
      <c r="M62" s="114">
        <f>Modeloutput!L141</f>
        <v>0</v>
      </c>
      <c r="N62" s="114">
        <f>Modeloutput!M141</f>
        <v>0</v>
      </c>
      <c r="O62" s="114">
        <f>Modeloutput!N141</f>
        <v>0</v>
      </c>
      <c r="P62" s="114">
        <f>Modeloutput!O141</f>
        <v>0</v>
      </c>
      <c r="Q62" s="114">
        <f>Modeloutput!P141</f>
        <v>0</v>
      </c>
      <c r="R62" s="24"/>
      <c r="S62" s="119" t="s">
        <v>2</v>
      </c>
      <c r="T62" s="114">
        <f>Modeloutput!B396</f>
        <v>1.6186438000000001</v>
      </c>
      <c r="U62" s="114">
        <f>Modeloutput!C396</f>
        <v>0</v>
      </c>
      <c r="V62" s="114">
        <f>Modeloutput!D396</f>
        <v>1.6186438000000001</v>
      </c>
      <c r="W62" s="114">
        <f>Modeloutput!E396</f>
        <v>0</v>
      </c>
      <c r="X62" s="114">
        <f>Modeloutput!F396</f>
        <v>0</v>
      </c>
      <c r="Y62" s="114">
        <f>Modeloutput!G396</f>
        <v>0</v>
      </c>
      <c r="Z62" s="114">
        <f>Modeloutput!H396</f>
        <v>0</v>
      </c>
      <c r="AA62" s="114">
        <f>Modeloutput!I396</f>
        <v>0</v>
      </c>
      <c r="AB62" s="114">
        <f>Modeloutput!J396</f>
        <v>0</v>
      </c>
      <c r="AC62" s="114">
        <f>Modeloutput!K396</f>
        <v>1.6186438000000001</v>
      </c>
      <c r="AD62" s="114">
        <f>Modeloutput!L396</f>
        <v>0</v>
      </c>
      <c r="AE62" s="114">
        <f>Modeloutput!M396</f>
        <v>0</v>
      </c>
      <c r="AF62" s="114">
        <f>Modeloutput!N396</f>
        <v>0</v>
      </c>
      <c r="AG62" s="114">
        <f>Modeloutput!O396</f>
        <v>0</v>
      </c>
      <c r="AH62" s="114">
        <f>Modeloutput!P396</f>
        <v>0</v>
      </c>
      <c r="AI62" s="24"/>
      <c r="AJ62" s="119" t="s">
        <v>2</v>
      </c>
      <c r="AK62" s="93">
        <f>Modeloutput!B651</f>
        <v>1.1244785900000001</v>
      </c>
      <c r="AL62" s="93">
        <f>Modeloutput!C651</f>
        <v>0</v>
      </c>
      <c r="AM62" s="93">
        <f>Modeloutput!D651</f>
        <v>1.1244785900000001</v>
      </c>
      <c r="AN62" s="93">
        <f>Modeloutput!E651</f>
        <v>0</v>
      </c>
      <c r="AO62" s="93">
        <f>Modeloutput!F651</f>
        <v>0</v>
      </c>
      <c r="AP62" s="93">
        <f>Modeloutput!G651</f>
        <v>0</v>
      </c>
      <c r="AQ62" s="93">
        <f>Modeloutput!H651</f>
        <v>0</v>
      </c>
      <c r="AR62" s="93">
        <f>Modeloutput!I651</f>
        <v>0</v>
      </c>
      <c r="AS62" s="93">
        <f>Modeloutput!J651</f>
        <v>0</v>
      </c>
      <c r="AT62" s="93">
        <f>Modeloutput!K651</f>
        <v>1.1244785900000001</v>
      </c>
      <c r="AU62" s="93">
        <f>Modeloutput!L651</f>
        <v>0</v>
      </c>
      <c r="AV62" s="93">
        <f>Modeloutput!M651</f>
        <v>0</v>
      </c>
      <c r="AW62" s="93">
        <f>Modeloutput!N651</f>
        <v>0</v>
      </c>
      <c r="AX62" s="93">
        <f>Modeloutput!O651</f>
        <v>0</v>
      </c>
      <c r="AY62" s="93">
        <f>Modeloutput!P651</f>
        <v>0</v>
      </c>
      <c r="AZ62" s="24"/>
      <c r="BA62" s="119" t="s">
        <v>2</v>
      </c>
      <c r="BB62" s="114">
        <f>Modeloutput!B906</f>
        <v>2.2077814199999999</v>
      </c>
      <c r="BC62" s="114">
        <f>Modeloutput!C906</f>
        <v>0</v>
      </c>
      <c r="BD62" s="114">
        <f>Modeloutput!D906</f>
        <v>2.2077814199999999</v>
      </c>
      <c r="BE62" s="114">
        <f>Modeloutput!E906</f>
        <v>0</v>
      </c>
      <c r="BF62" s="114">
        <f>Modeloutput!F906</f>
        <v>0</v>
      </c>
      <c r="BG62" s="114">
        <f>Modeloutput!G906</f>
        <v>0</v>
      </c>
      <c r="BH62" s="114">
        <f>Modeloutput!H906</f>
        <v>0</v>
      </c>
      <c r="BI62" s="114">
        <f>Modeloutput!I906</f>
        <v>0</v>
      </c>
      <c r="BJ62" s="114">
        <f>Modeloutput!J906</f>
        <v>0</v>
      </c>
      <c r="BK62" s="114">
        <f>Modeloutput!K906</f>
        <v>2.2077814199999999</v>
      </c>
      <c r="BL62" s="114">
        <f>Modeloutput!L906</f>
        <v>0</v>
      </c>
      <c r="BM62" s="114">
        <f>Modeloutput!M906</f>
        <v>0</v>
      </c>
      <c r="BN62" s="114">
        <f>Modeloutput!N906</f>
        <v>0</v>
      </c>
      <c r="BO62" s="114">
        <f>Modeloutput!O906</f>
        <v>0</v>
      </c>
      <c r="BP62" s="114">
        <f>Modeloutput!P906</f>
        <v>0</v>
      </c>
      <c r="BQ62" s="24"/>
      <c r="BR62" s="119" t="s">
        <v>2</v>
      </c>
      <c r="BS62" s="114">
        <f>Modeloutput!B1161</f>
        <v>4.7153183700000003</v>
      </c>
      <c r="BT62" s="114">
        <f>Modeloutput!C1161</f>
        <v>0</v>
      </c>
      <c r="BU62" s="114">
        <f>Modeloutput!D1161</f>
        <v>4.7153183700000003</v>
      </c>
      <c r="BV62" s="114">
        <f>Modeloutput!E1161</f>
        <v>0</v>
      </c>
      <c r="BW62" s="114">
        <f>Modeloutput!F1161</f>
        <v>0</v>
      </c>
      <c r="BX62" s="114">
        <f>Modeloutput!G1161</f>
        <v>0</v>
      </c>
      <c r="BY62" s="114">
        <f>Modeloutput!H1161</f>
        <v>0</v>
      </c>
      <c r="BZ62" s="114">
        <f>Modeloutput!I1161</f>
        <v>0</v>
      </c>
      <c r="CA62" s="114">
        <f>Modeloutput!J1161</f>
        <v>0</v>
      </c>
      <c r="CB62" s="114">
        <f>Modeloutput!K1161</f>
        <v>3.2225126799999999</v>
      </c>
      <c r="CC62" s="114">
        <f>Modeloutput!L1161</f>
        <v>1.4928056999999999</v>
      </c>
      <c r="CD62" s="114">
        <f>Modeloutput!M1161</f>
        <v>0</v>
      </c>
      <c r="CE62" s="114">
        <f>Modeloutput!N1161</f>
        <v>0</v>
      </c>
      <c r="CF62" s="114">
        <f>Modeloutput!O1161</f>
        <v>0</v>
      </c>
      <c r="CG62" s="114">
        <f>Modeloutput!P1161</f>
        <v>0</v>
      </c>
    </row>
    <row r="63" spans="1:85" s="7" customFormat="1" x14ac:dyDescent="0.25">
      <c r="B63" s="7" t="s">
        <v>3</v>
      </c>
      <c r="C63" s="114">
        <f>Modeloutput!B142</f>
        <v>4.6675354699999998</v>
      </c>
      <c r="D63" s="114">
        <f>Modeloutput!C142</f>
        <v>0</v>
      </c>
      <c r="E63" s="114">
        <f>Modeloutput!D142</f>
        <v>4.6675354699999998</v>
      </c>
      <c r="F63" s="114">
        <f>Modeloutput!E142</f>
        <v>3.0478243699999998</v>
      </c>
      <c r="G63" s="114">
        <f>Modeloutput!F142</f>
        <v>8.7441552400000008E-3</v>
      </c>
      <c r="H63" s="114">
        <f>Modeloutput!G142</f>
        <v>1.0126199600000001</v>
      </c>
      <c r="I63" s="93">
        <f>Modeloutput!H142</f>
        <v>1.7776207800000001E-3</v>
      </c>
      <c r="J63" s="114">
        <f>Modeloutput!I142</f>
        <v>0</v>
      </c>
      <c r="K63" s="114">
        <f>Modeloutput!J142</f>
        <v>0</v>
      </c>
      <c r="L63" s="114">
        <f>Modeloutput!K142</f>
        <v>0.59656937499999996</v>
      </c>
      <c r="M63" s="114">
        <f>Modeloutput!L142</f>
        <v>0</v>
      </c>
      <c r="N63" s="114">
        <f>Modeloutput!M142</f>
        <v>0</v>
      </c>
      <c r="O63" s="114">
        <f>Modeloutput!N142</f>
        <v>0</v>
      </c>
      <c r="P63" s="114">
        <f>Modeloutput!O142</f>
        <v>0</v>
      </c>
      <c r="Q63" s="114">
        <f>Modeloutput!P142</f>
        <v>0</v>
      </c>
      <c r="R63" s="24"/>
      <c r="S63" s="119" t="s">
        <v>3</v>
      </c>
      <c r="T63" s="114">
        <f>Modeloutput!B397</f>
        <v>3.5724602600000002</v>
      </c>
      <c r="U63" s="114">
        <f>Modeloutput!C397</f>
        <v>0</v>
      </c>
      <c r="V63" s="114">
        <f>Modeloutput!D397</f>
        <v>3.5724602600000002</v>
      </c>
      <c r="W63" s="114">
        <f>Modeloutput!E397</f>
        <v>2.5525219099999998</v>
      </c>
      <c r="X63" s="114">
        <f>Modeloutput!F397</f>
        <v>1.02116619E-2</v>
      </c>
      <c r="Y63" s="114">
        <f>Modeloutput!G397</f>
        <v>0.570477766</v>
      </c>
      <c r="Z63" s="114">
        <f>Modeloutput!H397</f>
        <v>1.7776207800000001E-3</v>
      </c>
      <c r="AA63" s="114">
        <f>Modeloutput!I397</f>
        <v>0</v>
      </c>
      <c r="AB63" s="114">
        <f>Modeloutput!J397</f>
        <v>0</v>
      </c>
      <c r="AC63" s="114">
        <f>Modeloutput!K397</f>
        <v>0.43747129699999998</v>
      </c>
      <c r="AD63" s="114">
        <f>Modeloutput!L397</f>
        <v>0</v>
      </c>
      <c r="AE63" s="114">
        <f>Modeloutput!M397</f>
        <v>0</v>
      </c>
      <c r="AF63" s="114">
        <f>Modeloutput!N397</f>
        <v>0</v>
      </c>
      <c r="AG63" s="114">
        <f>Modeloutput!O397</f>
        <v>0</v>
      </c>
      <c r="AH63" s="114">
        <f>Modeloutput!P397</f>
        <v>0</v>
      </c>
      <c r="AI63" s="24"/>
      <c r="AJ63" s="119" t="s">
        <v>3</v>
      </c>
      <c r="AK63" s="93">
        <f>Modeloutput!B652</f>
        <v>0.85941265499999997</v>
      </c>
      <c r="AL63" s="93">
        <f>Modeloutput!C652</f>
        <v>0</v>
      </c>
      <c r="AM63" s="93">
        <f>Modeloutput!D652</f>
        <v>0.85941265499999997</v>
      </c>
      <c r="AN63" s="93">
        <f>Modeloutput!E652</f>
        <v>0.41783044699999999</v>
      </c>
      <c r="AO63" s="93">
        <f>Modeloutput!F652</f>
        <v>6.4759360399999997E-3</v>
      </c>
      <c r="AP63" s="93">
        <f>Modeloutput!G652</f>
        <v>0.12941551900000001</v>
      </c>
      <c r="AQ63" s="93">
        <f>Modeloutput!H652</f>
        <v>1.7776207800000001E-3</v>
      </c>
      <c r="AR63" s="93">
        <f>Modeloutput!I652</f>
        <v>0</v>
      </c>
      <c r="AS63" s="93">
        <f>Modeloutput!J652</f>
        <v>0</v>
      </c>
      <c r="AT63" s="93">
        <f>Modeloutput!K652</f>
        <v>0.30391313199999997</v>
      </c>
      <c r="AU63" s="93">
        <f>Modeloutput!L652</f>
        <v>0</v>
      </c>
      <c r="AV63" s="93">
        <f>Modeloutput!M652</f>
        <v>0</v>
      </c>
      <c r="AW63" s="93">
        <f>Modeloutput!N652</f>
        <v>0</v>
      </c>
      <c r="AX63" s="93">
        <f>Modeloutput!O652</f>
        <v>0</v>
      </c>
      <c r="AY63" s="93">
        <f>Modeloutput!P652</f>
        <v>0</v>
      </c>
      <c r="AZ63" s="24"/>
      <c r="BA63" s="119" t="s">
        <v>3</v>
      </c>
      <c r="BB63" s="114">
        <f>Modeloutput!B907</f>
        <v>0.59669768000000001</v>
      </c>
      <c r="BC63" s="114">
        <f>Modeloutput!C907</f>
        <v>0</v>
      </c>
      <c r="BD63" s="114">
        <f>Modeloutput!D907</f>
        <v>0.59669768000000001</v>
      </c>
      <c r="BE63" s="114">
        <f>Modeloutput!E907</f>
        <v>0</v>
      </c>
      <c r="BF63" s="114">
        <f>Modeloutput!F907</f>
        <v>0</v>
      </c>
      <c r="BG63" s="114">
        <f>Modeloutput!G907</f>
        <v>0</v>
      </c>
      <c r="BH63" s="114">
        <f>Modeloutput!H907</f>
        <v>0</v>
      </c>
      <c r="BI63" s="114">
        <f>Modeloutput!I907</f>
        <v>0</v>
      </c>
      <c r="BJ63" s="114">
        <f>Modeloutput!J907</f>
        <v>0</v>
      </c>
      <c r="BK63" s="114">
        <f>Modeloutput!K907</f>
        <v>0.59669768000000001</v>
      </c>
      <c r="BL63" s="114">
        <f>Modeloutput!L907</f>
        <v>0</v>
      </c>
      <c r="BM63" s="114">
        <f>Modeloutput!M907</f>
        <v>0</v>
      </c>
      <c r="BN63" s="114">
        <f>Modeloutput!N907</f>
        <v>0</v>
      </c>
      <c r="BO63" s="114">
        <f>Modeloutput!O907</f>
        <v>0</v>
      </c>
      <c r="BP63" s="114">
        <f>Modeloutput!P907</f>
        <v>0</v>
      </c>
      <c r="BQ63" s="24"/>
      <c r="BR63" s="119" t="s">
        <v>3</v>
      </c>
      <c r="BS63" s="114">
        <f>Modeloutput!B1162</f>
        <v>1.2870239299999999</v>
      </c>
      <c r="BT63" s="114">
        <f>Modeloutput!C1162</f>
        <v>0</v>
      </c>
      <c r="BU63" s="114">
        <f>Modeloutput!D1162</f>
        <v>1.2870239299999999</v>
      </c>
      <c r="BV63" s="114">
        <f>Modeloutput!E1162</f>
        <v>1.1157036699999999E-2</v>
      </c>
      <c r="BW63" s="114">
        <f>Modeloutput!F1162</f>
        <v>2.47923107E-4</v>
      </c>
      <c r="BX63" s="114">
        <f>Modeloutput!G1162</f>
        <v>1.2085992099999999E-3</v>
      </c>
      <c r="BY63" s="114">
        <f>Modeloutput!H1162</f>
        <v>0</v>
      </c>
      <c r="BZ63" s="114">
        <f>Modeloutput!I1162</f>
        <v>0</v>
      </c>
      <c r="CA63" s="114">
        <f>Modeloutput!J1162</f>
        <v>0</v>
      </c>
      <c r="CB63" s="114">
        <f>Modeloutput!K1162</f>
        <v>0.870949372</v>
      </c>
      <c r="CC63" s="114">
        <f>Modeloutput!L1162</f>
        <v>0.40346099899999999</v>
      </c>
      <c r="CD63" s="114">
        <f>Modeloutput!M1162</f>
        <v>0</v>
      </c>
      <c r="CE63" s="114">
        <f>Modeloutput!N1162</f>
        <v>0</v>
      </c>
      <c r="CF63" s="114">
        <f>Modeloutput!O1162</f>
        <v>0</v>
      </c>
      <c r="CG63" s="114">
        <f>Modeloutput!P1162</f>
        <v>0</v>
      </c>
    </row>
    <row r="64" spans="1:85" s="7" customFormat="1" x14ac:dyDescent="0.25">
      <c r="B64" s="7" t="s">
        <v>4</v>
      </c>
      <c r="C64" s="114">
        <f>Modeloutput!B143</f>
        <v>3.1325636000000001</v>
      </c>
      <c r="D64" s="114">
        <f>Modeloutput!C143</f>
        <v>0</v>
      </c>
      <c r="E64" s="114">
        <f>Modeloutput!D143</f>
        <v>3.1325636000000001</v>
      </c>
      <c r="F64" s="114">
        <f>Modeloutput!E143</f>
        <v>1.4315866399999999</v>
      </c>
      <c r="G64" s="114">
        <f>Modeloutput!F143</f>
        <v>0.21387187699999999</v>
      </c>
      <c r="H64" s="114">
        <f>Modeloutput!G143</f>
        <v>1.3370610700000001</v>
      </c>
      <c r="I64" s="93">
        <f>Modeloutput!H143</f>
        <v>6.6501678800000005E-2</v>
      </c>
      <c r="J64" s="114">
        <f>Modeloutput!I143</f>
        <v>0</v>
      </c>
      <c r="K64" s="114">
        <f>Modeloutput!J143</f>
        <v>0</v>
      </c>
      <c r="L64" s="114">
        <f>Modeloutput!K143</f>
        <v>0</v>
      </c>
      <c r="M64" s="114">
        <f>Modeloutput!L143</f>
        <v>0</v>
      </c>
      <c r="N64" s="114">
        <f>Modeloutput!M143</f>
        <v>8.3542337999999994E-2</v>
      </c>
      <c r="O64" s="114">
        <f>Modeloutput!N143</f>
        <v>0</v>
      </c>
      <c r="P64" s="114">
        <f>Modeloutput!O143</f>
        <v>0</v>
      </c>
      <c r="Q64" s="114">
        <f>Modeloutput!P143</f>
        <v>0</v>
      </c>
      <c r="R64" s="24"/>
      <c r="S64" s="119" t="s">
        <v>4</v>
      </c>
      <c r="T64" s="114">
        <f>Modeloutput!B398</f>
        <v>3.1322024100000001</v>
      </c>
      <c r="U64" s="114">
        <f>Modeloutput!C398</f>
        <v>0</v>
      </c>
      <c r="V64" s="114">
        <f>Modeloutput!D398</f>
        <v>3.1322024100000001</v>
      </c>
      <c r="W64" s="114">
        <f>Modeloutput!E398</f>
        <v>1.4315866399999999</v>
      </c>
      <c r="X64" s="114">
        <f>Modeloutput!F398</f>
        <v>0.21387187699999999</v>
      </c>
      <c r="Y64" s="114">
        <f>Modeloutput!G398</f>
        <v>1.3372121299999999</v>
      </c>
      <c r="Z64" s="114">
        <f>Modeloutput!H398</f>
        <v>6.6501678800000005E-2</v>
      </c>
      <c r="AA64" s="114">
        <f>Modeloutput!I398</f>
        <v>0</v>
      </c>
      <c r="AB64" s="114">
        <f>Modeloutput!J398</f>
        <v>0</v>
      </c>
      <c r="AC64" s="114">
        <f>Modeloutput!K398</f>
        <v>0</v>
      </c>
      <c r="AD64" s="114">
        <f>Modeloutput!L398</f>
        <v>0</v>
      </c>
      <c r="AE64" s="114">
        <f>Modeloutput!M398</f>
        <v>8.3030087500000002E-2</v>
      </c>
      <c r="AF64" s="114">
        <f>Modeloutput!N398</f>
        <v>0</v>
      </c>
      <c r="AG64" s="114">
        <f>Modeloutput!O398</f>
        <v>0</v>
      </c>
      <c r="AH64" s="114">
        <f>Modeloutput!P398</f>
        <v>0</v>
      </c>
      <c r="AI64" s="24"/>
      <c r="AJ64" s="119" t="s">
        <v>4</v>
      </c>
      <c r="AK64" s="93">
        <f>Modeloutput!B653</f>
        <v>3.6672655299999999</v>
      </c>
      <c r="AL64" s="93">
        <f>Modeloutput!C653</f>
        <v>0</v>
      </c>
      <c r="AM64" s="93">
        <f>Modeloutput!D653</f>
        <v>3.6672655299999999</v>
      </c>
      <c r="AN64" s="93">
        <f>Modeloutput!E653</f>
        <v>1.4315866399999999</v>
      </c>
      <c r="AO64" s="93">
        <f>Modeloutput!F653</f>
        <v>0.21387187699999999</v>
      </c>
      <c r="AP64" s="93">
        <f>Modeloutput!G653</f>
        <v>1.29805196</v>
      </c>
      <c r="AQ64" s="93">
        <f>Modeloutput!H653</f>
        <v>6.6501678800000005E-2</v>
      </c>
      <c r="AR64" s="93">
        <f>Modeloutput!I653</f>
        <v>0</v>
      </c>
      <c r="AS64" s="93">
        <f>Modeloutput!J653</f>
        <v>0</v>
      </c>
      <c r="AT64" s="93">
        <f>Modeloutput!K653</f>
        <v>0</v>
      </c>
      <c r="AU64" s="93">
        <f>Modeloutput!L653</f>
        <v>0</v>
      </c>
      <c r="AV64" s="93">
        <f>Modeloutput!M653</f>
        <v>0.65725337100000003</v>
      </c>
      <c r="AW64" s="93">
        <f>Modeloutput!N653</f>
        <v>0</v>
      </c>
      <c r="AX64" s="93">
        <f>Modeloutput!O653</f>
        <v>0</v>
      </c>
      <c r="AY64" s="93">
        <f>Modeloutput!P653</f>
        <v>0</v>
      </c>
      <c r="AZ64" s="24"/>
      <c r="BA64" s="119" t="s">
        <v>4</v>
      </c>
      <c r="BB64" s="114">
        <f>Modeloutput!B908</f>
        <v>3.4525745900000002</v>
      </c>
      <c r="BC64" s="114">
        <f>Modeloutput!C908</f>
        <v>0</v>
      </c>
      <c r="BD64" s="114">
        <f>Modeloutput!D908</f>
        <v>3.4525745900000002</v>
      </c>
      <c r="BE64" s="114">
        <f>Modeloutput!E908</f>
        <v>1.7289120099999999</v>
      </c>
      <c r="BF64" s="114">
        <f>Modeloutput!F908</f>
        <v>0.24866176500000001</v>
      </c>
      <c r="BG64" s="114">
        <f>Modeloutput!G908</f>
        <v>1.3968267400000001</v>
      </c>
      <c r="BH64" s="114">
        <f>Modeloutput!H908</f>
        <v>7.8174071499999997E-2</v>
      </c>
      <c r="BI64" s="114">
        <f>Modeloutput!I908</f>
        <v>0</v>
      </c>
      <c r="BJ64" s="114">
        <f>Modeloutput!J908</f>
        <v>0</v>
      </c>
      <c r="BK64" s="114">
        <f>Modeloutput!K908</f>
        <v>0</v>
      </c>
      <c r="BL64" s="114">
        <f>Modeloutput!L908</f>
        <v>0</v>
      </c>
      <c r="BM64" s="114">
        <f>Modeloutput!M908</f>
        <v>0</v>
      </c>
      <c r="BN64" s="114">
        <f>Modeloutput!N908</f>
        <v>0</v>
      </c>
      <c r="BO64" s="114">
        <f>Modeloutput!O908</f>
        <v>0</v>
      </c>
      <c r="BP64" s="114">
        <f>Modeloutput!P908</f>
        <v>0</v>
      </c>
      <c r="BQ64" s="24"/>
      <c r="BR64" s="119" t="s">
        <v>4</v>
      </c>
      <c r="BS64" s="114">
        <f>Modeloutput!B1163</f>
        <v>3.06407265</v>
      </c>
      <c r="BT64" s="114">
        <f>Modeloutput!C1163</f>
        <v>0</v>
      </c>
      <c r="BU64" s="114">
        <f>Modeloutput!D1163</f>
        <v>3.06407265</v>
      </c>
      <c r="BV64" s="114">
        <f>Modeloutput!E1163</f>
        <v>1.4315866399999999</v>
      </c>
      <c r="BW64" s="114">
        <f>Modeloutput!F1163</f>
        <v>0.21387187699999999</v>
      </c>
      <c r="BX64" s="114">
        <f>Modeloutput!G1163</f>
        <v>1.3429660999999999</v>
      </c>
      <c r="BY64" s="114">
        <f>Modeloutput!H1163</f>
        <v>7.4894239400000007E-2</v>
      </c>
      <c r="BZ64" s="114">
        <f>Modeloutput!I1163</f>
        <v>0</v>
      </c>
      <c r="CA64" s="114">
        <f>Modeloutput!J1163</f>
        <v>0</v>
      </c>
      <c r="CB64" s="114">
        <f>Modeloutput!K1163</f>
        <v>0</v>
      </c>
      <c r="CC64" s="114">
        <f>Modeloutput!L1163</f>
        <v>0</v>
      </c>
      <c r="CD64" s="114">
        <f>Modeloutput!M1163</f>
        <v>7.5380113000000004E-4</v>
      </c>
      <c r="CE64" s="114">
        <f>Modeloutput!N1163</f>
        <v>0</v>
      </c>
      <c r="CF64" s="114">
        <f>Modeloutput!O1163</f>
        <v>0</v>
      </c>
      <c r="CG64" s="114">
        <f>Modeloutput!P1163</f>
        <v>0</v>
      </c>
    </row>
    <row r="65" spans="2:85" s="7" customFormat="1" x14ac:dyDescent="0.25">
      <c r="B65" s="7" t="s">
        <v>5</v>
      </c>
      <c r="C65" s="114">
        <f>Modeloutput!B144</f>
        <v>2.2073066899999998</v>
      </c>
      <c r="D65" s="114">
        <f>Modeloutput!C144</f>
        <v>2.8038760599999999</v>
      </c>
      <c r="E65" s="114">
        <f>Modeloutput!D144</f>
        <v>-0.59656937499999996</v>
      </c>
      <c r="F65" s="114">
        <f>Modeloutput!E144</f>
        <v>1.2283687700000001</v>
      </c>
      <c r="G65" s="114">
        <f>Modeloutput!F144</f>
        <v>0.19503647299999999</v>
      </c>
      <c r="H65" s="114">
        <f>Modeloutput!G144</f>
        <v>0.77002205899999998</v>
      </c>
      <c r="I65" s="93">
        <f>Modeloutput!H144</f>
        <v>1.38793862E-2</v>
      </c>
      <c r="J65" s="114">
        <f>Modeloutput!I144</f>
        <v>0</v>
      </c>
      <c r="K65" s="114">
        <f>Modeloutput!J144</f>
        <v>0</v>
      </c>
      <c r="L65" s="114">
        <f>Modeloutput!K144</f>
        <v>0</v>
      </c>
      <c r="M65" s="114">
        <f>Modeloutput!L144</f>
        <v>0</v>
      </c>
      <c r="N65" s="114">
        <f>Modeloutput!M144</f>
        <v>0</v>
      </c>
      <c r="O65" s="114">
        <f>Modeloutput!N144</f>
        <v>0</v>
      </c>
      <c r="P65" s="114">
        <f>Modeloutput!O144</f>
        <v>0</v>
      </c>
      <c r="Q65" s="114">
        <f>Modeloutput!P144</f>
        <v>0</v>
      </c>
      <c r="R65" s="24"/>
      <c r="S65" s="119" t="s">
        <v>5</v>
      </c>
      <c r="T65" s="114">
        <f>Modeloutput!B399</f>
        <v>1.6186438000000001</v>
      </c>
      <c r="U65" s="114">
        <f>Modeloutput!C399</f>
        <v>2.0561151</v>
      </c>
      <c r="V65" s="114">
        <f>Modeloutput!D399</f>
        <v>-0.43747129699999998</v>
      </c>
      <c r="W65" s="114">
        <f>Modeloutput!E399</f>
        <v>1.0719932599999999</v>
      </c>
      <c r="X65" s="114">
        <f>Modeloutput!F399</f>
        <v>0.19503647299999999</v>
      </c>
      <c r="Y65" s="114">
        <f>Modeloutput!G399</f>
        <v>0.33773467600000001</v>
      </c>
      <c r="Z65" s="114">
        <f>Modeloutput!H399</f>
        <v>1.38793862E-2</v>
      </c>
      <c r="AA65" s="114">
        <f>Modeloutput!I399</f>
        <v>0</v>
      </c>
      <c r="AB65" s="114">
        <f>Modeloutput!J399</f>
        <v>0</v>
      </c>
      <c r="AC65" s="114">
        <f>Modeloutput!K399</f>
        <v>0</v>
      </c>
      <c r="AD65" s="114">
        <f>Modeloutput!L399</f>
        <v>0</v>
      </c>
      <c r="AE65" s="114">
        <f>Modeloutput!M399</f>
        <v>0</v>
      </c>
      <c r="AF65" s="114">
        <f>Modeloutput!N399</f>
        <v>0</v>
      </c>
      <c r="AG65" s="114">
        <f>Modeloutput!O399</f>
        <v>0</v>
      </c>
      <c r="AH65" s="114">
        <f>Modeloutput!P399</f>
        <v>0</v>
      </c>
      <c r="AI65" s="24"/>
      <c r="AJ65" s="119" t="s">
        <v>5</v>
      </c>
      <c r="AK65" s="93">
        <f>Modeloutput!B654</f>
        <v>1.1244785900000001</v>
      </c>
      <c r="AL65" s="93">
        <f>Modeloutput!C654</f>
        <v>1.42839172</v>
      </c>
      <c r="AM65" s="93">
        <f>Modeloutput!D654</f>
        <v>-0.30391313199999997</v>
      </c>
      <c r="AN65" s="93">
        <f>Modeloutput!E654</f>
        <v>0.70593519999999998</v>
      </c>
      <c r="AO65" s="93">
        <f>Modeloutput!F654</f>
        <v>0.19503647299999999</v>
      </c>
      <c r="AP65" s="93">
        <f>Modeloutput!G654</f>
        <v>0.20962753000000001</v>
      </c>
      <c r="AQ65" s="93">
        <f>Modeloutput!H654</f>
        <v>1.38793862E-2</v>
      </c>
      <c r="AR65" s="93">
        <f>Modeloutput!I654</f>
        <v>0</v>
      </c>
      <c r="AS65" s="93">
        <f>Modeloutput!J654</f>
        <v>0</v>
      </c>
      <c r="AT65" s="93">
        <f>Modeloutput!K654</f>
        <v>0</v>
      </c>
      <c r="AU65" s="93">
        <f>Modeloutput!L654</f>
        <v>0</v>
      </c>
      <c r="AV65" s="93">
        <f>Modeloutput!M654</f>
        <v>0</v>
      </c>
      <c r="AW65" s="93">
        <f>Modeloutput!N654</f>
        <v>0</v>
      </c>
      <c r="AX65" s="93">
        <f>Modeloutput!O654</f>
        <v>0</v>
      </c>
      <c r="AY65" s="93">
        <f>Modeloutput!P654</f>
        <v>0</v>
      </c>
      <c r="AZ65" s="24"/>
      <c r="BA65" s="119" t="s">
        <v>5</v>
      </c>
      <c r="BB65" s="114">
        <f>Modeloutput!B909</f>
        <v>2.2077814199999999</v>
      </c>
      <c r="BC65" s="114">
        <f>Modeloutput!C909</f>
        <v>2.8044791</v>
      </c>
      <c r="BD65" s="114">
        <f>Modeloutput!D909</f>
        <v>-0.59669768000000001</v>
      </c>
      <c r="BE65" s="114">
        <f>Modeloutput!E909</f>
        <v>1.2288435</v>
      </c>
      <c r="BF65" s="114">
        <f>Modeloutput!F909</f>
        <v>0.19503647299999999</v>
      </c>
      <c r="BG65" s="114">
        <f>Modeloutput!G909</f>
        <v>0.77002205899999998</v>
      </c>
      <c r="BH65" s="114">
        <f>Modeloutput!H909</f>
        <v>1.38793862E-2</v>
      </c>
      <c r="BI65" s="114">
        <f>Modeloutput!I909</f>
        <v>0</v>
      </c>
      <c r="BJ65" s="114">
        <f>Modeloutput!J909</f>
        <v>0</v>
      </c>
      <c r="BK65" s="114">
        <f>Modeloutput!K909</f>
        <v>0</v>
      </c>
      <c r="BL65" s="114">
        <f>Modeloutput!L909</f>
        <v>0</v>
      </c>
      <c r="BM65" s="114">
        <f>Modeloutput!M909</f>
        <v>0</v>
      </c>
      <c r="BN65" s="114">
        <f>Modeloutput!N909</f>
        <v>0</v>
      </c>
      <c r="BO65" s="114">
        <f>Modeloutput!O909</f>
        <v>0</v>
      </c>
      <c r="BP65" s="114">
        <f>Modeloutput!P909</f>
        <v>0</v>
      </c>
      <c r="BQ65" s="24"/>
      <c r="BR65" s="119" t="s">
        <v>5</v>
      </c>
      <c r="BS65" s="114">
        <f>Modeloutput!B1164</f>
        <v>3.2225126799999999</v>
      </c>
      <c r="BT65" s="114">
        <f>Modeloutput!C1164</f>
        <v>4.0934620500000003</v>
      </c>
      <c r="BU65" s="114">
        <f>Modeloutput!D1164</f>
        <v>-0.870949372</v>
      </c>
      <c r="BV65" s="114">
        <f>Modeloutput!E1164</f>
        <v>2.2114219199999998</v>
      </c>
      <c r="BW65" s="114">
        <f>Modeloutput!F1164</f>
        <v>0.27835280200000001</v>
      </c>
      <c r="BX65" s="114">
        <f>Modeloutput!G1164</f>
        <v>0.71445904900000001</v>
      </c>
      <c r="BY65" s="114">
        <f>Modeloutput!H1164</f>
        <v>1.82789036E-2</v>
      </c>
      <c r="BZ65" s="114">
        <f>Modeloutput!I1164</f>
        <v>0</v>
      </c>
      <c r="CA65" s="114">
        <f>Modeloutput!J1164</f>
        <v>0</v>
      </c>
      <c r="CB65" s="114">
        <f>Modeloutput!K1164</f>
        <v>0</v>
      </c>
      <c r="CC65" s="114">
        <f>Modeloutput!L1164</f>
        <v>0</v>
      </c>
      <c r="CD65" s="114">
        <f>Modeloutput!M1164</f>
        <v>0</v>
      </c>
      <c r="CE65" s="114">
        <f>Modeloutput!N1164</f>
        <v>0</v>
      </c>
      <c r="CF65" s="114">
        <f>Modeloutput!O1164</f>
        <v>0</v>
      </c>
      <c r="CG65" s="114">
        <f>Modeloutput!P1164</f>
        <v>0</v>
      </c>
    </row>
    <row r="66" spans="2:85" s="7" customFormat="1" x14ac:dyDescent="0.25">
      <c r="B66" s="7" t="s">
        <v>6</v>
      </c>
      <c r="C66" s="114">
        <f>Modeloutput!B145</f>
        <v>0</v>
      </c>
      <c r="D66" s="114">
        <f>Modeloutput!C145</f>
        <v>0</v>
      </c>
      <c r="E66" s="114">
        <f>Modeloutput!D145</f>
        <v>0</v>
      </c>
      <c r="F66" s="114">
        <f>Modeloutput!E145</f>
        <v>0</v>
      </c>
      <c r="G66" s="114">
        <f>Modeloutput!F145</f>
        <v>0</v>
      </c>
      <c r="H66" s="114">
        <f>Modeloutput!G145</f>
        <v>0</v>
      </c>
      <c r="I66" s="93">
        <f>Modeloutput!H145</f>
        <v>0</v>
      </c>
      <c r="J66" s="114">
        <f>Modeloutput!I145</f>
        <v>0</v>
      </c>
      <c r="K66" s="114">
        <f>Modeloutput!J145</f>
        <v>0</v>
      </c>
      <c r="L66" s="114">
        <f>Modeloutput!K145</f>
        <v>0</v>
      </c>
      <c r="M66" s="114">
        <f>Modeloutput!L145</f>
        <v>0</v>
      </c>
      <c r="N66" s="114">
        <f>Modeloutput!M145</f>
        <v>0</v>
      </c>
      <c r="O66" s="114">
        <f>Modeloutput!N145</f>
        <v>0</v>
      </c>
      <c r="P66" s="114">
        <f>Modeloutput!O145</f>
        <v>0</v>
      </c>
      <c r="Q66" s="114">
        <f>Modeloutput!P145</f>
        <v>0</v>
      </c>
      <c r="R66" s="24"/>
      <c r="S66" s="119" t="s">
        <v>6</v>
      </c>
      <c r="T66" s="114">
        <f>Modeloutput!B400</f>
        <v>0</v>
      </c>
      <c r="U66" s="114">
        <f>Modeloutput!C400</f>
        <v>0</v>
      </c>
      <c r="V66" s="114">
        <f>Modeloutput!D400</f>
        <v>0</v>
      </c>
      <c r="W66" s="114">
        <f>Modeloutput!E400</f>
        <v>0</v>
      </c>
      <c r="X66" s="114">
        <f>Modeloutput!F400</f>
        <v>0</v>
      </c>
      <c r="Y66" s="114">
        <f>Modeloutput!G400</f>
        <v>0</v>
      </c>
      <c r="Z66" s="114">
        <f>Modeloutput!H400</f>
        <v>0</v>
      </c>
      <c r="AA66" s="114">
        <f>Modeloutput!I400</f>
        <v>0</v>
      </c>
      <c r="AB66" s="114">
        <f>Modeloutput!J400</f>
        <v>0</v>
      </c>
      <c r="AC66" s="114">
        <f>Modeloutput!K400</f>
        <v>0</v>
      </c>
      <c r="AD66" s="114">
        <f>Modeloutput!L400</f>
        <v>0</v>
      </c>
      <c r="AE66" s="114">
        <f>Modeloutput!M400</f>
        <v>0</v>
      </c>
      <c r="AF66" s="114">
        <f>Modeloutput!N400</f>
        <v>0</v>
      </c>
      <c r="AG66" s="114">
        <f>Modeloutput!O400</f>
        <v>0</v>
      </c>
      <c r="AH66" s="114">
        <f>Modeloutput!P400</f>
        <v>0</v>
      </c>
      <c r="AI66" s="24"/>
      <c r="AJ66" s="119" t="s">
        <v>6</v>
      </c>
      <c r="AK66" s="93">
        <f>Modeloutput!B655</f>
        <v>0</v>
      </c>
      <c r="AL66" s="93">
        <f>Modeloutput!C655</f>
        <v>0</v>
      </c>
      <c r="AM66" s="93">
        <f>Modeloutput!D655</f>
        <v>0</v>
      </c>
      <c r="AN66" s="93">
        <f>Modeloutput!E655</f>
        <v>0</v>
      </c>
      <c r="AO66" s="93">
        <f>Modeloutput!F655</f>
        <v>0</v>
      </c>
      <c r="AP66" s="93">
        <f>Modeloutput!G655</f>
        <v>0</v>
      </c>
      <c r="AQ66" s="93">
        <f>Modeloutput!H655</f>
        <v>0</v>
      </c>
      <c r="AR66" s="93">
        <f>Modeloutput!I655</f>
        <v>0</v>
      </c>
      <c r="AS66" s="93">
        <f>Modeloutput!J655</f>
        <v>0</v>
      </c>
      <c r="AT66" s="93">
        <f>Modeloutput!K655</f>
        <v>0</v>
      </c>
      <c r="AU66" s="93">
        <f>Modeloutput!L655</f>
        <v>0</v>
      </c>
      <c r="AV66" s="93">
        <f>Modeloutput!M655</f>
        <v>0</v>
      </c>
      <c r="AW66" s="93">
        <f>Modeloutput!N655</f>
        <v>0</v>
      </c>
      <c r="AX66" s="93">
        <f>Modeloutput!O655</f>
        <v>0</v>
      </c>
      <c r="AY66" s="93">
        <f>Modeloutput!P655</f>
        <v>0</v>
      </c>
      <c r="AZ66" s="24"/>
      <c r="BA66" s="119" t="s">
        <v>6</v>
      </c>
      <c r="BB66" s="114">
        <f>Modeloutput!B910</f>
        <v>0</v>
      </c>
      <c r="BC66" s="114">
        <f>Modeloutput!C910</f>
        <v>0</v>
      </c>
      <c r="BD66" s="114">
        <f>Modeloutput!D910</f>
        <v>0</v>
      </c>
      <c r="BE66" s="114">
        <f>Modeloutput!E910</f>
        <v>0</v>
      </c>
      <c r="BF66" s="114">
        <f>Modeloutput!F910</f>
        <v>0</v>
      </c>
      <c r="BG66" s="114">
        <f>Modeloutput!G910</f>
        <v>0</v>
      </c>
      <c r="BH66" s="114">
        <f>Modeloutput!H910</f>
        <v>0</v>
      </c>
      <c r="BI66" s="114">
        <f>Modeloutput!I910</f>
        <v>0</v>
      </c>
      <c r="BJ66" s="114">
        <f>Modeloutput!J910</f>
        <v>0</v>
      </c>
      <c r="BK66" s="114">
        <f>Modeloutput!K910</f>
        <v>0</v>
      </c>
      <c r="BL66" s="114">
        <f>Modeloutput!L910</f>
        <v>0</v>
      </c>
      <c r="BM66" s="114">
        <f>Modeloutput!M910</f>
        <v>0</v>
      </c>
      <c r="BN66" s="114">
        <f>Modeloutput!N910</f>
        <v>0</v>
      </c>
      <c r="BO66" s="114">
        <f>Modeloutput!O910</f>
        <v>0</v>
      </c>
      <c r="BP66" s="114">
        <f>Modeloutput!P910</f>
        <v>0</v>
      </c>
      <c r="BQ66" s="24"/>
      <c r="BR66" s="119" t="s">
        <v>6</v>
      </c>
      <c r="BS66" s="114">
        <f>Modeloutput!B1165</f>
        <v>1.4928056999999999</v>
      </c>
      <c r="BT66" s="114">
        <f>Modeloutput!C1165</f>
        <v>1.8962667</v>
      </c>
      <c r="BU66" s="114">
        <f>Modeloutput!D1165</f>
        <v>-0.40346099899999999</v>
      </c>
      <c r="BV66" s="114">
        <f>Modeloutput!E1165</f>
        <v>1.17223992</v>
      </c>
      <c r="BW66" s="114">
        <f>Modeloutput!F1165</f>
        <v>8.7582628999999995E-2</v>
      </c>
      <c r="BX66" s="114">
        <f>Modeloutput!G1165</f>
        <v>0.22121410499999999</v>
      </c>
      <c r="BY66" s="114">
        <f>Modeloutput!H1165</f>
        <v>1.17690373E-2</v>
      </c>
      <c r="BZ66" s="114">
        <f>Modeloutput!I1165</f>
        <v>0</v>
      </c>
      <c r="CA66" s="114">
        <f>Modeloutput!J1165</f>
        <v>0</v>
      </c>
      <c r="CB66" s="114">
        <f>Modeloutput!K1165</f>
        <v>0</v>
      </c>
      <c r="CC66" s="114">
        <f>Modeloutput!L1165</f>
        <v>0</v>
      </c>
      <c r="CD66" s="114">
        <f>Modeloutput!M1165</f>
        <v>0</v>
      </c>
      <c r="CE66" s="114">
        <f>Modeloutput!N1165</f>
        <v>0</v>
      </c>
      <c r="CF66" s="114">
        <f>Modeloutput!O1165</f>
        <v>0</v>
      </c>
      <c r="CG66" s="114">
        <f>Modeloutput!P1165</f>
        <v>0</v>
      </c>
    </row>
    <row r="67" spans="2:85" s="7" customFormat="1" x14ac:dyDescent="0.25">
      <c r="B67" s="7" t="s">
        <v>7</v>
      </c>
      <c r="C67" s="114">
        <f>Modeloutput!B146</f>
        <v>0.21373832300000001</v>
      </c>
      <c r="D67" s="114">
        <f>Modeloutput!C146</f>
        <v>8.3542337999999994E-2</v>
      </c>
      <c r="E67" s="114">
        <f>Modeloutput!D146</f>
        <v>0.13019598499999999</v>
      </c>
      <c r="F67" s="114">
        <f>Modeloutput!E146</f>
        <v>0</v>
      </c>
      <c r="G67" s="114">
        <f>Modeloutput!F146</f>
        <v>0.164243325</v>
      </c>
      <c r="H67" s="114">
        <f>Modeloutput!G146</f>
        <v>3.4632305400000001E-2</v>
      </c>
      <c r="I67" s="93">
        <f>Modeloutput!H146</f>
        <v>1.4862691900000001E-2</v>
      </c>
      <c r="J67" s="114">
        <f>Modeloutput!I146</f>
        <v>0</v>
      </c>
      <c r="K67" s="114">
        <f>Modeloutput!J146</f>
        <v>0</v>
      </c>
      <c r="L67" s="114">
        <f>Modeloutput!K146</f>
        <v>0</v>
      </c>
      <c r="M67" s="114">
        <f>Modeloutput!L146</f>
        <v>0</v>
      </c>
      <c r="N67" s="114">
        <f>Modeloutput!M146</f>
        <v>0</v>
      </c>
      <c r="O67" s="114">
        <f>Modeloutput!N146</f>
        <v>0</v>
      </c>
      <c r="P67" s="114">
        <f>Modeloutput!O146</f>
        <v>0</v>
      </c>
      <c r="Q67" s="114">
        <f>Modeloutput!P146</f>
        <v>0</v>
      </c>
      <c r="R67" s="24"/>
      <c r="S67" s="119" t="s">
        <v>7</v>
      </c>
      <c r="T67" s="114">
        <f>Modeloutput!B401</f>
        <v>0.212407027</v>
      </c>
      <c r="U67" s="114">
        <f>Modeloutput!C401</f>
        <v>8.3030087500000002E-2</v>
      </c>
      <c r="V67" s="114">
        <f>Modeloutput!D401</f>
        <v>0.129376939</v>
      </c>
      <c r="W67" s="114">
        <f>Modeloutput!E401</f>
        <v>0</v>
      </c>
      <c r="X67" s="114">
        <f>Modeloutput!F401</f>
        <v>0.162912628</v>
      </c>
      <c r="Y67" s="114">
        <f>Modeloutput!G401</f>
        <v>3.46317072E-2</v>
      </c>
      <c r="Z67" s="114">
        <f>Modeloutput!H401</f>
        <v>1.4862691900000001E-2</v>
      </c>
      <c r="AA67" s="114">
        <f>Modeloutput!I401</f>
        <v>0</v>
      </c>
      <c r="AB67" s="114">
        <f>Modeloutput!J401</f>
        <v>0</v>
      </c>
      <c r="AC67" s="114">
        <f>Modeloutput!K401</f>
        <v>0</v>
      </c>
      <c r="AD67" s="114">
        <f>Modeloutput!L401</f>
        <v>0</v>
      </c>
      <c r="AE67" s="114">
        <f>Modeloutput!M401</f>
        <v>0</v>
      </c>
      <c r="AF67" s="114">
        <f>Modeloutput!N401</f>
        <v>0</v>
      </c>
      <c r="AG67" s="114">
        <f>Modeloutput!O401</f>
        <v>0</v>
      </c>
      <c r="AH67" s="114">
        <f>Modeloutput!P401</f>
        <v>0</v>
      </c>
      <c r="AI67" s="24"/>
      <c r="AJ67" s="119" t="s">
        <v>7</v>
      </c>
      <c r="AK67" s="93">
        <f>Modeloutput!B656</f>
        <v>1.5865820900000001</v>
      </c>
      <c r="AL67" s="93">
        <f>Modeloutput!C656</f>
        <v>0.65725337100000003</v>
      </c>
      <c r="AM67" s="93">
        <f>Modeloutput!D656</f>
        <v>0.92932871500000003</v>
      </c>
      <c r="AN67" s="93">
        <f>Modeloutput!E656</f>
        <v>1.1753112800000001</v>
      </c>
      <c r="AO67" s="93">
        <f>Modeloutput!F656</f>
        <v>0.16630278000000001</v>
      </c>
      <c r="AP67" s="93">
        <f>Modeloutput!G656</f>
        <v>0.23010533699999999</v>
      </c>
      <c r="AQ67" s="93">
        <f>Modeloutput!H656</f>
        <v>1.4862691900000001E-2</v>
      </c>
      <c r="AR67" s="93">
        <f>Modeloutput!I656</f>
        <v>0</v>
      </c>
      <c r="AS67" s="93">
        <f>Modeloutput!J656</f>
        <v>0</v>
      </c>
      <c r="AT67" s="93">
        <f>Modeloutput!K656</f>
        <v>0</v>
      </c>
      <c r="AU67" s="93">
        <f>Modeloutput!L656</f>
        <v>0</v>
      </c>
      <c r="AV67" s="93">
        <f>Modeloutput!M656</f>
        <v>0</v>
      </c>
      <c r="AW67" s="93">
        <f>Modeloutput!N656</f>
        <v>0</v>
      </c>
      <c r="AX67" s="93">
        <f>Modeloutput!O656</f>
        <v>0</v>
      </c>
      <c r="AY67" s="93">
        <f>Modeloutput!P656</f>
        <v>0</v>
      </c>
      <c r="AZ67" s="24"/>
      <c r="BA67" s="119" t="s">
        <v>7</v>
      </c>
      <c r="BB67" s="114">
        <f>Modeloutput!B911</f>
        <v>0</v>
      </c>
      <c r="BC67" s="114">
        <f>Modeloutput!C911</f>
        <v>0</v>
      </c>
      <c r="BD67" s="114">
        <f>Modeloutput!D911</f>
        <v>0</v>
      </c>
      <c r="BE67" s="114">
        <f>Modeloutput!E911</f>
        <v>0</v>
      </c>
      <c r="BF67" s="114">
        <f>Modeloutput!F911</f>
        <v>0</v>
      </c>
      <c r="BG67" s="114">
        <f>Modeloutput!G911</f>
        <v>0</v>
      </c>
      <c r="BH67" s="114">
        <f>Modeloutput!H911</f>
        <v>0</v>
      </c>
      <c r="BI67" s="114">
        <f>Modeloutput!I911</f>
        <v>0</v>
      </c>
      <c r="BJ67" s="114">
        <f>Modeloutput!J911</f>
        <v>0</v>
      </c>
      <c r="BK67" s="114">
        <f>Modeloutput!K911</f>
        <v>0</v>
      </c>
      <c r="BL67" s="114">
        <f>Modeloutput!L911</f>
        <v>0</v>
      </c>
      <c r="BM67" s="114">
        <f>Modeloutput!M911</f>
        <v>0</v>
      </c>
      <c r="BN67" s="114">
        <f>Modeloutput!N911</f>
        <v>0</v>
      </c>
      <c r="BO67" s="114">
        <f>Modeloutput!O911</f>
        <v>0</v>
      </c>
      <c r="BP67" s="114">
        <f>Modeloutput!P911</f>
        <v>0</v>
      </c>
      <c r="BQ67" s="24"/>
      <c r="BR67" s="119" t="s">
        <v>7</v>
      </c>
      <c r="BS67" s="114">
        <f>Modeloutput!B1166</f>
        <v>1.93000893E-3</v>
      </c>
      <c r="BT67" s="114">
        <f>Modeloutput!C1166</f>
        <v>7.5380113000000004E-4</v>
      </c>
      <c r="BU67" s="114">
        <f>Modeloutput!D1166</f>
        <v>1.1762077999999999E-3</v>
      </c>
      <c r="BV67" s="114">
        <f>Modeloutput!E1166</f>
        <v>0</v>
      </c>
      <c r="BW67" s="114">
        <f>Modeloutput!F1166</f>
        <v>1.02219703E-3</v>
      </c>
      <c r="BX67" s="114">
        <f>Modeloutput!G1166</f>
        <v>4.7686338699999998E-4</v>
      </c>
      <c r="BY67" s="114">
        <f>Modeloutput!H1166</f>
        <v>4.3094851400000001E-4</v>
      </c>
      <c r="BZ67" s="114">
        <f>Modeloutput!I1166</f>
        <v>0</v>
      </c>
      <c r="CA67" s="114">
        <f>Modeloutput!J1166</f>
        <v>0</v>
      </c>
      <c r="CB67" s="114">
        <f>Modeloutput!K1166</f>
        <v>0</v>
      </c>
      <c r="CC67" s="114">
        <f>Modeloutput!L1166</f>
        <v>0</v>
      </c>
      <c r="CD67" s="114">
        <f>Modeloutput!M1166</f>
        <v>0</v>
      </c>
      <c r="CE67" s="114">
        <f>Modeloutput!N1166</f>
        <v>0</v>
      </c>
      <c r="CF67" s="114">
        <f>Modeloutput!O1166</f>
        <v>0</v>
      </c>
      <c r="CG67" s="114">
        <f>Modeloutput!P1166</f>
        <v>0</v>
      </c>
    </row>
    <row r="68" spans="2:85" s="7" customFormat="1" x14ac:dyDescent="0.25">
      <c r="B68" s="7" t="s">
        <v>8</v>
      </c>
      <c r="C68" s="114">
        <f>Modeloutput!B147</f>
        <v>0</v>
      </c>
      <c r="D68" s="114">
        <f>Modeloutput!C147</f>
        <v>0</v>
      </c>
      <c r="E68" s="114">
        <f>Modeloutput!D147</f>
        <v>0</v>
      </c>
      <c r="F68" s="114">
        <f>Modeloutput!E147</f>
        <v>0</v>
      </c>
      <c r="G68" s="114">
        <f>Modeloutput!F147</f>
        <v>0</v>
      </c>
      <c r="H68" s="114">
        <f>Modeloutput!G147</f>
        <v>0</v>
      </c>
      <c r="I68" s="93">
        <f>Modeloutput!H147</f>
        <v>0</v>
      </c>
      <c r="J68" s="114">
        <f>Modeloutput!I147</f>
        <v>0</v>
      </c>
      <c r="K68" s="114">
        <f>Modeloutput!J147</f>
        <v>0</v>
      </c>
      <c r="L68" s="114">
        <f>Modeloutput!K147</f>
        <v>0</v>
      </c>
      <c r="M68" s="114">
        <f>Modeloutput!L147</f>
        <v>0</v>
      </c>
      <c r="N68" s="114">
        <f>Modeloutput!M147</f>
        <v>0</v>
      </c>
      <c r="O68" s="114">
        <f>Modeloutput!N147</f>
        <v>0</v>
      </c>
      <c r="P68" s="114">
        <f>Modeloutput!O147</f>
        <v>0</v>
      </c>
      <c r="Q68" s="114">
        <f>Modeloutput!P147</f>
        <v>0</v>
      </c>
      <c r="R68" s="24"/>
      <c r="S68" s="119" t="s">
        <v>8</v>
      </c>
      <c r="T68" s="114">
        <f>Modeloutput!B402</f>
        <v>0</v>
      </c>
      <c r="U68" s="114">
        <f>Modeloutput!C402</f>
        <v>0</v>
      </c>
      <c r="V68" s="114">
        <f>Modeloutput!D402</f>
        <v>0</v>
      </c>
      <c r="W68" s="114">
        <f>Modeloutput!E402</f>
        <v>0</v>
      </c>
      <c r="X68" s="114">
        <f>Modeloutput!F402</f>
        <v>0</v>
      </c>
      <c r="Y68" s="114">
        <f>Modeloutput!G402</f>
        <v>0</v>
      </c>
      <c r="Z68" s="114">
        <f>Modeloutput!H402</f>
        <v>0</v>
      </c>
      <c r="AA68" s="114">
        <f>Modeloutput!I402</f>
        <v>0</v>
      </c>
      <c r="AB68" s="114">
        <f>Modeloutput!J402</f>
        <v>0</v>
      </c>
      <c r="AC68" s="114">
        <f>Modeloutput!K402</f>
        <v>0</v>
      </c>
      <c r="AD68" s="114">
        <f>Modeloutput!L402</f>
        <v>0</v>
      </c>
      <c r="AE68" s="114">
        <f>Modeloutput!M402</f>
        <v>0</v>
      </c>
      <c r="AF68" s="114">
        <f>Modeloutput!N402</f>
        <v>0</v>
      </c>
      <c r="AG68" s="114">
        <f>Modeloutput!O402</f>
        <v>0</v>
      </c>
      <c r="AH68" s="114">
        <f>Modeloutput!P402</f>
        <v>0</v>
      </c>
      <c r="AI68" s="24"/>
      <c r="AJ68" s="119" t="s">
        <v>8</v>
      </c>
      <c r="AK68" s="93">
        <f>Modeloutput!B657</f>
        <v>0</v>
      </c>
      <c r="AL68" s="93">
        <f>Modeloutput!C657</f>
        <v>0</v>
      </c>
      <c r="AM68" s="93">
        <f>Modeloutput!D657</f>
        <v>0</v>
      </c>
      <c r="AN68" s="93">
        <f>Modeloutput!E657</f>
        <v>0</v>
      </c>
      <c r="AO68" s="93">
        <f>Modeloutput!F657</f>
        <v>0</v>
      </c>
      <c r="AP68" s="93">
        <f>Modeloutput!G657</f>
        <v>0</v>
      </c>
      <c r="AQ68" s="93">
        <f>Modeloutput!H657</f>
        <v>0</v>
      </c>
      <c r="AR68" s="93">
        <f>Modeloutput!I657</f>
        <v>0</v>
      </c>
      <c r="AS68" s="93">
        <f>Modeloutput!J657</f>
        <v>0</v>
      </c>
      <c r="AT68" s="93">
        <f>Modeloutput!K657</f>
        <v>0</v>
      </c>
      <c r="AU68" s="93">
        <f>Modeloutput!L657</f>
        <v>0</v>
      </c>
      <c r="AV68" s="93">
        <f>Modeloutput!M657</f>
        <v>0</v>
      </c>
      <c r="AW68" s="93">
        <f>Modeloutput!N657</f>
        <v>0</v>
      </c>
      <c r="AX68" s="93">
        <f>Modeloutput!O657</f>
        <v>0</v>
      </c>
      <c r="AY68" s="93">
        <f>Modeloutput!P657</f>
        <v>0</v>
      </c>
      <c r="AZ68" s="24"/>
      <c r="BA68" s="119" t="s">
        <v>8</v>
      </c>
      <c r="BB68" s="114">
        <f>Modeloutput!B912</f>
        <v>0</v>
      </c>
      <c r="BC68" s="114">
        <f>Modeloutput!C912</f>
        <v>0</v>
      </c>
      <c r="BD68" s="114">
        <f>Modeloutput!D912</f>
        <v>0</v>
      </c>
      <c r="BE68" s="114">
        <f>Modeloutput!E912</f>
        <v>0</v>
      </c>
      <c r="BF68" s="114">
        <f>Modeloutput!F912</f>
        <v>0</v>
      </c>
      <c r="BG68" s="114">
        <f>Modeloutput!G912</f>
        <v>0</v>
      </c>
      <c r="BH68" s="114">
        <f>Modeloutput!H912</f>
        <v>0</v>
      </c>
      <c r="BI68" s="114">
        <f>Modeloutput!I912</f>
        <v>0</v>
      </c>
      <c r="BJ68" s="114">
        <f>Modeloutput!J912</f>
        <v>0</v>
      </c>
      <c r="BK68" s="114">
        <f>Modeloutput!K912</f>
        <v>0</v>
      </c>
      <c r="BL68" s="114">
        <f>Modeloutput!L912</f>
        <v>0</v>
      </c>
      <c r="BM68" s="114">
        <f>Modeloutput!M912</f>
        <v>0</v>
      </c>
      <c r="BN68" s="114">
        <f>Modeloutput!N912</f>
        <v>0</v>
      </c>
      <c r="BO68" s="114">
        <f>Modeloutput!O912</f>
        <v>0</v>
      </c>
      <c r="BP68" s="114">
        <f>Modeloutput!P912</f>
        <v>0</v>
      </c>
      <c r="BQ68" s="24"/>
      <c r="BR68" s="119" t="s">
        <v>8</v>
      </c>
      <c r="BS68" s="114">
        <f>Modeloutput!B1167</f>
        <v>0</v>
      </c>
      <c r="BT68" s="114">
        <f>Modeloutput!C1167</f>
        <v>0</v>
      </c>
      <c r="BU68" s="114">
        <f>Modeloutput!D1167</f>
        <v>0</v>
      </c>
      <c r="BV68" s="114">
        <f>Modeloutput!E1167</f>
        <v>0</v>
      </c>
      <c r="BW68" s="114">
        <f>Modeloutput!F1167</f>
        <v>0</v>
      </c>
      <c r="BX68" s="114">
        <f>Modeloutput!G1167</f>
        <v>0</v>
      </c>
      <c r="BY68" s="114">
        <f>Modeloutput!H1167</f>
        <v>0</v>
      </c>
      <c r="BZ68" s="114">
        <f>Modeloutput!I1167</f>
        <v>0</v>
      </c>
      <c r="CA68" s="114">
        <f>Modeloutput!J1167</f>
        <v>0</v>
      </c>
      <c r="CB68" s="114">
        <f>Modeloutput!K1167</f>
        <v>0</v>
      </c>
      <c r="CC68" s="114">
        <f>Modeloutput!L1167</f>
        <v>0</v>
      </c>
      <c r="CD68" s="114">
        <f>Modeloutput!M1167</f>
        <v>0</v>
      </c>
      <c r="CE68" s="114">
        <f>Modeloutput!N1167</f>
        <v>0</v>
      </c>
      <c r="CF68" s="114">
        <f>Modeloutput!O1167</f>
        <v>0</v>
      </c>
      <c r="CG68" s="114">
        <f>Modeloutput!P1167</f>
        <v>0</v>
      </c>
    </row>
    <row r="69" spans="2:85" s="7" customFormat="1" x14ac:dyDescent="0.25">
      <c r="B69" s="7" t="s">
        <v>9</v>
      </c>
      <c r="C69" s="114">
        <f>Modeloutput!B148</f>
        <v>0</v>
      </c>
      <c r="D69" s="114">
        <f>Modeloutput!C148</f>
        <v>0</v>
      </c>
      <c r="E69" s="114">
        <f>Modeloutput!D148</f>
        <v>0</v>
      </c>
      <c r="F69" s="114">
        <f>Modeloutput!E148</f>
        <v>0</v>
      </c>
      <c r="G69" s="114">
        <f>Modeloutput!F148</f>
        <v>0</v>
      </c>
      <c r="H69" s="114">
        <f>Modeloutput!G148</f>
        <v>0</v>
      </c>
      <c r="I69" s="93">
        <f>Modeloutput!H148</f>
        <v>0</v>
      </c>
      <c r="J69" s="114">
        <f>Modeloutput!I148</f>
        <v>0</v>
      </c>
      <c r="K69" s="114">
        <f>Modeloutput!J148</f>
        <v>0</v>
      </c>
      <c r="L69" s="114">
        <f>Modeloutput!K148</f>
        <v>0</v>
      </c>
      <c r="M69" s="114">
        <f>Modeloutput!L148</f>
        <v>0</v>
      </c>
      <c r="N69" s="114">
        <f>Modeloutput!M148</f>
        <v>0</v>
      </c>
      <c r="O69" s="114">
        <f>Modeloutput!N148</f>
        <v>0</v>
      </c>
      <c r="P69" s="114">
        <f>Modeloutput!O148</f>
        <v>0</v>
      </c>
      <c r="Q69" s="114">
        <f>Modeloutput!P148</f>
        <v>0</v>
      </c>
      <c r="R69" s="24"/>
      <c r="S69" s="119" t="s">
        <v>9</v>
      </c>
      <c r="T69" s="114">
        <f>Modeloutput!B403</f>
        <v>0</v>
      </c>
      <c r="U69" s="114">
        <f>Modeloutput!C403</f>
        <v>0</v>
      </c>
      <c r="V69" s="114">
        <f>Modeloutput!D403</f>
        <v>0</v>
      </c>
      <c r="W69" s="114">
        <f>Modeloutput!E403</f>
        <v>0</v>
      </c>
      <c r="X69" s="114">
        <f>Modeloutput!F403</f>
        <v>0</v>
      </c>
      <c r="Y69" s="114">
        <f>Modeloutput!G403</f>
        <v>0</v>
      </c>
      <c r="Z69" s="114">
        <f>Modeloutput!H403</f>
        <v>0</v>
      </c>
      <c r="AA69" s="114">
        <f>Modeloutput!I403</f>
        <v>0</v>
      </c>
      <c r="AB69" s="114">
        <f>Modeloutput!J403</f>
        <v>0</v>
      </c>
      <c r="AC69" s="114">
        <f>Modeloutput!K403</f>
        <v>0</v>
      </c>
      <c r="AD69" s="114">
        <f>Modeloutput!L403</f>
        <v>0</v>
      </c>
      <c r="AE69" s="114">
        <f>Modeloutput!M403</f>
        <v>0</v>
      </c>
      <c r="AF69" s="114">
        <f>Modeloutput!N403</f>
        <v>0</v>
      </c>
      <c r="AG69" s="114">
        <f>Modeloutput!O403</f>
        <v>0</v>
      </c>
      <c r="AH69" s="114">
        <f>Modeloutput!P403</f>
        <v>0</v>
      </c>
      <c r="AI69" s="24"/>
      <c r="AJ69" s="119" t="s">
        <v>9</v>
      </c>
      <c r="AK69" s="93">
        <f>Modeloutput!B658</f>
        <v>0</v>
      </c>
      <c r="AL69" s="93">
        <f>Modeloutput!C658</f>
        <v>0</v>
      </c>
      <c r="AM69" s="93">
        <f>Modeloutput!D658</f>
        <v>0</v>
      </c>
      <c r="AN69" s="93">
        <f>Modeloutput!E658</f>
        <v>0</v>
      </c>
      <c r="AO69" s="93">
        <f>Modeloutput!F658</f>
        <v>0</v>
      </c>
      <c r="AP69" s="93">
        <f>Modeloutput!G658</f>
        <v>0</v>
      </c>
      <c r="AQ69" s="93">
        <f>Modeloutput!H658</f>
        <v>0</v>
      </c>
      <c r="AR69" s="93">
        <f>Modeloutput!I658</f>
        <v>0</v>
      </c>
      <c r="AS69" s="93">
        <f>Modeloutput!J658</f>
        <v>0</v>
      </c>
      <c r="AT69" s="93">
        <f>Modeloutput!K658</f>
        <v>0</v>
      </c>
      <c r="AU69" s="93">
        <f>Modeloutput!L658</f>
        <v>0</v>
      </c>
      <c r="AV69" s="93">
        <f>Modeloutput!M658</f>
        <v>0</v>
      </c>
      <c r="AW69" s="93">
        <f>Modeloutput!N658</f>
        <v>0</v>
      </c>
      <c r="AX69" s="93">
        <f>Modeloutput!O658</f>
        <v>0</v>
      </c>
      <c r="AY69" s="93">
        <f>Modeloutput!P658</f>
        <v>0</v>
      </c>
      <c r="AZ69" s="24"/>
      <c r="BA69" s="119" t="s">
        <v>9</v>
      </c>
      <c r="BB69" s="114">
        <f>Modeloutput!B913</f>
        <v>0</v>
      </c>
      <c r="BC69" s="114">
        <f>Modeloutput!C913</f>
        <v>0</v>
      </c>
      <c r="BD69" s="114">
        <f>Modeloutput!D913</f>
        <v>0</v>
      </c>
      <c r="BE69" s="114">
        <f>Modeloutput!E913</f>
        <v>0</v>
      </c>
      <c r="BF69" s="114">
        <f>Modeloutput!F913</f>
        <v>0</v>
      </c>
      <c r="BG69" s="114">
        <f>Modeloutput!G913</f>
        <v>0</v>
      </c>
      <c r="BH69" s="114">
        <f>Modeloutput!H913</f>
        <v>0</v>
      </c>
      <c r="BI69" s="114">
        <f>Modeloutput!I913</f>
        <v>0</v>
      </c>
      <c r="BJ69" s="114">
        <f>Modeloutput!J913</f>
        <v>0</v>
      </c>
      <c r="BK69" s="114">
        <f>Modeloutput!K913</f>
        <v>0</v>
      </c>
      <c r="BL69" s="114">
        <f>Modeloutput!L913</f>
        <v>0</v>
      </c>
      <c r="BM69" s="114">
        <f>Modeloutput!M913</f>
        <v>0</v>
      </c>
      <c r="BN69" s="114">
        <f>Modeloutput!N913</f>
        <v>0</v>
      </c>
      <c r="BO69" s="114">
        <f>Modeloutput!O913</f>
        <v>0</v>
      </c>
      <c r="BP69" s="114">
        <f>Modeloutput!P913</f>
        <v>0</v>
      </c>
      <c r="BQ69" s="24"/>
      <c r="BR69" s="119" t="s">
        <v>9</v>
      </c>
      <c r="BS69" s="114">
        <f>Modeloutput!B1168</f>
        <v>0</v>
      </c>
      <c r="BT69" s="114">
        <f>Modeloutput!C1168</f>
        <v>0</v>
      </c>
      <c r="BU69" s="114">
        <f>Modeloutput!D1168</f>
        <v>0</v>
      </c>
      <c r="BV69" s="114">
        <f>Modeloutput!E1168</f>
        <v>0</v>
      </c>
      <c r="BW69" s="114">
        <f>Modeloutput!F1168</f>
        <v>0</v>
      </c>
      <c r="BX69" s="114">
        <f>Modeloutput!G1168</f>
        <v>0</v>
      </c>
      <c r="BY69" s="114">
        <f>Modeloutput!H1168</f>
        <v>0</v>
      </c>
      <c r="BZ69" s="114">
        <f>Modeloutput!I1168</f>
        <v>0</v>
      </c>
      <c r="CA69" s="114">
        <f>Modeloutput!J1168</f>
        <v>0</v>
      </c>
      <c r="CB69" s="114">
        <f>Modeloutput!K1168</f>
        <v>0</v>
      </c>
      <c r="CC69" s="114">
        <f>Modeloutput!L1168</f>
        <v>0</v>
      </c>
      <c r="CD69" s="114">
        <f>Modeloutput!M1168</f>
        <v>0</v>
      </c>
      <c r="CE69" s="114">
        <f>Modeloutput!N1168</f>
        <v>0</v>
      </c>
      <c r="CF69" s="114">
        <f>Modeloutput!O1168</f>
        <v>0</v>
      </c>
      <c r="CG69" s="114">
        <f>Modeloutput!P1168</f>
        <v>0</v>
      </c>
    </row>
    <row r="70" spans="2:85" s="7" customFormat="1" x14ac:dyDescent="0.25">
      <c r="B70" s="7" t="s">
        <v>10</v>
      </c>
      <c r="C70" s="114">
        <f>Modeloutput!B149</f>
        <v>0</v>
      </c>
      <c r="D70" s="114">
        <f>Modeloutput!C149</f>
        <v>0</v>
      </c>
      <c r="E70" s="114">
        <f>Modeloutput!D149</f>
        <v>0</v>
      </c>
      <c r="F70" s="114">
        <f>Modeloutput!E149</f>
        <v>0</v>
      </c>
      <c r="G70" s="114">
        <f>Modeloutput!F149</f>
        <v>0</v>
      </c>
      <c r="H70" s="114">
        <f>Modeloutput!G149</f>
        <v>0</v>
      </c>
      <c r="I70" s="93">
        <f>Modeloutput!H149</f>
        <v>0</v>
      </c>
      <c r="J70" s="114">
        <f>Modeloutput!I149</f>
        <v>0</v>
      </c>
      <c r="K70" s="114">
        <f>Modeloutput!J149</f>
        <v>0</v>
      </c>
      <c r="L70" s="114">
        <f>Modeloutput!K149</f>
        <v>0</v>
      </c>
      <c r="M70" s="114">
        <f>Modeloutput!L149</f>
        <v>0</v>
      </c>
      <c r="N70" s="114">
        <f>Modeloutput!M149</f>
        <v>0</v>
      </c>
      <c r="O70" s="114">
        <f>Modeloutput!N149</f>
        <v>0</v>
      </c>
      <c r="P70" s="114">
        <f>Modeloutput!O149</f>
        <v>0</v>
      </c>
      <c r="Q70" s="114">
        <f>Modeloutput!P149</f>
        <v>0</v>
      </c>
      <c r="R70" s="24"/>
      <c r="S70" s="119" t="s">
        <v>10</v>
      </c>
      <c r="T70" s="114">
        <f>Modeloutput!B404</f>
        <v>0</v>
      </c>
      <c r="U70" s="114">
        <f>Modeloutput!C404</f>
        <v>0</v>
      </c>
      <c r="V70" s="114">
        <f>Modeloutput!D404</f>
        <v>0</v>
      </c>
      <c r="W70" s="114">
        <f>Modeloutput!E404</f>
        <v>0</v>
      </c>
      <c r="X70" s="114">
        <f>Modeloutput!F404</f>
        <v>0</v>
      </c>
      <c r="Y70" s="114">
        <f>Modeloutput!G404</f>
        <v>0</v>
      </c>
      <c r="Z70" s="114">
        <f>Modeloutput!H404</f>
        <v>0</v>
      </c>
      <c r="AA70" s="114">
        <f>Modeloutput!I404</f>
        <v>0</v>
      </c>
      <c r="AB70" s="114">
        <f>Modeloutput!J404</f>
        <v>0</v>
      </c>
      <c r="AC70" s="114">
        <f>Modeloutput!K404</f>
        <v>0</v>
      </c>
      <c r="AD70" s="114">
        <f>Modeloutput!L404</f>
        <v>0</v>
      </c>
      <c r="AE70" s="114">
        <f>Modeloutput!M404</f>
        <v>0</v>
      </c>
      <c r="AF70" s="114">
        <f>Modeloutput!N404</f>
        <v>0</v>
      </c>
      <c r="AG70" s="114">
        <f>Modeloutput!O404</f>
        <v>0</v>
      </c>
      <c r="AH70" s="114">
        <f>Modeloutput!P404</f>
        <v>0</v>
      </c>
      <c r="AI70" s="24"/>
      <c r="AJ70" s="119" t="s">
        <v>10</v>
      </c>
      <c r="AK70" s="93">
        <f>Modeloutput!B659</f>
        <v>0</v>
      </c>
      <c r="AL70" s="93">
        <f>Modeloutput!C659</f>
        <v>0</v>
      </c>
      <c r="AM70" s="93">
        <f>Modeloutput!D659</f>
        <v>0</v>
      </c>
      <c r="AN70" s="93">
        <f>Modeloutput!E659</f>
        <v>0</v>
      </c>
      <c r="AO70" s="93">
        <f>Modeloutput!F659</f>
        <v>0</v>
      </c>
      <c r="AP70" s="93">
        <f>Modeloutput!G659</f>
        <v>0</v>
      </c>
      <c r="AQ70" s="93">
        <f>Modeloutput!H659</f>
        <v>0</v>
      </c>
      <c r="AR70" s="93">
        <f>Modeloutput!I659</f>
        <v>0</v>
      </c>
      <c r="AS70" s="93">
        <f>Modeloutput!J659</f>
        <v>0</v>
      </c>
      <c r="AT70" s="93">
        <f>Modeloutput!K659</f>
        <v>0</v>
      </c>
      <c r="AU70" s="93">
        <f>Modeloutput!L659</f>
        <v>0</v>
      </c>
      <c r="AV70" s="93">
        <f>Modeloutput!M659</f>
        <v>0</v>
      </c>
      <c r="AW70" s="93">
        <f>Modeloutput!N659</f>
        <v>0</v>
      </c>
      <c r="AX70" s="93">
        <f>Modeloutput!O659</f>
        <v>0</v>
      </c>
      <c r="AY70" s="93">
        <f>Modeloutput!P659</f>
        <v>0</v>
      </c>
      <c r="AZ70" s="24"/>
      <c r="BA70" s="119" t="s">
        <v>10</v>
      </c>
      <c r="BB70" s="114">
        <f>Modeloutput!B914</f>
        <v>0</v>
      </c>
      <c r="BC70" s="114">
        <f>Modeloutput!C914</f>
        <v>0</v>
      </c>
      <c r="BD70" s="114">
        <f>Modeloutput!D914</f>
        <v>0</v>
      </c>
      <c r="BE70" s="114">
        <f>Modeloutput!E914</f>
        <v>0</v>
      </c>
      <c r="BF70" s="114">
        <f>Modeloutput!F914</f>
        <v>0</v>
      </c>
      <c r="BG70" s="114">
        <f>Modeloutput!G914</f>
        <v>0</v>
      </c>
      <c r="BH70" s="114">
        <f>Modeloutput!H914</f>
        <v>0</v>
      </c>
      <c r="BI70" s="114">
        <f>Modeloutput!I914</f>
        <v>0</v>
      </c>
      <c r="BJ70" s="114">
        <f>Modeloutput!J914</f>
        <v>0</v>
      </c>
      <c r="BK70" s="114">
        <f>Modeloutput!K914</f>
        <v>0</v>
      </c>
      <c r="BL70" s="114">
        <f>Modeloutput!L914</f>
        <v>0</v>
      </c>
      <c r="BM70" s="114">
        <f>Modeloutput!M914</f>
        <v>0</v>
      </c>
      <c r="BN70" s="114">
        <f>Modeloutput!N914</f>
        <v>0</v>
      </c>
      <c r="BO70" s="114">
        <f>Modeloutput!O914</f>
        <v>0</v>
      </c>
      <c r="BP70" s="114">
        <f>Modeloutput!P914</f>
        <v>0</v>
      </c>
      <c r="BQ70" s="24"/>
      <c r="BR70" s="119" t="s">
        <v>10</v>
      </c>
      <c r="BS70" s="114">
        <f>Modeloutput!B1169</f>
        <v>0</v>
      </c>
      <c r="BT70" s="114">
        <f>Modeloutput!C1169</f>
        <v>0</v>
      </c>
      <c r="BU70" s="114">
        <f>Modeloutput!D1169</f>
        <v>0</v>
      </c>
      <c r="BV70" s="114">
        <f>Modeloutput!E1169</f>
        <v>0</v>
      </c>
      <c r="BW70" s="114">
        <f>Modeloutput!F1169</f>
        <v>0</v>
      </c>
      <c r="BX70" s="114">
        <f>Modeloutput!G1169</f>
        <v>0</v>
      </c>
      <c r="BY70" s="114">
        <f>Modeloutput!H1169</f>
        <v>0</v>
      </c>
      <c r="BZ70" s="114">
        <f>Modeloutput!I1169</f>
        <v>0</v>
      </c>
      <c r="CA70" s="114">
        <f>Modeloutput!J1169</f>
        <v>0</v>
      </c>
      <c r="CB70" s="114">
        <f>Modeloutput!K1169</f>
        <v>0</v>
      </c>
      <c r="CC70" s="114">
        <f>Modeloutput!L1169</f>
        <v>0</v>
      </c>
      <c r="CD70" s="114">
        <f>Modeloutput!M1169</f>
        <v>0</v>
      </c>
      <c r="CE70" s="114">
        <f>Modeloutput!N1169</f>
        <v>0</v>
      </c>
      <c r="CF70" s="114">
        <f>Modeloutput!O1169</f>
        <v>0</v>
      </c>
      <c r="CG70" s="114">
        <f>Modeloutput!P1169</f>
        <v>0</v>
      </c>
    </row>
    <row r="71" spans="2:85" s="7" customFormat="1" x14ac:dyDescent="0.25">
      <c r="B71" s="7" t="s">
        <v>11</v>
      </c>
      <c r="C71" s="114">
        <f>Modeloutput!B150</f>
        <v>0</v>
      </c>
      <c r="D71" s="114">
        <f>Modeloutput!C150</f>
        <v>0</v>
      </c>
      <c r="E71" s="114">
        <f>Modeloutput!D150</f>
        <v>0</v>
      </c>
      <c r="F71" s="114">
        <f>Modeloutput!E150</f>
        <v>0</v>
      </c>
      <c r="G71" s="114">
        <f>Modeloutput!F150</f>
        <v>0</v>
      </c>
      <c r="H71" s="114">
        <f>Modeloutput!G150</f>
        <v>0</v>
      </c>
      <c r="I71" s="93">
        <f>Modeloutput!H150</f>
        <v>0</v>
      </c>
      <c r="J71" s="114">
        <f>Modeloutput!I150</f>
        <v>0</v>
      </c>
      <c r="K71" s="114">
        <f>Modeloutput!J150</f>
        <v>0</v>
      </c>
      <c r="L71" s="114">
        <f>Modeloutput!K150</f>
        <v>0</v>
      </c>
      <c r="M71" s="114">
        <f>Modeloutput!L150</f>
        <v>0</v>
      </c>
      <c r="N71" s="114">
        <f>Modeloutput!M150</f>
        <v>0</v>
      </c>
      <c r="O71" s="114">
        <f>Modeloutput!N150</f>
        <v>0</v>
      </c>
      <c r="P71" s="114">
        <f>Modeloutput!O150</f>
        <v>0</v>
      </c>
      <c r="Q71" s="114">
        <f>Modeloutput!P150</f>
        <v>0</v>
      </c>
      <c r="R71" s="24"/>
      <c r="S71" s="119" t="s">
        <v>11</v>
      </c>
      <c r="T71" s="114">
        <f>Modeloutput!B405</f>
        <v>0</v>
      </c>
      <c r="U71" s="114">
        <f>Modeloutput!C405</f>
        <v>0</v>
      </c>
      <c r="V71" s="114">
        <f>Modeloutput!D405</f>
        <v>0</v>
      </c>
      <c r="W71" s="114">
        <f>Modeloutput!E405</f>
        <v>0</v>
      </c>
      <c r="X71" s="114">
        <f>Modeloutput!F405</f>
        <v>0</v>
      </c>
      <c r="Y71" s="114">
        <f>Modeloutput!G405</f>
        <v>0</v>
      </c>
      <c r="Z71" s="114">
        <f>Modeloutput!H405</f>
        <v>0</v>
      </c>
      <c r="AA71" s="114">
        <f>Modeloutput!I405</f>
        <v>0</v>
      </c>
      <c r="AB71" s="114">
        <f>Modeloutput!J405</f>
        <v>0</v>
      </c>
      <c r="AC71" s="114">
        <f>Modeloutput!K405</f>
        <v>0</v>
      </c>
      <c r="AD71" s="114">
        <f>Modeloutput!L405</f>
        <v>0</v>
      </c>
      <c r="AE71" s="114">
        <f>Modeloutput!M405</f>
        <v>0</v>
      </c>
      <c r="AF71" s="114">
        <f>Modeloutput!N405</f>
        <v>0</v>
      </c>
      <c r="AG71" s="114">
        <f>Modeloutput!O405</f>
        <v>0</v>
      </c>
      <c r="AH71" s="114">
        <f>Modeloutput!P405</f>
        <v>0</v>
      </c>
      <c r="AI71" s="24"/>
      <c r="AJ71" s="119" t="s">
        <v>11</v>
      </c>
      <c r="AK71" s="93">
        <f>Modeloutput!B660</f>
        <v>0</v>
      </c>
      <c r="AL71" s="93">
        <f>Modeloutput!C660</f>
        <v>0</v>
      </c>
      <c r="AM71" s="93">
        <f>Modeloutput!D660</f>
        <v>0</v>
      </c>
      <c r="AN71" s="93">
        <f>Modeloutput!E660</f>
        <v>0</v>
      </c>
      <c r="AO71" s="93">
        <f>Modeloutput!F660</f>
        <v>0</v>
      </c>
      <c r="AP71" s="93">
        <f>Modeloutput!G660</f>
        <v>0</v>
      </c>
      <c r="AQ71" s="93">
        <f>Modeloutput!H660</f>
        <v>0</v>
      </c>
      <c r="AR71" s="93">
        <f>Modeloutput!I660</f>
        <v>0</v>
      </c>
      <c r="AS71" s="93">
        <f>Modeloutput!J660</f>
        <v>0</v>
      </c>
      <c r="AT71" s="93">
        <f>Modeloutput!K660</f>
        <v>0</v>
      </c>
      <c r="AU71" s="93">
        <f>Modeloutput!L660</f>
        <v>0</v>
      </c>
      <c r="AV71" s="93">
        <f>Modeloutput!M660</f>
        <v>0</v>
      </c>
      <c r="AW71" s="93">
        <f>Modeloutput!N660</f>
        <v>0</v>
      </c>
      <c r="AX71" s="93">
        <f>Modeloutput!O660</f>
        <v>0</v>
      </c>
      <c r="AY71" s="93">
        <f>Modeloutput!P660</f>
        <v>0</v>
      </c>
      <c r="AZ71" s="24"/>
      <c r="BA71" s="119" t="s">
        <v>11</v>
      </c>
      <c r="BB71" s="114">
        <f>Modeloutput!B915</f>
        <v>0</v>
      </c>
      <c r="BC71" s="114">
        <f>Modeloutput!C915</f>
        <v>0</v>
      </c>
      <c r="BD71" s="114">
        <f>Modeloutput!D915</f>
        <v>0</v>
      </c>
      <c r="BE71" s="114">
        <f>Modeloutput!E915</f>
        <v>0</v>
      </c>
      <c r="BF71" s="114">
        <f>Modeloutput!F915</f>
        <v>0</v>
      </c>
      <c r="BG71" s="114">
        <f>Modeloutput!G915</f>
        <v>0</v>
      </c>
      <c r="BH71" s="114">
        <f>Modeloutput!H915</f>
        <v>0</v>
      </c>
      <c r="BI71" s="114">
        <f>Modeloutput!I915</f>
        <v>0</v>
      </c>
      <c r="BJ71" s="114">
        <f>Modeloutput!J915</f>
        <v>0</v>
      </c>
      <c r="BK71" s="114">
        <f>Modeloutput!K915</f>
        <v>0</v>
      </c>
      <c r="BL71" s="114">
        <f>Modeloutput!L915</f>
        <v>0</v>
      </c>
      <c r="BM71" s="114">
        <f>Modeloutput!M915</f>
        <v>0</v>
      </c>
      <c r="BN71" s="114">
        <f>Modeloutput!N915</f>
        <v>0</v>
      </c>
      <c r="BO71" s="114">
        <f>Modeloutput!O915</f>
        <v>0</v>
      </c>
      <c r="BP71" s="114">
        <f>Modeloutput!P915</f>
        <v>0</v>
      </c>
      <c r="BQ71" s="24"/>
      <c r="BR71" s="119" t="s">
        <v>11</v>
      </c>
      <c r="BS71" s="114">
        <f>Modeloutput!B1170</f>
        <v>0</v>
      </c>
      <c r="BT71" s="114">
        <f>Modeloutput!C1170</f>
        <v>0</v>
      </c>
      <c r="BU71" s="114">
        <f>Modeloutput!D1170</f>
        <v>0</v>
      </c>
      <c r="BV71" s="114">
        <f>Modeloutput!E1170</f>
        <v>0</v>
      </c>
      <c r="BW71" s="114">
        <f>Modeloutput!F1170</f>
        <v>0</v>
      </c>
      <c r="BX71" s="114">
        <f>Modeloutput!G1170</f>
        <v>0</v>
      </c>
      <c r="BY71" s="114">
        <f>Modeloutput!H1170</f>
        <v>0</v>
      </c>
      <c r="BZ71" s="114">
        <f>Modeloutput!I1170</f>
        <v>0</v>
      </c>
      <c r="CA71" s="114">
        <f>Modeloutput!J1170</f>
        <v>0</v>
      </c>
      <c r="CB71" s="114">
        <f>Modeloutput!K1170</f>
        <v>0</v>
      </c>
      <c r="CC71" s="114">
        <f>Modeloutput!L1170</f>
        <v>0</v>
      </c>
      <c r="CD71" s="114">
        <f>Modeloutput!M1170</f>
        <v>0</v>
      </c>
      <c r="CE71" s="114">
        <f>Modeloutput!N1170</f>
        <v>0</v>
      </c>
      <c r="CF71" s="114">
        <f>Modeloutput!O1170</f>
        <v>0</v>
      </c>
      <c r="CG71" s="114">
        <f>Modeloutput!P1170</f>
        <v>0</v>
      </c>
    </row>
    <row r="72" spans="2:85" s="7" customFormat="1" x14ac:dyDescent="0.25">
      <c r="B72" s="7" t="s">
        <v>12</v>
      </c>
      <c r="C72" s="114">
        <f>Modeloutput!B151</f>
        <v>0</v>
      </c>
      <c r="D72" s="114">
        <f>Modeloutput!C151</f>
        <v>0</v>
      </c>
      <c r="E72" s="114">
        <f>Modeloutput!D151</f>
        <v>0</v>
      </c>
      <c r="F72" s="114">
        <f>Modeloutput!E151</f>
        <v>0</v>
      </c>
      <c r="G72" s="114">
        <f>Modeloutput!F151</f>
        <v>0</v>
      </c>
      <c r="H72" s="114">
        <f>Modeloutput!G151</f>
        <v>0</v>
      </c>
      <c r="I72" s="93">
        <f>Modeloutput!H151</f>
        <v>0</v>
      </c>
      <c r="J72" s="114">
        <f>Modeloutput!I151</f>
        <v>0</v>
      </c>
      <c r="K72" s="114">
        <f>Modeloutput!J151</f>
        <v>0</v>
      </c>
      <c r="L72" s="114">
        <f>Modeloutput!K151</f>
        <v>0</v>
      </c>
      <c r="M72" s="114">
        <f>Modeloutput!L151</f>
        <v>0</v>
      </c>
      <c r="N72" s="114">
        <f>Modeloutput!M151</f>
        <v>0</v>
      </c>
      <c r="O72" s="114">
        <f>Modeloutput!N151</f>
        <v>0</v>
      </c>
      <c r="P72" s="114">
        <f>Modeloutput!O151</f>
        <v>0</v>
      </c>
      <c r="Q72" s="114">
        <f>Modeloutput!P151</f>
        <v>0</v>
      </c>
      <c r="R72" s="24"/>
      <c r="S72" s="119" t="s">
        <v>12</v>
      </c>
      <c r="T72" s="114">
        <f>Modeloutput!B406</f>
        <v>0</v>
      </c>
      <c r="U72" s="114">
        <f>Modeloutput!C406</f>
        <v>0</v>
      </c>
      <c r="V72" s="114">
        <f>Modeloutput!D406</f>
        <v>0</v>
      </c>
      <c r="W72" s="114">
        <f>Modeloutput!E406</f>
        <v>0</v>
      </c>
      <c r="X72" s="114">
        <f>Modeloutput!F406</f>
        <v>0</v>
      </c>
      <c r="Y72" s="114">
        <f>Modeloutput!G406</f>
        <v>0</v>
      </c>
      <c r="Z72" s="114">
        <f>Modeloutput!H406</f>
        <v>0</v>
      </c>
      <c r="AA72" s="114">
        <f>Modeloutput!I406</f>
        <v>0</v>
      </c>
      <c r="AB72" s="114">
        <f>Modeloutput!J406</f>
        <v>0</v>
      </c>
      <c r="AC72" s="114">
        <f>Modeloutput!K406</f>
        <v>0</v>
      </c>
      <c r="AD72" s="114">
        <f>Modeloutput!L406</f>
        <v>0</v>
      </c>
      <c r="AE72" s="114">
        <f>Modeloutput!M406</f>
        <v>0</v>
      </c>
      <c r="AF72" s="114">
        <f>Modeloutput!N406</f>
        <v>0</v>
      </c>
      <c r="AG72" s="114">
        <f>Modeloutput!O406</f>
        <v>0</v>
      </c>
      <c r="AH72" s="114">
        <f>Modeloutput!P406</f>
        <v>0</v>
      </c>
      <c r="AI72" s="24"/>
      <c r="AJ72" s="119" t="s">
        <v>12</v>
      </c>
      <c r="AK72" s="93">
        <f>Modeloutput!B661</f>
        <v>0</v>
      </c>
      <c r="AL72" s="93">
        <f>Modeloutput!C661</f>
        <v>0</v>
      </c>
      <c r="AM72" s="93">
        <f>Modeloutput!D661</f>
        <v>0</v>
      </c>
      <c r="AN72" s="93">
        <f>Modeloutput!E661</f>
        <v>0</v>
      </c>
      <c r="AO72" s="93">
        <f>Modeloutput!F661</f>
        <v>0</v>
      </c>
      <c r="AP72" s="93">
        <f>Modeloutput!G661</f>
        <v>0</v>
      </c>
      <c r="AQ72" s="93">
        <f>Modeloutput!H661</f>
        <v>0</v>
      </c>
      <c r="AR72" s="93">
        <f>Modeloutput!I661</f>
        <v>0</v>
      </c>
      <c r="AS72" s="93">
        <f>Modeloutput!J661</f>
        <v>0</v>
      </c>
      <c r="AT72" s="93">
        <f>Modeloutput!K661</f>
        <v>0</v>
      </c>
      <c r="AU72" s="93">
        <f>Modeloutput!L661</f>
        <v>0</v>
      </c>
      <c r="AV72" s="93">
        <f>Modeloutput!M661</f>
        <v>0</v>
      </c>
      <c r="AW72" s="93">
        <f>Modeloutput!N661</f>
        <v>0</v>
      </c>
      <c r="AX72" s="93">
        <f>Modeloutput!O661</f>
        <v>0</v>
      </c>
      <c r="AY72" s="93">
        <f>Modeloutput!P661</f>
        <v>0</v>
      </c>
      <c r="AZ72" s="24"/>
      <c r="BA72" s="119" t="s">
        <v>12</v>
      </c>
      <c r="BB72" s="114">
        <f>Modeloutput!B916</f>
        <v>0</v>
      </c>
      <c r="BC72" s="114">
        <f>Modeloutput!C916</f>
        <v>0</v>
      </c>
      <c r="BD72" s="114">
        <f>Modeloutput!D916</f>
        <v>0</v>
      </c>
      <c r="BE72" s="114">
        <f>Modeloutput!E916</f>
        <v>0</v>
      </c>
      <c r="BF72" s="114">
        <f>Modeloutput!F916</f>
        <v>0</v>
      </c>
      <c r="BG72" s="114">
        <f>Modeloutput!G916</f>
        <v>0</v>
      </c>
      <c r="BH72" s="114">
        <f>Modeloutput!H916</f>
        <v>0</v>
      </c>
      <c r="BI72" s="114">
        <f>Modeloutput!I916</f>
        <v>0</v>
      </c>
      <c r="BJ72" s="114">
        <f>Modeloutput!J916</f>
        <v>0</v>
      </c>
      <c r="BK72" s="114">
        <f>Modeloutput!K916</f>
        <v>0</v>
      </c>
      <c r="BL72" s="114">
        <f>Modeloutput!L916</f>
        <v>0</v>
      </c>
      <c r="BM72" s="114">
        <f>Modeloutput!M916</f>
        <v>0</v>
      </c>
      <c r="BN72" s="114">
        <f>Modeloutput!N916</f>
        <v>0</v>
      </c>
      <c r="BO72" s="114">
        <f>Modeloutput!O916</f>
        <v>0</v>
      </c>
      <c r="BP72" s="114">
        <f>Modeloutput!P916</f>
        <v>0</v>
      </c>
      <c r="BQ72" s="24"/>
      <c r="BR72" s="119" t="s">
        <v>12</v>
      </c>
      <c r="BS72" s="114">
        <f>Modeloutput!B1171</f>
        <v>0</v>
      </c>
      <c r="BT72" s="114">
        <f>Modeloutput!C1171</f>
        <v>0</v>
      </c>
      <c r="BU72" s="114">
        <f>Modeloutput!D1171</f>
        <v>0</v>
      </c>
      <c r="BV72" s="114">
        <f>Modeloutput!E1171</f>
        <v>0</v>
      </c>
      <c r="BW72" s="114">
        <f>Modeloutput!F1171</f>
        <v>0</v>
      </c>
      <c r="BX72" s="114">
        <f>Modeloutput!G1171</f>
        <v>0</v>
      </c>
      <c r="BY72" s="114">
        <f>Modeloutput!H1171</f>
        <v>0</v>
      </c>
      <c r="BZ72" s="114">
        <f>Modeloutput!I1171</f>
        <v>0</v>
      </c>
      <c r="CA72" s="114">
        <f>Modeloutput!J1171</f>
        <v>0</v>
      </c>
      <c r="CB72" s="114">
        <f>Modeloutput!K1171</f>
        <v>0</v>
      </c>
      <c r="CC72" s="114">
        <f>Modeloutput!L1171</f>
        <v>0</v>
      </c>
      <c r="CD72" s="114">
        <f>Modeloutput!M1171</f>
        <v>0</v>
      </c>
      <c r="CE72" s="114">
        <f>Modeloutput!N1171</f>
        <v>0</v>
      </c>
      <c r="CF72" s="114">
        <f>Modeloutput!O1171</f>
        <v>0</v>
      </c>
      <c r="CG72" s="114">
        <f>Modeloutput!P1171</f>
        <v>0</v>
      </c>
    </row>
    <row r="73" spans="2:85" s="7" customFormat="1" x14ac:dyDescent="0.25">
      <c r="B73" s="7" t="s">
        <v>13</v>
      </c>
      <c r="C73" s="114">
        <f>Modeloutput!B152</f>
        <v>0</v>
      </c>
      <c r="D73" s="114">
        <f>Modeloutput!C152</f>
        <v>0</v>
      </c>
      <c r="E73" s="114">
        <f>Modeloutput!D152</f>
        <v>0</v>
      </c>
      <c r="F73" s="114">
        <f>Modeloutput!E152</f>
        <v>0</v>
      </c>
      <c r="G73" s="114">
        <f>Modeloutput!F152</f>
        <v>0</v>
      </c>
      <c r="H73" s="114">
        <f>Modeloutput!G152</f>
        <v>0</v>
      </c>
      <c r="I73" s="93">
        <f>Modeloutput!H152</f>
        <v>0</v>
      </c>
      <c r="J73" s="114">
        <f>Modeloutput!I152</f>
        <v>0</v>
      </c>
      <c r="K73" s="114">
        <f>Modeloutput!J152</f>
        <v>0</v>
      </c>
      <c r="L73" s="114">
        <f>Modeloutput!K152</f>
        <v>0</v>
      </c>
      <c r="M73" s="114">
        <f>Modeloutput!L152</f>
        <v>0</v>
      </c>
      <c r="N73" s="114">
        <f>Modeloutput!M152</f>
        <v>0</v>
      </c>
      <c r="O73" s="114">
        <f>Modeloutput!N152</f>
        <v>0</v>
      </c>
      <c r="P73" s="114">
        <f>Modeloutput!O152</f>
        <v>0</v>
      </c>
      <c r="Q73" s="114">
        <f>Modeloutput!P152</f>
        <v>0</v>
      </c>
      <c r="R73" s="24"/>
      <c r="S73" s="119" t="s">
        <v>13</v>
      </c>
      <c r="T73" s="114">
        <f>Modeloutput!B407</f>
        <v>0</v>
      </c>
      <c r="U73" s="114">
        <f>Modeloutput!C407</f>
        <v>0</v>
      </c>
      <c r="V73" s="114">
        <f>Modeloutput!D407</f>
        <v>0</v>
      </c>
      <c r="W73" s="114">
        <f>Modeloutput!E407</f>
        <v>0</v>
      </c>
      <c r="X73" s="114">
        <f>Modeloutput!F407</f>
        <v>0</v>
      </c>
      <c r="Y73" s="114">
        <f>Modeloutput!G407</f>
        <v>0</v>
      </c>
      <c r="Z73" s="114">
        <f>Modeloutput!H407</f>
        <v>0</v>
      </c>
      <c r="AA73" s="114">
        <f>Modeloutput!I407</f>
        <v>0</v>
      </c>
      <c r="AB73" s="114">
        <f>Modeloutput!J407</f>
        <v>0</v>
      </c>
      <c r="AC73" s="114">
        <f>Modeloutput!K407</f>
        <v>0</v>
      </c>
      <c r="AD73" s="114">
        <f>Modeloutput!L407</f>
        <v>0</v>
      </c>
      <c r="AE73" s="114">
        <f>Modeloutput!M407</f>
        <v>0</v>
      </c>
      <c r="AF73" s="114">
        <f>Modeloutput!N407</f>
        <v>0</v>
      </c>
      <c r="AG73" s="114">
        <f>Modeloutput!O407</f>
        <v>0</v>
      </c>
      <c r="AH73" s="114">
        <f>Modeloutput!P407</f>
        <v>0</v>
      </c>
      <c r="AI73" s="24"/>
      <c r="AJ73" s="119" t="s">
        <v>13</v>
      </c>
      <c r="AK73" s="93">
        <f>Modeloutput!B662</f>
        <v>0</v>
      </c>
      <c r="AL73" s="93">
        <f>Modeloutput!C662</f>
        <v>0</v>
      </c>
      <c r="AM73" s="93">
        <f>Modeloutput!D662</f>
        <v>0</v>
      </c>
      <c r="AN73" s="93">
        <f>Modeloutput!E662</f>
        <v>0</v>
      </c>
      <c r="AO73" s="93">
        <f>Modeloutput!F662</f>
        <v>0</v>
      </c>
      <c r="AP73" s="93">
        <f>Modeloutput!G662</f>
        <v>0</v>
      </c>
      <c r="AQ73" s="93">
        <f>Modeloutput!H662</f>
        <v>0</v>
      </c>
      <c r="AR73" s="93">
        <f>Modeloutput!I662</f>
        <v>0</v>
      </c>
      <c r="AS73" s="93">
        <f>Modeloutput!J662</f>
        <v>0</v>
      </c>
      <c r="AT73" s="93">
        <f>Modeloutput!K662</f>
        <v>0</v>
      </c>
      <c r="AU73" s="93">
        <f>Modeloutput!L662</f>
        <v>0</v>
      </c>
      <c r="AV73" s="93">
        <f>Modeloutput!M662</f>
        <v>0</v>
      </c>
      <c r="AW73" s="93">
        <f>Modeloutput!N662</f>
        <v>0</v>
      </c>
      <c r="AX73" s="93">
        <f>Modeloutput!O662</f>
        <v>0</v>
      </c>
      <c r="AY73" s="93">
        <f>Modeloutput!P662</f>
        <v>0</v>
      </c>
      <c r="AZ73" s="24"/>
      <c r="BA73" s="119" t="s">
        <v>13</v>
      </c>
      <c r="BB73" s="114">
        <f>Modeloutput!B917</f>
        <v>0</v>
      </c>
      <c r="BC73" s="114">
        <f>Modeloutput!C917</f>
        <v>0</v>
      </c>
      <c r="BD73" s="114">
        <f>Modeloutput!D917</f>
        <v>0</v>
      </c>
      <c r="BE73" s="114">
        <f>Modeloutput!E917</f>
        <v>0</v>
      </c>
      <c r="BF73" s="114">
        <f>Modeloutput!F917</f>
        <v>0</v>
      </c>
      <c r="BG73" s="114">
        <f>Modeloutput!G917</f>
        <v>0</v>
      </c>
      <c r="BH73" s="114">
        <f>Modeloutput!H917</f>
        <v>0</v>
      </c>
      <c r="BI73" s="114">
        <f>Modeloutput!I917</f>
        <v>0</v>
      </c>
      <c r="BJ73" s="114">
        <f>Modeloutput!J917</f>
        <v>0</v>
      </c>
      <c r="BK73" s="114">
        <f>Modeloutput!K917</f>
        <v>0</v>
      </c>
      <c r="BL73" s="114">
        <f>Modeloutput!L917</f>
        <v>0</v>
      </c>
      <c r="BM73" s="114">
        <f>Modeloutput!M917</f>
        <v>0</v>
      </c>
      <c r="BN73" s="114">
        <f>Modeloutput!N917</f>
        <v>0</v>
      </c>
      <c r="BO73" s="114">
        <f>Modeloutput!O917</f>
        <v>0</v>
      </c>
      <c r="BP73" s="114">
        <f>Modeloutput!P917</f>
        <v>0</v>
      </c>
      <c r="BQ73" s="24"/>
      <c r="BR73" s="119" t="s">
        <v>13</v>
      </c>
      <c r="BS73" s="114">
        <f>Modeloutput!B1172</f>
        <v>0</v>
      </c>
      <c r="BT73" s="114">
        <f>Modeloutput!C1172</f>
        <v>0</v>
      </c>
      <c r="BU73" s="114">
        <f>Modeloutput!D1172</f>
        <v>0</v>
      </c>
      <c r="BV73" s="114">
        <f>Modeloutput!E1172</f>
        <v>0</v>
      </c>
      <c r="BW73" s="114">
        <f>Modeloutput!F1172</f>
        <v>0</v>
      </c>
      <c r="BX73" s="114">
        <f>Modeloutput!G1172</f>
        <v>0</v>
      </c>
      <c r="BY73" s="114">
        <f>Modeloutput!H1172</f>
        <v>0</v>
      </c>
      <c r="BZ73" s="114">
        <f>Modeloutput!I1172</f>
        <v>0</v>
      </c>
      <c r="CA73" s="114">
        <f>Modeloutput!J1172</f>
        <v>0</v>
      </c>
      <c r="CB73" s="114">
        <f>Modeloutput!K1172</f>
        <v>0</v>
      </c>
      <c r="CC73" s="114">
        <f>Modeloutput!L1172</f>
        <v>0</v>
      </c>
      <c r="CD73" s="114">
        <f>Modeloutput!M1172</f>
        <v>0</v>
      </c>
      <c r="CE73" s="114">
        <f>Modeloutput!N1172</f>
        <v>0</v>
      </c>
      <c r="CF73" s="114">
        <f>Modeloutput!O1172</f>
        <v>0</v>
      </c>
      <c r="CG73" s="114">
        <f>Modeloutput!P1172</f>
        <v>0</v>
      </c>
    </row>
    <row r="74" spans="2:85" s="7" customFormat="1" x14ac:dyDescent="0.25">
      <c r="B74" s="7" t="s">
        <v>14</v>
      </c>
      <c r="C74" s="114">
        <f>Modeloutput!B153</f>
        <v>0</v>
      </c>
      <c r="D74" s="114">
        <f>Modeloutput!C153</f>
        <v>0</v>
      </c>
      <c r="E74" s="114">
        <f>Modeloutput!D153</f>
        <v>0</v>
      </c>
      <c r="F74" s="114">
        <f>Modeloutput!E153</f>
        <v>0</v>
      </c>
      <c r="G74" s="114">
        <f>Modeloutput!F153</f>
        <v>0</v>
      </c>
      <c r="H74" s="114">
        <f>Modeloutput!G153</f>
        <v>0</v>
      </c>
      <c r="I74" s="93">
        <f>Modeloutput!H153</f>
        <v>0</v>
      </c>
      <c r="J74" s="114">
        <f>Modeloutput!I153</f>
        <v>0</v>
      </c>
      <c r="K74" s="114">
        <f>Modeloutput!J153</f>
        <v>0</v>
      </c>
      <c r="L74" s="114">
        <f>Modeloutput!K153</f>
        <v>0</v>
      </c>
      <c r="M74" s="114">
        <f>Modeloutput!L153</f>
        <v>0</v>
      </c>
      <c r="N74" s="114">
        <f>Modeloutput!M153</f>
        <v>0</v>
      </c>
      <c r="O74" s="114">
        <f>Modeloutput!N153</f>
        <v>0</v>
      </c>
      <c r="P74" s="114">
        <f>Modeloutput!O153</f>
        <v>0</v>
      </c>
      <c r="Q74" s="114">
        <f>Modeloutput!P153</f>
        <v>0</v>
      </c>
      <c r="R74" s="24"/>
      <c r="S74" s="119" t="s">
        <v>14</v>
      </c>
      <c r="T74" s="114">
        <f>Modeloutput!B408</f>
        <v>0</v>
      </c>
      <c r="U74" s="114">
        <f>Modeloutput!C408</f>
        <v>0</v>
      </c>
      <c r="V74" s="114">
        <f>Modeloutput!D408</f>
        <v>0</v>
      </c>
      <c r="W74" s="114">
        <f>Modeloutput!E408</f>
        <v>0</v>
      </c>
      <c r="X74" s="114">
        <f>Modeloutput!F408</f>
        <v>0</v>
      </c>
      <c r="Y74" s="114">
        <f>Modeloutput!G408</f>
        <v>0</v>
      </c>
      <c r="Z74" s="114">
        <f>Modeloutput!H408</f>
        <v>0</v>
      </c>
      <c r="AA74" s="114">
        <f>Modeloutput!I408</f>
        <v>0</v>
      </c>
      <c r="AB74" s="114">
        <f>Modeloutput!J408</f>
        <v>0</v>
      </c>
      <c r="AC74" s="114">
        <f>Modeloutput!K408</f>
        <v>0</v>
      </c>
      <c r="AD74" s="114">
        <f>Modeloutput!L408</f>
        <v>0</v>
      </c>
      <c r="AE74" s="114">
        <f>Modeloutput!M408</f>
        <v>0</v>
      </c>
      <c r="AF74" s="114">
        <f>Modeloutput!N408</f>
        <v>0</v>
      </c>
      <c r="AG74" s="114">
        <f>Modeloutput!O408</f>
        <v>0</v>
      </c>
      <c r="AH74" s="114">
        <f>Modeloutput!P408</f>
        <v>0</v>
      </c>
      <c r="AI74" s="24"/>
      <c r="AJ74" s="119" t="s">
        <v>14</v>
      </c>
      <c r="AK74" s="93">
        <f>Modeloutput!B663</f>
        <v>0</v>
      </c>
      <c r="AL74" s="93">
        <f>Modeloutput!C663</f>
        <v>0</v>
      </c>
      <c r="AM74" s="93">
        <f>Modeloutput!D663</f>
        <v>0</v>
      </c>
      <c r="AN74" s="93">
        <f>Modeloutput!E663</f>
        <v>0</v>
      </c>
      <c r="AO74" s="93">
        <f>Modeloutput!F663</f>
        <v>0</v>
      </c>
      <c r="AP74" s="93">
        <f>Modeloutput!G663</f>
        <v>0</v>
      </c>
      <c r="AQ74" s="93">
        <f>Modeloutput!H663</f>
        <v>0</v>
      </c>
      <c r="AR74" s="93">
        <f>Modeloutput!I663</f>
        <v>0</v>
      </c>
      <c r="AS74" s="93">
        <f>Modeloutput!J663</f>
        <v>0</v>
      </c>
      <c r="AT74" s="93">
        <f>Modeloutput!K663</f>
        <v>0</v>
      </c>
      <c r="AU74" s="93">
        <f>Modeloutput!L663</f>
        <v>0</v>
      </c>
      <c r="AV74" s="93">
        <f>Modeloutput!M663</f>
        <v>0</v>
      </c>
      <c r="AW74" s="93">
        <f>Modeloutput!N663</f>
        <v>0</v>
      </c>
      <c r="AX74" s="93">
        <f>Modeloutput!O663</f>
        <v>0</v>
      </c>
      <c r="AY74" s="93">
        <f>Modeloutput!P663</f>
        <v>0</v>
      </c>
      <c r="AZ74" s="24"/>
      <c r="BA74" s="119" t="s">
        <v>14</v>
      </c>
      <c r="BB74" s="114">
        <f>Modeloutput!B918</f>
        <v>0</v>
      </c>
      <c r="BC74" s="114">
        <f>Modeloutput!C918</f>
        <v>0</v>
      </c>
      <c r="BD74" s="114">
        <f>Modeloutput!D918</f>
        <v>0</v>
      </c>
      <c r="BE74" s="114">
        <f>Modeloutput!E918</f>
        <v>0</v>
      </c>
      <c r="BF74" s="114">
        <f>Modeloutput!F918</f>
        <v>0</v>
      </c>
      <c r="BG74" s="114">
        <f>Modeloutput!G918</f>
        <v>0</v>
      </c>
      <c r="BH74" s="114">
        <f>Modeloutput!H918</f>
        <v>0</v>
      </c>
      <c r="BI74" s="114">
        <f>Modeloutput!I918</f>
        <v>0</v>
      </c>
      <c r="BJ74" s="114">
        <f>Modeloutput!J918</f>
        <v>0</v>
      </c>
      <c r="BK74" s="114">
        <f>Modeloutput!K918</f>
        <v>0</v>
      </c>
      <c r="BL74" s="114">
        <f>Modeloutput!L918</f>
        <v>0</v>
      </c>
      <c r="BM74" s="114">
        <f>Modeloutput!M918</f>
        <v>0</v>
      </c>
      <c r="BN74" s="114">
        <f>Modeloutput!N918</f>
        <v>0</v>
      </c>
      <c r="BO74" s="114">
        <f>Modeloutput!O918</f>
        <v>0</v>
      </c>
      <c r="BP74" s="114">
        <f>Modeloutput!P918</f>
        <v>0</v>
      </c>
      <c r="BQ74" s="24"/>
      <c r="BR74" s="119" t="s">
        <v>14</v>
      </c>
      <c r="BS74" s="114">
        <f>Modeloutput!B1173</f>
        <v>0</v>
      </c>
      <c r="BT74" s="114">
        <f>Modeloutput!C1173</f>
        <v>0</v>
      </c>
      <c r="BU74" s="114">
        <f>Modeloutput!D1173</f>
        <v>0</v>
      </c>
      <c r="BV74" s="114">
        <f>Modeloutput!E1173</f>
        <v>0</v>
      </c>
      <c r="BW74" s="114">
        <f>Modeloutput!F1173</f>
        <v>0</v>
      </c>
      <c r="BX74" s="114">
        <f>Modeloutput!G1173</f>
        <v>0</v>
      </c>
      <c r="BY74" s="114">
        <f>Modeloutput!H1173</f>
        <v>0</v>
      </c>
      <c r="BZ74" s="114">
        <f>Modeloutput!I1173</f>
        <v>0</v>
      </c>
      <c r="CA74" s="114">
        <f>Modeloutput!J1173</f>
        <v>0</v>
      </c>
      <c r="CB74" s="114">
        <f>Modeloutput!K1173</f>
        <v>0</v>
      </c>
      <c r="CC74" s="114">
        <f>Modeloutput!L1173</f>
        <v>0</v>
      </c>
      <c r="CD74" s="114">
        <f>Modeloutput!M1173</f>
        <v>0</v>
      </c>
      <c r="CE74" s="114">
        <f>Modeloutput!N1173</f>
        <v>0</v>
      </c>
      <c r="CF74" s="114">
        <f>Modeloutput!O1173</f>
        <v>0</v>
      </c>
      <c r="CG74" s="114">
        <f>Modeloutput!P1173</f>
        <v>0</v>
      </c>
    </row>
    <row r="75" spans="2:85" s="7" customFormat="1" x14ac:dyDescent="0.25">
      <c r="B75" s="28" t="s">
        <v>18</v>
      </c>
      <c r="C75" s="115">
        <f t="shared" ref="C75:Q75" si="10">SUM(C61:C74)</f>
        <v>12.428450773</v>
      </c>
      <c r="D75" s="115">
        <f t="shared" si="10"/>
        <v>2.8874183979999999</v>
      </c>
      <c r="E75" s="115">
        <f t="shared" si="10"/>
        <v>9.5410323700000017</v>
      </c>
      <c r="F75" s="115">
        <f t="shared" si="10"/>
        <v>5.7077797800000001</v>
      </c>
      <c r="G75" s="115">
        <f t="shared" si="10"/>
        <v>0.58189583023999991</v>
      </c>
      <c r="H75" s="115">
        <f t="shared" si="10"/>
        <v>3.1543353944000003</v>
      </c>
      <c r="I75" s="100">
        <f t="shared" si="10"/>
        <v>9.7021377680000007E-2</v>
      </c>
      <c r="J75" s="115">
        <f t="shared" si="10"/>
        <v>0</v>
      </c>
      <c r="K75" s="115">
        <f t="shared" si="10"/>
        <v>0</v>
      </c>
      <c r="L75" s="115">
        <f t="shared" si="10"/>
        <v>2.8038760649999999</v>
      </c>
      <c r="M75" s="115">
        <f t="shared" si="10"/>
        <v>0</v>
      </c>
      <c r="N75" s="115">
        <f t="shared" si="10"/>
        <v>8.3542337999999994E-2</v>
      </c>
      <c r="O75" s="115">
        <f t="shared" si="10"/>
        <v>0</v>
      </c>
      <c r="P75" s="115">
        <f t="shared" si="10"/>
        <v>0</v>
      </c>
      <c r="Q75" s="115">
        <f t="shared" si="10"/>
        <v>0</v>
      </c>
      <c r="R75" s="24"/>
      <c r="S75" s="120" t="s">
        <v>18</v>
      </c>
      <c r="T75" s="115">
        <f t="shared" ref="T75:AH75" si="11">SUM(T61:T74)</f>
        <v>10.154357296999999</v>
      </c>
      <c r="U75" s="115">
        <f t="shared" si="11"/>
        <v>2.1391451875</v>
      </c>
      <c r="V75" s="115">
        <f t="shared" si="11"/>
        <v>8.0152121120000004</v>
      </c>
      <c r="W75" s="115">
        <f t="shared" si="11"/>
        <v>5.0561018099999995</v>
      </c>
      <c r="X75" s="115">
        <f t="shared" si="11"/>
        <v>0.58203263989999998</v>
      </c>
      <c r="Y75" s="115">
        <f t="shared" si="11"/>
        <v>2.2800562792000001</v>
      </c>
      <c r="Z75" s="115">
        <f t="shared" si="11"/>
        <v>9.7021377680000007E-2</v>
      </c>
      <c r="AA75" s="115">
        <f t="shared" si="11"/>
        <v>0</v>
      </c>
      <c r="AB75" s="115">
        <f t="shared" si="11"/>
        <v>0</v>
      </c>
      <c r="AC75" s="115">
        <f t="shared" si="11"/>
        <v>2.0561150970000002</v>
      </c>
      <c r="AD75" s="115">
        <f t="shared" si="11"/>
        <v>0</v>
      </c>
      <c r="AE75" s="115">
        <f t="shared" si="11"/>
        <v>8.3030087500000002E-2</v>
      </c>
      <c r="AF75" s="115">
        <f t="shared" si="11"/>
        <v>0</v>
      </c>
      <c r="AG75" s="115">
        <f t="shared" si="11"/>
        <v>0</v>
      </c>
      <c r="AH75" s="115">
        <f t="shared" si="11"/>
        <v>0</v>
      </c>
      <c r="AI75" s="24"/>
      <c r="AJ75" s="120" t="s">
        <v>18</v>
      </c>
      <c r="AK75" s="100">
        <f t="shared" ref="AK75:AY75" si="12">SUM(AK61:AK74)</f>
        <v>8.3622174549999997</v>
      </c>
      <c r="AL75" s="100">
        <f t="shared" si="12"/>
        <v>2.085645091</v>
      </c>
      <c r="AM75" s="100">
        <f t="shared" si="12"/>
        <v>6.276572358000001</v>
      </c>
      <c r="AN75" s="100">
        <f t="shared" si="12"/>
        <v>3.7306635669999997</v>
      </c>
      <c r="AO75" s="100">
        <f t="shared" si="12"/>
        <v>0.58168706603999998</v>
      </c>
      <c r="AP75" s="100">
        <f t="shared" si="12"/>
        <v>1.8672003459999997</v>
      </c>
      <c r="AQ75" s="100">
        <f t="shared" si="12"/>
        <v>9.7021377680000007E-2</v>
      </c>
      <c r="AR75" s="100">
        <f t="shared" si="12"/>
        <v>0</v>
      </c>
      <c r="AS75" s="100">
        <f t="shared" si="12"/>
        <v>0</v>
      </c>
      <c r="AT75" s="100">
        <f t="shared" si="12"/>
        <v>1.428391722</v>
      </c>
      <c r="AU75" s="100">
        <f t="shared" si="12"/>
        <v>0</v>
      </c>
      <c r="AV75" s="100">
        <f t="shared" si="12"/>
        <v>0.65725337100000003</v>
      </c>
      <c r="AW75" s="100">
        <f t="shared" si="12"/>
        <v>0</v>
      </c>
      <c r="AX75" s="100">
        <f t="shared" si="12"/>
        <v>0</v>
      </c>
      <c r="AY75" s="100">
        <f t="shared" si="12"/>
        <v>0</v>
      </c>
      <c r="AZ75" s="24"/>
      <c r="BA75" s="120" t="s">
        <v>18</v>
      </c>
      <c r="BB75" s="115">
        <f t="shared" ref="BB75:BP75" si="13">SUM(BB61:BB74)</f>
        <v>8.4648351099999992</v>
      </c>
      <c r="BC75" s="115">
        <f t="shared" si="13"/>
        <v>2.8044791</v>
      </c>
      <c r="BD75" s="115">
        <f t="shared" si="13"/>
        <v>5.6603560100000001</v>
      </c>
      <c r="BE75" s="115">
        <f t="shared" si="13"/>
        <v>2.9577555100000001</v>
      </c>
      <c r="BF75" s="115">
        <f t="shared" si="13"/>
        <v>0.44369823799999997</v>
      </c>
      <c r="BG75" s="115">
        <f t="shared" si="13"/>
        <v>2.1668487990000003</v>
      </c>
      <c r="BH75" s="115">
        <f t="shared" si="13"/>
        <v>9.2053457699999994E-2</v>
      </c>
      <c r="BI75" s="115">
        <f t="shared" si="13"/>
        <v>0</v>
      </c>
      <c r="BJ75" s="115">
        <f t="shared" si="13"/>
        <v>0</v>
      </c>
      <c r="BK75" s="115">
        <f t="shared" si="13"/>
        <v>2.8044791</v>
      </c>
      <c r="BL75" s="115">
        <f t="shared" si="13"/>
        <v>0</v>
      </c>
      <c r="BM75" s="115">
        <f t="shared" si="13"/>
        <v>0</v>
      </c>
      <c r="BN75" s="115">
        <f t="shared" si="13"/>
        <v>0</v>
      </c>
      <c r="BO75" s="115">
        <f t="shared" si="13"/>
        <v>0</v>
      </c>
      <c r="BP75" s="115">
        <f t="shared" si="13"/>
        <v>0</v>
      </c>
      <c r="BQ75" s="24"/>
      <c r="BR75" s="120" t="s">
        <v>18</v>
      </c>
      <c r="BS75" s="115">
        <f t="shared" ref="BS75:CG75" si="14">SUM(BS61:BS74)</f>
        <v>13.783663338929999</v>
      </c>
      <c r="BT75" s="115">
        <f t="shared" si="14"/>
        <v>5.9904825511300004</v>
      </c>
      <c r="BU75" s="115">
        <f t="shared" si="14"/>
        <v>7.7931807868000007</v>
      </c>
      <c r="BV75" s="115">
        <f t="shared" si="14"/>
        <v>4.8264055166999995</v>
      </c>
      <c r="BW75" s="115">
        <f t="shared" si="14"/>
        <v>0.58107742813699992</v>
      </c>
      <c r="BX75" s="115">
        <f t="shared" si="14"/>
        <v>2.2803247165970002</v>
      </c>
      <c r="BY75" s="115">
        <f t="shared" si="14"/>
        <v>0.10537312881400002</v>
      </c>
      <c r="BZ75" s="115">
        <f t="shared" si="14"/>
        <v>0</v>
      </c>
      <c r="CA75" s="115">
        <f t="shared" si="14"/>
        <v>0</v>
      </c>
      <c r="CB75" s="115">
        <f t="shared" si="14"/>
        <v>4.0934620519999996</v>
      </c>
      <c r="CC75" s="115">
        <f t="shared" si="14"/>
        <v>1.8962666989999999</v>
      </c>
      <c r="CD75" s="115">
        <f t="shared" si="14"/>
        <v>7.5380113000000004E-4</v>
      </c>
      <c r="CE75" s="115">
        <f t="shared" si="14"/>
        <v>0</v>
      </c>
      <c r="CF75" s="115">
        <f t="shared" si="14"/>
        <v>0</v>
      </c>
      <c r="CG75" s="115">
        <f t="shared" si="14"/>
        <v>0</v>
      </c>
    </row>
    <row r="77" spans="2:85" x14ac:dyDescent="0.25">
      <c r="B77" s="21" t="s">
        <v>3</v>
      </c>
      <c r="C77" s="121">
        <f>SUM(F63:K63)</f>
        <v>4.0709661060200002</v>
      </c>
      <c r="S77" s="121" t="s">
        <v>3</v>
      </c>
      <c r="T77" s="121">
        <f>SUM(W63:AB63)</f>
        <v>3.1349889586799997</v>
      </c>
      <c r="AJ77" s="121" t="s">
        <v>3</v>
      </c>
      <c r="AK77" s="121">
        <f>SUM(AN63:AS63)</f>
        <v>0.55549952282000004</v>
      </c>
      <c r="BA77" s="121" t="s">
        <v>3</v>
      </c>
      <c r="BB77" s="121">
        <f>SUM(BE63:BJ63)</f>
        <v>0</v>
      </c>
      <c r="BR77" s="121" t="s">
        <v>3</v>
      </c>
      <c r="BS77" s="121">
        <f>SUM(BV63:CA63)</f>
        <v>1.2613559016999999E-2</v>
      </c>
    </row>
    <row r="78" spans="2:85" x14ac:dyDescent="0.25">
      <c r="B78" s="12" t="s">
        <v>38</v>
      </c>
      <c r="C78" s="122">
        <f>SUM(F64:Q64)</f>
        <v>3.1325636037999995</v>
      </c>
      <c r="S78" s="122" t="s">
        <v>38</v>
      </c>
      <c r="T78" s="122">
        <f>SUM(W64:AH64)</f>
        <v>3.1322024132999999</v>
      </c>
      <c r="AJ78" s="122" t="s">
        <v>38</v>
      </c>
      <c r="AK78" s="122">
        <f>SUM(AN64:AY64)</f>
        <v>3.6672655267999996</v>
      </c>
      <c r="BA78" s="122" t="s">
        <v>38</v>
      </c>
      <c r="BB78" s="122">
        <f>SUM(BE64:BP64)</f>
        <v>3.4525745864999999</v>
      </c>
      <c r="BR78" s="122" t="s">
        <v>38</v>
      </c>
      <c r="BS78" s="122">
        <f>SUM(BV64:CG64)</f>
        <v>3.0640726575299997</v>
      </c>
    </row>
    <row r="79" spans="2:85" x14ac:dyDescent="0.25">
      <c r="B79" s="26" t="s">
        <v>39</v>
      </c>
      <c r="C79" s="123">
        <f>SUM(F65:K69)</f>
        <v>2.4210450105000003</v>
      </c>
      <c r="S79" s="123" t="s">
        <v>39</v>
      </c>
      <c r="T79" s="123">
        <f>SUM(W65:AB69)</f>
        <v>1.8310508222999997</v>
      </c>
      <c r="AJ79" s="123" t="s">
        <v>39</v>
      </c>
      <c r="AK79" s="123">
        <f>SUM(AN65:AS69)</f>
        <v>2.7110606781</v>
      </c>
      <c r="BA79" s="123" t="s">
        <v>39</v>
      </c>
      <c r="BB79" s="123">
        <f>SUM(BE65:BJ69)</f>
        <v>2.2077814182000002</v>
      </c>
      <c r="BR79" s="123" t="s">
        <v>39</v>
      </c>
      <c r="BS79" s="123">
        <f>SUM(BV65:CA69)</f>
        <v>4.7172483748309997</v>
      </c>
    </row>
    <row r="80" spans="2:85" x14ac:dyDescent="0.25">
      <c r="B80" s="10" t="s">
        <v>40</v>
      </c>
      <c r="C80" s="124">
        <f>SUM(F62:K62)</f>
        <v>0</v>
      </c>
      <c r="S80" s="124" t="s">
        <v>40</v>
      </c>
      <c r="T80" s="124">
        <f>SUM(W62:AB62)</f>
        <v>0</v>
      </c>
      <c r="AJ80" s="124" t="s">
        <v>40</v>
      </c>
      <c r="AK80" s="124">
        <f>SUM(AN62:AS62)</f>
        <v>0</v>
      </c>
      <c r="BA80" s="124" t="s">
        <v>40</v>
      </c>
      <c r="BB80" s="124">
        <f>SUM(BE62:BJ62)</f>
        <v>0</v>
      </c>
      <c r="BR80" s="124" t="s">
        <v>40</v>
      </c>
      <c r="BS80" s="124">
        <f>SUM(BV62:CA62)</f>
        <v>0</v>
      </c>
    </row>
    <row r="81" spans="1:85" x14ac:dyDescent="0.25">
      <c r="B81" s="20" t="s">
        <v>41</v>
      </c>
      <c r="C81" s="125">
        <f>SUM(L63:P63)</f>
        <v>0.59656937499999996</v>
      </c>
      <c r="S81" s="125" t="s">
        <v>41</v>
      </c>
      <c r="T81" s="125">
        <f>SUM(AC63:AG63)</f>
        <v>0.43747129699999998</v>
      </c>
      <c r="AJ81" s="125" t="s">
        <v>41</v>
      </c>
      <c r="AK81" s="125">
        <f>SUM(AT63:AX63)</f>
        <v>0.30391313199999997</v>
      </c>
      <c r="BA81" s="125" t="s">
        <v>41</v>
      </c>
      <c r="BB81" s="125">
        <f>SUM(BK63:BO63)</f>
        <v>0.59669768000000001</v>
      </c>
      <c r="BR81" s="125" t="s">
        <v>41</v>
      </c>
      <c r="BS81" s="125">
        <f>SUM(CB63:CF63)</f>
        <v>1.2744103710000001</v>
      </c>
    </row>
    <row r="82" spans="1:85" ht="21" x14ac:dyDescent="0.35">
      <c r="A82" s="5">
        <v>2040</v>
      </c>
      <c r="R82" s="128">
        <v>2040</v>
      </c>
      <c r="AI82" s="128">
        <v>2040</v>
      </c>
      <c r="AZ82" s="128">
        <v>2040</v>
      </c>
      <c r="BQ82" s="128">
        <v>2040</v>
      </c>
    </row>
    <row r="83" spans="1:85" x14ac:dyDescent="0.25">
      <c r="B83" s="4" t="str">
        <f>$B$6</f>
        <v>ReferentieUtrecht</v>
      </c>
      <c r="S83" s="118" t="str">
        <f>$S$6</f>
        <v>Utrecht_Label B</v>
      </c>
      <c r="AJ83" s="118" t="str">
        <f>$AJ$6</f>
        <v>Utrecht_Label Aplus</v>
      </c>
      <c r="BA83" s="118" t="str">
        <f>BA$6</f>
        <v>Utrecht_Label Aplus, met eWP</v>
      </c>
      <c r="BR83" s="118" t="str">
        <f>BR$6</f>
        <v>Utrecht_Label B_Warmtenetten</v>
      </c>
    </row>
    <row r="84" spans="1:85" x14ac:dyDescent="0.25">
      <c r="C84" s="112" t="s">
        <v>18</v>
      </c>
      <c r="D84" s="112" t="s">
        <v>19</v>
      </c>
      <c r="E84" s="112" t="s">
        <v>20</v>
      </c>
      <c r="F84" s="112" t="s">
        <v>21</v>
      </c>
      <c r="G84" s="112" t="s">
        <v>22</v>
      </c>
      <c r="H84" s="112" t="s">
        <v>23</v>
      </c>
      <c r="I84" s="112" t="s">
        <v>24</v>
      </c>
      <c r="J84" s="112" t="s">
        <v>25</v>
      </c>
      <c r="K84" s="112" t="s">
        <v>26</v>
      </c>
      <c r="L84" s="112" t="s">
        <v>5</v>
      </c>
      <c r="M84" s="112" t="s">
        <v>6</v>
      </c>
      <c r="N84" s="112" t="s">
        <v>7</v>
      </c>
      <c r="O84" s="112" t="s">
        <v>8</v>
      </c>
      <c r="P84" s="112" t="s">
        <v>9</v>
      </c>
      <c r="Q84" s="112" t="s">
        <v>27</v>
      </c>
      <c r="T84" s="112" t="s">
        <v>18</v>
      </c>
      <c r="U84" s="112" t="s">
        <v>19</v>
      </c>
      <c r="V84" s="112" t="s">
        <v>20</v>
      </c>
      <c r="W84" s="112" t="s">
        <v>21</v>
      </c>
      <c r="X84" s="112" t="s">
        <v>22</v>
      </c>
      <c r="Y84" s="112" t="s">
        <v>23</v>
      </c>
      <c r="Z84" s="112" t="s">
        <v>24</v>
      </c>
      <c r="AA84" s="112" t="s">
        <v>25</v>
      </c>
      <c r="AB84" s="112" t="s">
        <v>26</v>
      </c>
      <c r="AC84" s="112" t="s">
        <v>5</v>
      </c>
      <c r="AD84" s="112" t="s">
        <v>6</v>
      </c>
      <c r="AE84" s="112" t="s">
        <v>7</v>
      </c>
      <c r="AF84" s="112" t="s">
        <v>8</v>
      </c>
      <c r="AG84" s="112" t="s">
        <v>9</v>
      </c>
      <c r="AH84" s="112" t="s">
        <v>27</v>
      </c>
      <c r="AK84" s="112" t="s">
        <v>18</v>
      </c>
      <c r="AL84" s="112" t="s">
        <v>19</v>
      </c>
      <c r="AM84" s="112" t="s">
        <v>20</v>
      </c>
      <c r="AN84" s="112" t="s">
        <v>21</v>
      </c>
      <c r="AO84" s="112" t="s">
        <v>22</v>
      </c>
      <c r="AP84" s="112" t="s">
        <v>23</v>
      </c>
      <c r="AQ84" s="112" t="s">
        <v>24</v>
      </c>
      <c r="AR84" s="112" t="s">
        <v>25</v>
      </c>
      <c r="AS84" s="112" t="s">
        <v>26</v>
      </c>
      <c r="AT84" s="112" t="s">
        <v>5</v>
      </c>
      <c r="AU84" s="112" t="s">
        <v>6</v>
      </c>
      <c r="AV84" s="112" t="s">
        <v>7</v>
      </c>
      <c r="AW84" s="112" t="s">
        <v>8</v>
      </c>
      <c r="AX84" s="112" t="s">
        <v>9</v>
      </c>
      <c r="AY84" s="112" t="s">
        <v>27</v>
      </c>
      <c r="BB84" s="112" t="s">
        <v>18</v>
      </c>
      <c r="BC84" s="112" t="s">
        <v>19</v>
      </c>
      <c r="BD84" s="112" t="s">
        <v>20</v>
      </c>
      <c r="BE84" s="112" t="s">
        <v>21</v>
      </c>
      <c r="BF84" s="112" t="s">
        <v>22</v>
      </c>
      <c r="BG84" s="112" t="s">
        <v>23</v>
      </c>
      <c r="BH84" s="112" t="s">
        <v>24</v>
      </c>
      <c r="BI84" s="112" t="s">
        <v>25</v>
      </c>
      <c r="BJ84" s="112" t="s">
        <v>26</v>
      </c>
      <c r="BK84" s="112" t="s">
        <v>5</v>
      </c>
      <c r="BL84" s="112" t="s">
        <v>6</v>
      </c>
      <c r="BM84" s="112" t="s">
        <v>7</v>
      </c>
      <c r="BN84" s="112" t="s">
        <v>8</v>
      </c>
      <c r="BO84" s="112" t="s">
        <v>9</v>
      </c>
      <c r="BP84" s="112" t="s">
        <v>27</v>
      </c>
      <c r="BS84" s="112" t="s">
        <v>18</v>
      </c>
      <c r="BT84" s="112" t="s">
        <v>19</v>
      </c>
      <c r="BU84" s="112" t="s">
        <v>20</v>
      </c>
      <c r="BV84" s="112" t="s">
        <v>21</v>
      </c>
      <c r="BW84" s="112" t="s">
        <v>22</v>
      </c>
      <c r="BX84" s="112" t="s">
        <v>23</v>
      </c>
      <c r="BY84" s="112" t="s">
        <v>24</v>
      </c>
      <c r="BZ84" s="112" t="s">
        <v>25</v>
      </c>
      <c r="CA84" s="112" t="s">
        <v>26</v>
      </c>
      <c r="CB84" s="112" t="s">
        <v>5</v>
      </c>
      <c r="CC84" s="112" t="s">
        <v>6</v>
      </c>
      <c r="CD84" s="112" t="s">
        <v>7</v>
      </c>
      <c r="CE84" s="112" t="s">
        <v>8</v>
      </c>
      <c r="CF84" s="112" t="s">
        <v>9</v>
      </c>
      <c r="CG84" s="112" t="s">
        <v>27</v>
      </c>
    </row>
    <row r="85" spans="1:85" x14ac:dyDescent="0.25">
      <c r="C85" s="112" t="s">
        <v>28</v>
      </c>
      <c r="D85" s="112" t="s">
        <v>28</v>
      </c>
      <c r="E85" s="112" t="s">
        <v>28</v>
      </c>
      <c r="F85" s="112" t="s">
        <v>28</v>
      </c>
      <c r="G85" s="112" t="s">
        <v>28</v>
      </c>
      <c r="H85" s="112" t="s">
        <v>28</v>
      </c>
      <c r="I85" s="112" t="s">
        <v>28</v>
      </c>
      <c r="J85" s="112" t="s">
        <v>28</v>
      </c>
      <c r="K85" s="112" t="s">
        <v>28</v>
      </c>
      <c r="L85" s="112" t="s">
        <v>28</v>
      </c>
      <c r="M85" s="112" t="s">
        <v>28</v>
      </c>
      <c r="N85" s="112" t="s">
        <v>28</v>
      </c>
      <c r="O85" s="112" t="s">
        <v>28</v>
      </c>
      <c r="P85" s="112" t="s">
        <v>28</v>
      </c>
      <c r="Q85" s="112" t="s">
        <v>28</v>
      </c>
      <c r="T85" s="112" t="s">
        <v>28</v>
      </c>
      <c r="U85" s="112" t="s">
        <v>28</v>
      </c>
      <c r="V85" s="112" t="s">
        <v>28</v>
      </c>
      <c r="W85" s="112" t="s">
        <v>28</v>
      </c>
      <c r="X85" s="112" t="s">
        <v>28</v>
      </c>
      <c r="Y85" s="112" t="s">
        <v>28</v>
      </c>
      <c r="Z85" s="112" t="s">
        <v>28</v>
      </c>
      <c r="AA85" s="112" t="s">
        <v>28</v>
      </c>
      <c r="AB85" s="112" t="s">
        <v>28</v>
      </c>
      <c r="AC85" s="112" t="s">
        <v>28</v>
      </c>
      <c r="AD85" s="112" t="s">
        <v>28</v>
      </c>
      <c r="AE85" s="112" t="s">
        <v>28</v>
      </c>
      <c r="AF85" s="112" t="s">
        <v>28</v>
      </c>
      <c r="AG85" s="112" t="s">
        <v>28</v>
      </c>
      <c r="AH85" s="112" t="s">
        <v>28</v>
      </c>
      <c r="AK85" s="112" t="s">
        <v>28</v>
      </c>
      <c r="AL85" s="112" t="s">
        <v>28</v>
      </c>
      <c r="AM85" s="112" t="s">
        <v>28</v>
      </c>
      <c r="AN85" s="112" t="s">
        <v>28</v>
      </c>
      <c r="AO85" s="112" t="s">
        <v>28</v>
      </c>
      <c r="AP85" s="112" t="s">
        <v>28</v>
      </c>
      <c r="AQ85" s="112" t="s">
        <v>28</v>
      </c>
      <c r="AR85" s="112" t="s">
        <v>28</v>
      </c>
      <c r="AS85" s="112" t="s">
        <v>28</v>
      </c>
      <c r="AT85" s="112" t="s">
        <v>28</v>
      </c>
      <c r="AU85" s="112" t="s">
        <v>28</v>
      </c>
      <c r="AV85" s="112" t="s">
        <v>28</v>
      </c>
      <c r="AW85" s="112" t="s">
        <v>28</v>
      </c>
      <c r="AX85" s="112" t="s">
        <v>28</v>
      </c>
      <c r="AY85" s="112" t="s">
        <v>28</v>
      </c>
      <c r="BB85" s="112" t="s">
        <v>28</v>
      </c>
      <c r="BC85" s="112" t="s">
        <v>28</v>
      </c>
      <c r="BD85" s="112" t="s">
        <v>28</v>
      </c>
      <c r="BE85" s="112" t="s">
        <v>28</v>
      </c>
      <c r="BF85" s="112" t="s">
        <v>28</v>
      </c>
      <c r="BG85" s="112" t="s">
        <v>28</v>
      </c>
      <c r="BH85" s="112" t="s">
        <v>28</v>
      </c>
      <c r="BI85" s="112" t="s">
        <v>28</v>
      </c>
      <c r="BJ85" s="112" t="s">
        <v>28</v>
      </c>
      <c r="BK85" s="112" t="s">
        <v>28</v>
      </c>
      <c r="BL85" s="112" t="s">
        <v>28</v>
      </c>
      <c r="BM85" s="112" t="s">
        <v>28</v>
      </c>
      <c r="BN85" s="112" t="s">
        <v>28</v>
      </c>
      <c r="BO85" s="112" t="s">
        <v>28</v>
      </c>
      <c r="BP85" s="112" t="s">
        <v>28</v>
      </c>
      <c r="BS85" s="112" t="s">
        <v>28</v>
      </c>
      <c r="BT85" s="112" t="s">
        <v>28</v>
      </c>
      <c r="BU85" s="112" t="s">
        <v>28</v>
      </c>
      <c r="BV85" s="112" t="s">
        <v>28</v>
      </c>
      <c r="BW85" s="112" t="s">
        <v>28</v>
      </c>
      <c r="BX85" s="112" t="s">
        <v>28</v>
      </c>
      <c r="BY85" s="112" t="s">
        <v>28</v>
      </c>
      <c r="BZ85" s="112" t="s">
        <v>28</v>
      </c>
      <c r="CA85" s="112" t="s">
        <v>28</v>
      </c>
      <c r="CB85" s="112" t="s">
        <v>28</v>
      </c>
      <c r="CC85" s="112" t="s">
        <v>28</v>
      </c>
      <c r="CD85" s="112" t="s">
        <v>28</v>
      </c>
      <c r="CE85" s="112" t="s">
        <v>28</v>
      </c>
      <c r="CF85" s="112" t="s">
        <v>28</v>
      </c>
      <c r="CG85" s="112" t="s">
        <v>28</v>
      </c>
    </row>
    <row r="86" spans="1:85" s="7" customFormat="1" x14ac:dyDescent="0.25">
      <c r="B86" s="7" t="s">
        <v>1</v>
      </c>
      <c r="C86" s="114">
        <f>Modeloutput!B191</f>
        <v>0</v>
      </c>
      <c r="D86" s="114">
        <f>Modeloutput!C191</f>
        <v>0</v>
      </c>
      <c r="E86" s="114">
        <f>Modeloutput!D191</f>
        <v>0</v>
      </c>
      <c r="F86" s="114">
        <f>Modeloutput!E191</f>
        <v>0</v>
      </c>
      <c r="G86" s="114">
        <f>Modeloutput!F191</f>
        <v>0</v>
      </c>
      <c r="H86" s="114">
        <f>Modeloutput!G191</f>
        <v>0</v>
      </c>
      <c r="I86" s="114">
        <f>Modeloutput!H191</f>
        <v>0</v>
      </c>
      <c r="J86" s="114">
        <f>Modeloutput!I191</f>
        <v>0</v>
      </c>
      <c r="K86" s="114">
        <f>Modeloutput!J191</f>
        <v>0</v>
      </c>
      <c r="L86" s="114">
        <f>Modeloutput!K191</f>
        <v>0</v>
      </c>
      <c r="M86" s="114">
        <f>Modeloutput!L191</f>
        <v>0</v>
      </c>
      <c r="N86" s="114">
        <f>Modeloutput!M191</f>
        <v>0</v>
      </c>
      <c r="O86" s="114">
        <f>Modeloutput!N191</f>
        <v>0</v>
      </c>
      <c r="P86" s="114">
        <f>Modeloutput!O191</f>
        <v>0</v>
      </c>
      <c r="Q86" s="114">
        <f>Modeloutput!P191</f>
        <v>0</v>
      </c>
      <c r="R86" s="24"/>
      <c r="S86" s="119" t="s">
        <v>1</v>
      </c>
      <c r="T86" s="114">
        <f>Modeloutput!B446</f>
        <v>0</v>
      </c>
      <c r="U86" s="114">
        <f>Modeloutput!C446</f>
        <v>0</v>
      </c>
      <c r="V86" s="114">
        <f>Modeloutput!D446</f>
        <v>0</v>
      </c>
      <c r="W86" s="114">
        <f>Modeloutput!E446</f>
        <v>0</v>
      </c>
      <c r="X86" s="114">
        <f>Modeloutput!F446</f>
        <v>0</v>
      </c>
      <c r="Y86" s="114">
        <f>Modeloutput!G446</f>
        <v>0</v>
      </c>
      <c r="Z86" s="114">
        <f>Modeloutput!H446</f>
        <v>0</v>
      </c>
      <c r="AA86" s="114">
        <f>Modeloutput!I446</f>
        <v>0</v>
      </c>
      <c r="AB86" s="114">
        <f>Modeloutput!J446</f>
        <v>0</v>
      </c>
      <c r="AC86" s="114">
        <f>Modeloutput!K446</f>
        <v>0</v>
      </c>
      <c r="AD86" s="114">
        <f>Modeloutput!L446</f>
        <v>0</v>
      </c>
      <c r="AE86" s="114">
        <f>Modeloutput!M446</f>
        <v>0</v>
      </c>
      <c r="AF86" s="114">
        <f>Modeloutput!N446</f>
        <v>0</v>
      </c>
      <c r="AG86" s="114">
        <f>Modeloutput!O446</f>
        <v>0</v>
      </c>
      <c r="AH86" s="114">
        <f>Modeloutput!P446</f>
        <v>0</v>
      </c>
      <c r="AI86" s="24"/>
      <c r="AJ86" s="119" t="s">
        <v>1</v>
      </c>
      <c r="AK86" s="93">
        <f>Modeloutput!B701</f>
        <v>0</v>
      </c>
      <c r="AL86" s="93">
        <f>Modeloutput!C701</f>
        <v>0</v>
      </c>
      <c r="AM86" s="93">
        <f>Modeloutput!D701</f>
        <v>0</v>
      </c>
      <c r="AN86" s="93">
        <f>Modeloutput!E701</f>
        <v>0</v>
      </c>
      <c r="AO86" s="93">
        <f>Modeloutput!F701</f>
        <v>0</v>
      </c>
      <c r="AP86" s="93">
        <f>Modeloutput!G701</f>
        <v>0</v>
      </c>
      <c r="AQ86" s="93">
        <f>Modeloutput!H701</f>
        <v>0</v>
      </c>
      <c r="AR86" s="93">
        <f>Modeloutput!I701</f>
        <v>0</v>
      </c>
      <c r="AS86" s="93">
        <f>Modeloutput!J701</f>
        <v>0</v>
      </c>
      <c r="AT86" s="93">
        <f>Modeloutput!K701</f>
        <v>0</v>
      </c>
      <c r="AU86" s="93">
        <f>Modeloutput!L701</f>
        <v>0</v>
      </c>
      <c r="AV86" s="93">
        <f>Modeloutput!M701</f>
        <v>0</v>
      </c>
      <c r="AW86" s="93">
        <f>Modeloutput!N701</f>
        <v>0</v>
      </c>
      <c r="AX86" s="93">
        <f>Modeloutput!O701</f>
        <v>0</v>
      </c>
      <c r="AY86" s="93">
        <f>Modeloutput!P701</f>
        <v>0</v>
      </c>
      <c r="AZ86" s="24"/>
      <c r="BA86" s="119" t="s">
        <v>1</v>
      </c>
      <c r="BB86" s="114">
        <f>Modeloutput!B956</f>
        <v>0</v>
      </c>
      <c r="BC86" s="114">
        <f>Modeloutput!C956</f>
        <v>0</v>
      </c>
      <c r="BD86" s="114">
        <f>Modeloutput!D956</f>
        <v>0</v>
      </c>
      <c r="BE86" s="114">
        <f>Modeloutput!E956</f>
        <v>0</v>
      </c>
      <c r="BF86" s="114">
        <f>Modeloutput!F956</f>
        <v>0</v>
      </c>
      <c r="BG86" s="114">
        <f>Modeloutput!G956</f>
        <v>0</v>
      </c>
      <c r="BH86" s="114">
        <f>Modeloutput!H956</f>
        <v>0</v>
      </c>
      <c r="BI86" s="114">
        <f>Modeloutput!I956</f>
        <v>0</v>
      </c>
      <c r="BJ86" s="114">
        <f>Modeloutput!J956</f>
        <v>0</v>
      </c>
      <c r="BK86" s="114">
        <f>Modeloutput!K956</f>
        <v>0</v>
      </c>
      <c r="BL86" s="114">
        <f>Modeloutput!L956</f>
        <v>0</v>
      </c>
      <c r="BM86" s="114">
        <f>Modeloutput!M956</f>
        <v>0</v>
      </c>
      <c r="BN86" s="114">
        <f>Modeloutput!N956</f>
        <v>0</v>
      </c>
      <c r="BO86" s="114">
        <f>Modeloutput!O956</f>
        <v>0</v>
      </c>
      <c r="BP86" s="114">
        <f>Modeloutput!P956</f>
        <v>0</v>
      </c>
      <c r="BQ86" s="24"/>
      <c r="BR86" s="119" t="s">
        <v>1</v>
      </c>
      <c r="BS86" s="114">
        <f>Modeloutput!B1211</f>
        <v>0</v>
      </c>
      <c r="BT86" s="114">
        <f>Modeloutput!C1211</f>
        <v>0</v>
      </c>
      <c r="BU86" s="114">
        <f>Modeloutput!D1211</f>
        <v>0</v>
      </c>
      <c r="BV86" s="114">
        <f>Modeloutput!E1211</f>
        <v>0</v>
      </c>
      <c r="BW86" s="114">
        <f>Modeloutput!F1211</f>
        <v>0</v>
      </c>
      <c r="BX86" s="114">
        <f>Modeloutput!G1211</f>
        <v>0</v>
      </c>
      <c r="BY86" s="114">
        <f>Modeloutput!H1211</f>
        <v>0</v>
      </c>
      <c r="BZ86" s="114">
        <f>Modeloutput!I1211</f>
        <v>0</v>
      </c>
      <c r="CA86" s="114">
        <f>Modeloutput!J1211</f>
        <v>0</v>
      </c>
      <c r="CB86" s="114">
        <f>Modeloutput!K1211</f>
        <v>0</v>
      </c>
      <c r="CC86" s="114">
        <f>Modeloutput!L1211</f>
        <v>0</v>
      </c>
      <c r="CD86" s="114">
        <f>Modeloutput!M1211</f>
        <v>0</v>
      </c>
      <c r="CE86" s="114">
        <f>Modeloutput!N1211</f>
        <v>0</v>
      </c>
      <c r="CF86" s="114">
        <f>Modeloutput!O1211</f>
        <v>0</v>
      </c>
      <c r="CG86" s="114">
        <f>Modeloutput!P1211</f>
        <v>0</v>
      </c>
    </row>
    <row r="87" spans="1:85" s="7" customFormat="1" x14ac:dyDescent="0.25">
      <c r="B87" s="7" t="s">
        <v>2</v>
      </c>
      <c r="C87" s="114">
        <f>Modeloutput!B192</f>
        <v>2.5710253199999999</v>
      </c>
      <c r="D87" s="114">
        <f>Modeloutput!C192</f>
        <v>0</v>
      </c>
      <c r="E87" s="114">
        <f>Modeloutput!D192</f>
        <v>2.5710253199999999</v>
      </c>
      <c r="F87" s="114">
        <f>Modeloutput!E192</f>
        <v>0</v>
      </c>
      <c r="G87" s="114">
        <f>Modeloutput!F192</f>
        <v>0</v>
      </c>
      <c r="H87" s="114">
        <f>Modeloutput!G192</f>
        <v>0</v>
      </c>
      <c r="I87" s="114">
        <f>Modeloutput!H192</f>
        <v>0</v>
      </c>
      <c r="J87" s="114">
        <f>Modeloutput!I192</f>
        <v>0</v>
      </c>
      <c r="K87" s="114">
        <f>Modeloutput!J192</f>
        <v>0</v>
      </c>
      <c r="L87" s="114">
        <f>Modeloutput!K192</f>
        <v>2.5710253199999999</v>
      </c>
      <c r="M87" s="114">
        <f>Modeloutput!L192</f>
        <v>0</v>
      </c>
      <c r="N87" s="114">
        <f>Modeloutput!M192</f>
        <v>0</v>
      </c>
      <c r="O87" s="114">
        <f>Modeloutput!N192</f>
        <v>0</v>
      </c>
      <c r="P87" s="114">
        <f>Modeloutput!O192</f>
        <v>0</v>
      </c>
      <c r="Q87" s="114">
        <f>Modeloutput!P192</f>
        <v>0</v>
      </c>
      <c r="R87" s="24"/>
      <c r="S87" s="119" t="s">
        <v>2</v>
      </c>
      <c r="T87" s="114">
        <f>Modeloutput!B447</f>
        <v>1.58052112</v>
      </c>
      <c r="U87" s="114">
        <f>Modeloutput!C447</f>
        <v>0</v>
      </c>
      <c r="V87" s="114">
        <f>Modeloutput!D447</f>
        <v>1.58052112</v>
      </c>
      <c r="W87" s="114">
        <f>Modeloutput!E447</f>
        <v>0</v>
      </c>
      <c r="X87" s="114">
        <f>Modeloutput!F447</f>
        <v>0</v>
      </c>
      <c r="Y87" s="114">
        <f>Modeloutput!G447</f>
        <v>0</v>
      </c>
      <c r="Z87" s="114">
        <f>Modeloutput!H447</f>
        <v>0</v>
      </c>
      <c r="AA87" s="114">
        <f>Modeloutput!I447</f>
        <v>0</v>
      </c>
      <c r="AB87" s="114">
        <f>Modeloutput!J447</f>
        <v>0</v>
      </c>
      <c r="AC87" s="114">
        <f>Modeloutput!K447</f>
        <v>1.58052112</v>
      </c>
      <c r="AD87" s="114">
        <f>Modeloutput!L447</f>
        <v>0</v>
      </c>
      <c r="AE87" s="114">
        <f>Modeloutput!M447</f>
        <v>0</v>
      </c>
      <c r="AF87" s="114">
        <f>Modeloutput!N447</f>
        <v>0</v>
      </c>
      <c r="AG87" s="114">
        <f>Modeloutput!O447</f>
        <v>0</v>
      </c>
      <c r="AH87" s="114">
        <f>Modeloutput!P447</f>
        <v>0</v>
      </c>
      <c r="AI87" s="24"/>
      <c r="AJ87" s="119" t="s">
        <v>2</v>
      </c>
      <c r="AK87" s="93">
        <f>Modeloutput!B702</f>
        <v>1.1006119000000001</v>
      </c>
      <c r="AL87" s="93">
        <f>Modeloutput!C702</f>
        <v>0</v>
      </c>
      <c r="AM87" s="93">
        <f>Modeloutput!D702</f>
        <v>1.1006119000000001</v>
      </c>
      <c r="AN87" s="93">
        <f>Modeloutput!E702</f>
        <v>0</v>
      </c>
      <c r="AO87" s="93">
        <f>Modeloutput!F702</f>
        <v>0</v>
      </c>
      <c r="AP87" s="93">
        <f>Modeloutput!G702</f>
        <v>0</v>
      </c>
      <c r="AQ87" s="93">
        <f>Modeloutput!H702</f>
        <v>0</v>
      </c>
      <c r="AR87" s="93">
        <f>Modeloutput!I702</f>
        <v>0</v>
      </c>
      <c r="AS87" s="93">
        <f>Modeloutput!J702</f>
        <v>0</v>
      </c>
      <c r="AT87" s="93">
        <f>Modeloutput!K702</f>
        <v>1.1006119000000001</v>
      </c>
      <c r="AU87" s="93">
        <f>Modeloutput!L702</f>
        <v>0</v>
      </c>
      <c r="AV87" s="93">
        <f>Modeloutput!M702</f>
        <v>0</v>
      </c>
      <c r="AW87" s="93">
        <f>Modeloutput!N702</f>
        <v>0</v>
      </c>
      <c r="AX87" s="93">
        <f>Modeloutput!O702</f>
        <v>0</v>
      </c>
      <c r="AY87" s="93">
        <f>Modeloutput!P702</f>
        <v>0</v>
      </c>
      <c r="AZ87" s="24"/>
      <c r="BA87" s="119" t="s">
        <v>2</v>
      </c>
      <c r="BB87" s="114">
        <f>Modeloutput!B957</f>
        <v>2.1503999999999999</v>
      </c>
      <c r="BC87" s="114">
        <f>Modeloutput!C957</f>
        <v>0</v>
      </c>
      <c r="BD87" s="114">
        <f>Modeloutput!D957</f>
        <v>2.1503999999999999</v>
      </c>
      <c r="BE87" s="114">
        <f>Modeloutput!E957</f>
        <v>0</v>
      </c>
      <c r="BF87" s="114">
        <f>Modeloutput!F957</f>
        <v>0</v>
      </c>
      <c r="BG87" s="114">
        <f>Modeloutput!G957</f>
        <v>0</v>
      </c>
      <c r="BH87" s="114">
        <f>Modeloutput!H957</f>
        <v>0</v>
      </c>
      <c r="BI87" s="114">
        <f>Modeloutput!I957</f>
        <v>0</v>
      </c>
      <c r="BJ87" s="114">
        <f>Modeloutput!J957</f>
        <v>0</v>
      </c>
      <c r="BK87" s="114">
        <f>Modeloutput!K957</f>
        <v>2.1503999999999999</v>
      </c>
      <c r="BL87" s="114">
        <f>Modeloutput!L957</f>
        <v>0</v>
      </c>
      <c r="BM87" s="114">
        <f>Modeloutput!M957</f>
        <v>0</v>
      </c>
      <c r="BN87" s="114">
        <f>Modeloutput!N957</f>
        <v>0</v>
      </c>
      <c r="BO87" s="114">
        <f>Modeloutput!O957</f>
        <v>0</v>
      </c>
      <c r="BP87" s="114">
        <f>Modeloutput!P957</f>
        <v>0</v>
      </c>
      <c r="BQ87" s="24"/>
      <c r="BR87" s="119" t="s">
        <v>2</v>
      </c>
      <c r="BS87" s="114">
        <f>Modeloutput!B1212</f>
        <v>4.6044510399999998</v>
      </c>
      <c r="BT87" s="114">
        <f>Modeloutput!C1212</f>
        <v>0</v>
      </c>
      <c r="BU87" s="114">
        <f>Modeloutput!D1212</f>
        <v>4.6044510399999998</v>
      </c>
      <c r="BV87" s="114">
        <f>Modeloutput!E1212</f>
        <v>0</v>
      </c>
      <c r="BW87" s="114">
        <f>Modeloutput!F1212</f>
        <v>0</v>
      </c>
      <c r="BX87" s="114">
        <f>Modeloutput!G1212</f>
        <v>0</v>
      </c>
      <c r="BY87" s="114">
        <f>Modeloutput!H1212</f>
        <v>0</v>
      </c>
      <c r="BZ87" s="114">
        <f>Modeloutput!I1212</f>
        <v>0</v>
      </c>
      <c r="CA87" s="114">
        <f>Modeloutput!J1212</f>
        <v>0</v>
      </c>
      <c r="CB87" s="114">
        <f>Modeloutput!K1212</f>
        <v>3.14638799</v>
      </c>
      <c r="CC87" s="114">
        <f>Modeloutput!L1212</f>
        <v>1.45806305</v>
      </c>
      <c r="CD87" s="114">
        <f>Modeloutput!M1212</f>
        <v>0</v>
      </c>
      <c r="CE87" s="114">
        <f>Modeloutput!N1212</f>
        <v>0</v>
      </c>
      <c r="CF87" s="114">
        <f>Modeloutput!O1212</f>
        <v>0</v>
      </c>
      <c r="CG87" s="114">
        <f>Modeloutput!P1212</f>
        <v>0</v>
      </c>
    </row>
    <row r="88" spans="1:85" s="7" customFormat="1" x14ac:dyDescent="0.25">
      <c r="B88" s="7" t="s">
        <v>3</v>
      </c>
      <c r="C88" s="114">
        <f>Modeloutput!B193</f>
        <v>4.2208863900000004</v>
      </c>
      <c r="D88" s="114">
        <f>Modeloutput!C193</f>
        <v>0</v>
      </c>
      <c r="E88" s="114">
        <f>Modeloutput!D193</f>
        <v>4.2208863900000004</v>
      </c>
      <c r="F88" s="114">
        <f>Modeloutput!E193</f>
        <v>2.9455629800000001</v>
      </c>
      <c r="G88" s="114">
        <f>Modeloutput!F193</f>
        <v>8.4332548500000003E-3</v>
      </c>
      <c r="H88" s="114">
        <f>Modeloutput!G193</f>
        <v>0.57063710700000003</v>
      </c>
      <c r="I88" s="114">
        <f>Modeloutput!H193</f>
        <v>1.38134558E-3</v>
      </c>
      <c r="J88" s="114">
        <f>Modeloutput!I193</f>
        <v>0</v>
      </c>
      <c r="K88" s="114">
        <f>Modeloutput!J193</f>
        <v>0</v>
      </c>
      <c r="L88" s="114">
        <f>Modeloutput!K193</f>
        <v>0.69487170899999995</v>
      </c>
      <c r="M88" s="114">
        <f>Modeloutput!L193</f>
        <v>0</v>
      </c>
      <c r="N88" s="114">
        <f>Modeloutput!M193</f>
        <v>0</v>
      </c>
      <c r="O88" s="114">
        <f>Modeloutput!N193</f>
        <v>0</v>
      </c>
      <c r="P88" s="114">
        <f>Modeloutput!O193</f>
        <v>0</v>
      </c>
      <c r="Q88" s="114">
        <f>Modeloutput!P193</f>
        <v>0</v>
      </c>
      <c r="R88" s="24"/>
      <c r="S88" s="119" t="s">
        <v>3</v>
      </c>
      <c r="T88" s="114">
        <f>Modeloutput!B448</f>
        <v>3.4867522800000001</v>
      </c>
      <c r="U88" s="114">
        <f>Modeloutput!C448</f>
        <v>0</v>
      </c>
      <c r="V88" s="114">
        <f>Modeloutput!D448</f>
        <v>3.4867522800000001</v>
      </c>
      <c r="W88" s="114">
        <f>Modeloutput!E448</f>
        <v>2.5009968800000002</v>
      </c>
      <c r="X88" s="114">
        <f>Modeloutput!F448</f>
        <v>1.0010280999999999E-2</v>
      </c>
      <c r="Y88" s="114">
        <f>Modeloutput!G448</f>
        <v>0.54684495099999997</v>
      </c>
      <c r="Z88" s="114">
        <f>Modeloutput!H448</f>
        <v>1.73230092E-3</v>
      </c>
      <c r="AA88" s="114">
        <f>Modeloutput!I448</f>
        <v>0</v>
      </c>
      <c r="AB88" s="114">
        <f>Modeloutput!J448</f>
        <v>0</v>
      </c>
      <c r="AC88" s="114">
        <f>Modeloutput!K448</f>
        <v>0.42716787099999998</v>
      </c>
      <c r="AD88" s="114">
        <f>Modeloutput!L448</f>
        <v>0</v>
      </c>
      <c r="AE88" s="114">
        <f>Modeloutput!M448</f>
        <v>0</v>
      </c>
      <c r="AF88" s="114">
        <f>Modeloutput!N448</f>
        <v>0</v>
      </c>
      <c r="AG88" s="114">
        <f>Modeloutput!O448</f>
        <v>0</v>
      </c>
      <c r="AH88" s="114">
        <f>Modeloutput!P448</f>
        <v>0</v>
      </c>
      <c r="AI88" s="24"/>
      <c r="AJ88" s="119" t="s">
        <v>3</v>
      </c>
      <c r="AK88" s="93">
        <f>Modeloutput!B703</f>
        <v>0.745562371</v>
      </c>
      <c r="AL88" s="93">
        <f>Modeloutput!C703</f>
        <v>0</v>
      </c>
      <c r="AM88" s="93">
        <f>Modeloutput!D703</f>
        <v>0.745562371</v>
      </c>
      <c r="AN88" s="93">
        <f>Modeloutput!E703</f>
        <v>0.36126203699999998</v>
      </c>
      <c r="AO88" s="93">
        <f>Modeloutput!F703</f>
        <v>6.2104927100000004E-3</v>
      </c>
      <c r="AP88" s="93">
        <f>Modeloutput!G703</f>
        <v>7.9303727300000001E-2</v>
      </c>
      <c r="AQ88" s="93">
        <f>Modeloutput!H703</f>
        <v>1.3234382199999999E-3</v>
      </c>
      <c r="AR88" s="93">
        <f>Modeloutput!I703</f>
        <v>0</v>
      </c>
      <c r="AS88" s="93">
        <f>Modeloutput!J703</f>
        <v>0</v>
      </c>
      <c r="AT88" s="93">
        <f>Modeloutput!K703</f>
        <v>0.29746267700000001</v>
      </c>
      <c r="AU88" s="93">
        <f>Modeloutput!L703</f>
        <v>0</v>
      </c>
      <c r="AV88" s="93">
        <f>Modeloutput!M703</f>
        <v>0</v>
      </c>
      <c r="AW88" s="93">
        <f>Modeloutput!N703</f>
        <v>0</v>
      </c>
      <c r="AX88" s="93">
        <f>Modeloutput!O703</f>
        <v>0</v>
      </c>
      <c r="AY88" s="93">
        <f>Modeloutput!P703</f>
        <v>0</v>
      </c>
      <c r="AZ88" s="24"/>
      <c r="BA88" s="119" t="s">
        <v>3</v>
      </c>
      <c r="BB88" s="114">
        <f>Modeloutput!B958</f>
        <v>0.58118919000000002</v>
      </c>
      <c r="BC88" s="114">
        <f>Modeloutput!C958</f>
        <v>0</v>
      </c>
      <c r="BD88" s="114">
        <f>Modeloutput!D958</f>
        <v>0.58118919000000002</v>
      </c>
      <c r="BE88" s="114">
        <f>Modeloutput!E958</f>
        <v>0</v>
      </c>
      <c r="BF88" s="114">
        <f>Modeloutput!F958</f>
        <v>0</v>
      </c>
      <c r="BG88" s="114">
        <f>Modeloutput!G958</f>
        <v>0</v>
      </c>
      <c r="BH88" s="114">
        <f>Modeloutput!H958</f>
        <v>0</v>
      </c>
      <c r="BI88" s="114">
        <f>Modeloutput!I958</f>
        <v>0</v>
      </c>
      <c r="BJ88" s="114">
        <f>Modeloutput!J958</f>
        <v>0</v>
      </c>
      <c r="BK88" s="114">
        <f>Modeloutput!K958</f>
        <v>0.58118919000000002</v>
      </c>
      <c r="BL88" s="114">
        <f>Modeloutput!L958</f>
        <v>0</v>
      </c>
      <c r="BM88" s="114">
        <f>Modeloutput!M958</f>
        <v>0</v>
      </c>
      <c r="BN88" s="114">
        <f>Modeloutput!N958</f>
        <v>0</v>
      </c>
      <c r="BO88" s="114">
        <f>Modeloutput!O958</f>
        <v>0</v>
      </c>
      <c r="BP88" s="114">
        <f>Modeloutput!P958</f>
        <v>0</v>
      </c>
      <c r="BQ88" s="24"/>
      <c r="BR88" s="119" t="s">
        <v>3</v>
      </c>
      <c r="BS88" s="114">
        <f>Modeloutput!B1213</f>
        <v>1.25678497</v>
      </c>
      <c r="BT88" s="114">
        <f>Modeloutput!C1213</f>
        <v>0</v>
      </c>
      <c r="BU88" s="114">
        <f>Modeloutput!D1213</f>
        <v>1.25678497</v>
      </c>
      <c r="BV88" s="114">
        <f>Modeloutput!E1213</f>
        <v>1.09198713E-2</v>
      </c>
      <c r="BW88" s="114">
        <f>Modeloutput!F1213</f>
        <v>2.4312819700000001E-4</v>
      </c>
      <c r="BX88" s="114">
        <f>Modeloutput!G1213</f>
        <v>1.1757432699999999E-3</v>
      </c>
      <c r="BY88" s="114">
        <f>Modeloutput!H1213</f>
        <v>0</v>
      </c>
      <c r="BZ88" s="114">
        <f>Modeloutput!I1213</f>
        <v>0</v>
      </c>
      <c r="CA88" s="114">
        <f>Modeloutput!J1213</f>
        <v>0</v>
      </c>
      <c r="CB88" s="114">
        <f>Modeloutput!K1213</f>
        <v>0.85037513099999995</v>
      </c>
      <c r="CC88" s="114">
        <f>Modeloutput!L1213</f>
        <v>0.39407109499999998</v>
      </c>
      <c r="CD88" s="114">
        <f>Modeloutput!M1213</f>
        <v>0</v>
      </c>
      <c r="CE88" s="114">
        <f>Modeloutput!N1213</f>
        <v>0</v>
      </c>
      <c r="CF88" s="114">
        <f>Modeloutput!O1213</f>
        <v>0</v>
      </c>
      <c r="CG88" s="114">
        <f>Modeloutput!P1213</f>
        <v>0</v>
      </c>
    </row>
    <row r="89" spans="1:85" s="7" customFormat="1" x14ac:dyDescent="0.25">
      <c r="B89" s="7" t="s">
        <v>4</v>
      </c>
      <c r="C89" s="114">
        <f>Modeloutput!B194</f>
        <v>3.1316299999999999</v>
      </c>
      <c r="D89" s="114">
        <f>Modeloutput!C194</f>
        <v>0</v>
      </c>
      <c r="E89" s="114">
        <f>Modeloutput!D194</f>
        <v>3.1316299999999999</v>
      </c>
      <c r="F89" s="114">
        <f>Modeloutput!E194</f>
        <v>1.4315866399999999</v>
      </c>
      <c r="G89" s="114">
        <f>Modeloutput!F194</f>
        <v>0.21387187699999999</v>
      </c>
      <c r="H89" s="114">
        <f>Modeloutput!G194</f>
        <v>1.3365596099999999</v>
      </c>
      <c r="I89" s="114">
        <f>Modeloutput!H194</f>
        <v>6.6501678800000005E-2</v>
      </c>
      <c r="J89" s="114">
        <f>Modeloutput!I194</f>
        <v>0</v>
      </c>
      <c r="K89" s="114">
        <f>Modeloutput!J194</f>
        <v>0</v>
      </c>
      <c r="L89" s="114">
        <f>Modeloutput!K194</f>
        <v>0</v>
      </c>
      <c r="M89" s="114">
        <f>Modeloutput!L194</f>
        <v>0</v>
      </c>
      <c r="N89" s="114">
        <f>Modeloutput!M194</f>
        <v>8.3110199600000004E-2</v>
      </c>
      <c r="O89" s="114">
        <f>Modeloutput!N194</f>
        <v>0</v>
      </c>
      <c r="P89" s="114">
        <f>Modeloutput!O194</f>
        <v>0</v>
      </c>
      <c r="Q89" s="114">
        <f>Modeloutput!P194</f>
        <v>0</v>
      </c>
      <c r="R89" s="24"/>
      <c r="S89" s="119" t="s">
        <v>4</v>
      </c>
      <c r="T89" s="114">
        <f>Modeloutput!B449</f>
        <v>3.13133594</v>
      </c>
      <c r="U89" s="114">
        <f>Modeloutput!C449</f>
        <v>0</v>
      </c>
      <c r="V89" s="114">
        <f>Modeloutput!D449</f>
        <v>3.13133594</v>
      </c>
      <c r="W89" s="114">
        <f>Modeloutput!E449</f>
        <v>1.4315866399999999</v>
      </c>
      <c r="X89" s="114">
        <f>Modeloutput!F449</f>
        <v>0.21387187699999999</v>
      </c>
      <c r="Y89" s="114">
        <f>Modeloutput!G449</f>
        <v>1.33776648</v>
      </c>
      <c r="Z89" s="114">
        <f>Modeloutput!H449</f>
        <v>6.6501678800000005E-2</v>
      </c>
      <c r="AA89" s="114">
        <f>Modeloutput!I449</f>
        <v>0</v>
      </c>
      <c r="AB89" s="114">
        <f>Modeloutput!J449</f>
        <v>0</v>
      </c>
      <c r="AC89" s="114">
        <f>Modeloutput!K449</f>
        <v>0</v>
      </c>
      <c r="AD89" s="114">
        <f>Modeloutput!L449</f>
        <v>0</v>
      </c>
      <c r="AE89" s="114">
        <f>Modeloutput!M449</f>
        <v>8.1609264099999995E-2</v>
      </c>
      <c r="AF89" s="114">
        <f>Modeloutput!N449</f>
        <v>0</v>
      </c>
      <c r="AG89" s="114">
        <f>Modeloutput!O449</f>
        <v>0</v>
      </c>
      <c r="AH89" s="114">
        <f>Modeloutput!P449</f>
        <v>0</v>
      </c>
      <c r="AI89" s="24"/>
      <c r="AJ89" s="119" t="s">
        <v>4</v>
      </c>
      <c r="AK89" s="93">
        <f>Modeloutput!B704</f>
        <v>3.6841803199999998</v>
      </c>
      <c r="AL89" s="93">
        <f>Modeloutput!C704</f>
        <v>0</v>
      </c>
      <c r="AM89" s="93">
        <f>Modeloutput!D704</f>
        <v>3.6841803199999998</v>
      </c>
      <c r="AN89" s="93">
        <f>Modeloutput!E704</f>
        <v>1.4315866399999999</v>
      </c>
      <c r="AO89" s="93">
        <f>Modeloutput!F704</f>
        <v>0.21387187699999999</v>
      </c>
      <c r="AP89" s="93">
        <f>Modeloutput!G704</f>
        <v>1.29424132</v>
      </c>
      <c r="AQ89" s="93">
        <f>Modeloutput!H704</f>
        <v>6.6259630799999997E-2</v>
      </c>
      <c r="AR89" s="93">
        <f>Modeloutput!I704</f>
        <v>0</v>
      </c>
      <c r="AS89" s="93">
        <f>Modeloutput!J704</f>
        <v>0</v>
      </c>
      <c r="AT89" s="93">
        <f>Modeloutput!K704</f>
        <v>0</v>
      </c>
      <c r="AU89" s="93">
        <f>Modeloutput!L704</f>
        <v>0</v>
      </c>
      <c r="AV89" s="93">
        <f>Modeloutput!M704</f>
        <v>0.67822084800000004</v>
      </c>
      <c r="AW89" s="93">
        <f>Modeloutput!N704</f>
        <v>0</v>
      </c>
      <c r="AX89" s="93">
        <f>Modeloutput!O704</f>
        <v>0</v>
      </c>
      <c r="AY89" s="93">
        <f>Modeloutput!P704</f>
        <v>0</v>
      </c>
      <c r="AZ89" s="24"/>
      <c r="BA89" s="119" t="s">
        <v>4</v>
      </c>
      <c r="BB89" s="114">
        <f>Modeloutput!B959</f>
        <v>3.4415743600000002</v>
      </c>
      <c r="BC89" s="114">
        <f>Modeloutput!C959</f>
        <v>0</v>
      </c>
      <c r="BD89" s="114">
        <f>Modeloutput!D959</f>
        <v>3.4415743600000002</v>
      </c>
      <c r="BE89" s="114">
        <f>Modeloutput!E959</f>
        <v>1.7214385999999999</v>
      </c>
      <c r="BF89" s="114">
        <f>Modeloutput!F959</f>
        <v>0.24769613900000001</v>
      </c>
      <c r="BG89" s="114">
        <f>Modeloutput!G959</f>
        <v>1.39436731</v>
      </c>
      <c r="BH89" s="114">
        <f>Modeloutput!H959</f>
        <v>7.8072312500000005E-2</v>
      </c>
      <c r="BI89" s="114">
        <f>Modeloutput!I959</f>
        <v>0</v>
      </c>
      <c r="BJ89" s="114">
        <f>Modeloutput!J959</f>
        <v>0</v>
      </c>
      <c r="BK89" s="114">
        <f>Modeloutput!K959</f>
        <v>0</v>
      </c>
      <c r="BL89" s="114">
        <f>Modeloutput!L959</f>
        <v>0</v>
      </c>
      <c r="BM89" s="114">
        <f>Modeloutput!M959</f>
        <v>0</v>
      </c>
      <c r="BN89" s="114">
        <f>Modeloutput!N959</f>
        <v>0</v>
      </c>
      <c r="BO89" s="114">
        <f>Modeloutput!O959</f>
        <v>0</v>
      </c>
      <c r="BP89" s="114">
        <f>Modeloutput!P959</f>
        <v>0</v>
      </c>
      <c r="BQ89" s="24"/>
      <c r="BR89" s="119" t="s">
        <v>4</v>
      </c>
      <c r="BS89" s="114">
        <f>Modeloutput!B1214</f>
        <v>3.0640588499999999</v>
      </c>
      <c r="BT89" s="114">
        <f>Modeloutput!C1214</f>
        <v>0</v>
      </c>
      <c r="BU89" s="114">
        <f>Modeloutput!D1214</f>
        <v>3.0640588499999999</v>
      </c>
      <c r="BV89" s="114">
        <f>Modeloutput!E1214</f>
        <v>1.4315866399999999</v>
      </c>
      <c r="BW89" s="114">
        <f>Modeloutput!F1214</f>
        <v>0.21387187699999999</v>
      </c>
      <c r="BX89" s="114">
        <f>Modeloutput!G1214</f>
        <v>1.3429660999999999</v>
      </c>
      <c r="BY89" s="114">
        <f>Modeloutput!H1214</f>
        <v>7.4894239400000007E-2</v>
      </c>
      <c r="BZ89" s="114">
        <f>Modeloutput!I1214</f>
        <v>0</v>
      </c>
      <c r="CA89" s="114">
        <f>Modeloutput!J1214</f>
        <v>0</v>
      </c>
      <c r="CB89" s="114">
        <f>Modeloutput!K1214</f>
        <v>0</v>
      </c>
      <c r="CC89" s="114">
        <f>Modeloutput!L1214</f>
        <v>0</v>
      </c>
      <c r="CD89" s="114">
        <f>Modeloutput!M1214</f>
        <v>7.3999388100000005E-4</v>
      </c>
      <c r="CE89" s="114">
        <f>Modeloutput!N1214</f>
        <v>0</v>
      </c>
      <c r="CF89" s="114">
        <f>Modeloutput!O1214</f>
        <v>0</v>
      </c>
      <c r="CG89" s="114">
        <f>Modeloutput!P1214</f>
        <v>0</v>
      </c>
    </row>
    <row r="90" spans="1:85" s="7" customFormat="1" x14ac:dyDescent="0.25">
      <c r="B90" s="7" t="s">
        <v>5</v>
      </c>
      <c r="C90" s="114">
        <f>Modeloutput!B195</f>
        <v>2.5710253199999999</v>
      </c>
      <c r="D90" s="114">
        <f>Modeloutput!C195</f>
        <v>3.2658970300000001</v>
      </c>
      <c r="E90" s="114">
        <f>Modeloutput!D195</f>
        <v>-0.69487170899999995</v>
      </c>
      <c r="F90" s="114">
        <f>Modeloutput!E195</f>
        <v>1.2331466</v>
      </c>
      <c r="G90" s="114">
        <f>Modeloutput!F195</f>
        <v>0.190811077</v>
      </c>
      <c r="H90" s="114">
        <f>Modeloutput!G195</f>
        <v>1.1332237700000001</v>
      </c>
      <c r="I90" s="114">
        <f>Modeloutput!H195</f>
        <v>1.3843875699999999E-2</v>
      </c>
      <c r="J90" s="114">
        <f>Modeloutput!I195</f>
        <v>0</v>
      </c>
      <c r="K90" s="114">
        <f>Modeloutput!J195</f>
        <v>0</v>
      </c>
      <c r="L90" s="114">
        <f>Modeloutput!K195</f>
        <v>0</v>
      </c>
      <c r="M90" s="114">
        <f>Modeloutput!L195</f>
        <v>0</v>
      </c>
      <c r="N90" s="114">
        <f>Modeloutput!M195</f>
        <v>0</v>
      </c>
      <c r="O90" s="114">
        <f>Modeloutput!N195</f>
        <v>0</v>
      </c>
      <c r="P90" s="114">
        <f>Modeloutput!O195</f>
        <v>0</v>
      </c>
      <c r="Q90" s="114">
        <f>Modeloutput!P195</f>
        <v>0</v>
      </c>
      <c r="R90" s="24"/>
      <c r="S90" s="119" t="s">
        <v>5</v>
      </c>
      <c r="T90" s="114">
        <f>Modeloutput!B450</f>
        <v>1.58052112</v>
      </c>
      <c r="U90" s="114">
        <f>Modeloutput!C450</f>
        <v>2.0076889900000001</v>
      </c>
      <c r="V90" s="114">
        <f>Modeloutput!D450</f>
        <v>-0.42716787099999998</v>
      </c>
      <c r="W90" s="114">
        <f>Modeloutput!E450</f>
        <v>1.0479004599999999</v>
      </c>
      <c r="X90" s="114">
        <f>Modeloutput!F450</f>
        <v>0.19068658999999999</v>
      </c>
      <c r="Y90" s="114">
        <f>Modeloutput!G450</f>
        <v>0.328433278</v>
      </c>
      <c r="Z90" s="114">
        <f>Modeloutput!H450</f>
        <v>1.3500796900000001E-2</v>
      </c>
      <c r="AA90" s="114">
        <f>Modeloutput!I450</f>
        <v>0</v>
      </c>
      <c r="AB90" s="114">
        <f>Modeloutput!J450</f>
        <v>0</v>
      </c>
      <c r="AC90" s="114">
        <f>Modeloutput!K450</f>
        <v>0</v>
      </c>
      <c r="AD90" s="114">
        <f>Modeloutput!L450</f>
        <v>0</v>
      </c>
      <c r="AE90" s="114">
        <f>Modeloutput!M450</f>
        <v>0</v>
      </c>
      <c r="AF90" s="114">
        <f>Modeloutput!N450</f>
        <v>0</v>
      </c>
      <c r="AG90" s="114">
        <f>Modeloutput!O450</f>
        <v>0</v>
      </c>
      <c r="AH90" s="114">
        <f>Modeloutput!P450</f>
        <v>0</v>
      </c>
      <c r="AI90" s="24"/>
      <c r="AJ90" s="119" t="s">
        <v>5</v>
      </c>
      <c r="AK90" s="93">
        <f>Modeloutput!B705</f>
        <v>1.1006119000000001</v>
      </c>
      <c r="AL90" s="93">
        <f>Modeloutput!C705</f>
        <v>1.3980745800000001</v>
      </c>
      <c r="AM90" s="93">
        <f>Modeloutput!D705</f>
        <v>-0.29746267700000001</v>
      </c>
      <c r="AN90" s="93">
        <f>Modeloutput!E705</f>
        <v>0.69239958099999999</v>
      </c>
      <c r="AO90" s="93">
        <f>Modeloutput!F705</f>
        <v>0.19068658999999999</v>
      </c>
      <c r="AP90" s="93">
        <f>Modeloutput!G705</f>
        <v>0.20402493499999999</v>
      </c>
      <c r="AQ90" s="93">
        <f>Modeloutput!H705</f>
        <v>1.3500796900000001E-2</v>
      </c>
      <c r="AR90" s="93">
        <f>Modeloutput!I705</f>
        <v>0</v>
      </c>
      <c r="AS90" s="93">
        <f>Modeloutput!J705</f>
        <v>0</v>
      </c>
      <c r="AT90" s="93">
        <f>Modeloutput!K705</f>
        <v>0</v>
      </c>
      <c r="AU90" s="93">
        <f>Modeloutput!L705</f>
        <v>0</v>
      </c>
      <c r="AV90" s="93">
        <f>Modeloutput!M705</f>
        <v>0</v>
      </c>
      <c r="AW90" s="93">
        <f>Modeloutput!N705</f>
        <v>0</v>
      </c>
      <c r="AX90" s="93">
        <f>Modeloutput!O705</f>
        <v>0</v>
      </c>
      <c r="AY90" s="93">
        <f>Modeloutput!P705</f>
        <v>0</v>
      </c>
      <c r="AZ90" s="24"/>
      <c r="BA90" s="119" t="s">
        <v>5</v>
      </c>
      <c r="BB90" s="114">
        <f>Modeloutput!B960</f>
        <v>2.1503999999999999</v>
      </c>
      <c r="BC90" s="114">
        <f>Modeloutput!C960</f>
        <v>2.7315891899999998</v>
      </c>
      <c r="BD90" s="114">
        <f>Modeloutput!D960</f>
        <v>-0.58118919000000002</v>
      </c>
      <c r="BE90" s="114">
        <f>Modeloutput!E960</f>
        <v>1.2002225900000001</v>
      </c>
      <c r="BF90" s="114">
        <f>Modeloutput!F960</f>
        <v>0.19068658999999999</v>
      </c>
      <c r="BG90" s="114">
        <f>Modeloutput!G960</f>
        <v>0.74599002199999997</v>
      </c>
      <c r="BH90" s="114">
        <f>Modeloutput!H960</f>
        <v>1.3500796900000001E-2</v>
      </c>
      <c r="BI90" s="114">
        <f>Modeloutput!I960</f>
        <v>0</v>
      </c>
      <c r="BJ90" s="114">
        <f>Modeloutput!J960</f>
        <v>0</v>
      </c>
      <c r="BK90" s="114">
        <f>Modeloutput!K960</f>
        <v>0</v>
      </c>
      <c r="BL90" s="114">
        <f>Modeloutput!L960</f>
        <v>0</v>
      </c>
      <c r="BM90" s="114">
        <f>Modeloutput!M960</f>
        <v>0</v>
      </c>
      <c r="BN90" s="114">
        <f>Modeloutput!N960</f>
        <v>0</v>
      </c>
      <c r="BO90" s="114">
        <f>Modeloutput!O960</f>
        <v>0</v>
      </c>
      <c r="BP90" s="114">
        <f>Modeloutput!P960</f>
        <v>0</v>
      </c>
      <c r="BQ90" s="24"/>
      <c r="BR90" s="119" t="s">
        <v>5</v>
      </c>
      <c r="BS90" s="114">
        <f>Modeloutput!B1215</f>
        <v>3.14638799</v>
      </c>
      <c r="BT90" s="114">
        <f>Modeloutput!C1215</f>
        <v>3.9967631199999998</v>
      </c>
      <c r="BU90" s="114">
        <f>Modeloutput!D1215</f>
        <v>-0.85037513099999995</v>
      </c>
      <c r="BV90" s="114">
        <f>Modeloutput!E1215</f>
        <v>2.1614637700000001</v>
      </c>
      <c r="BW90" s="114">
        <f>Modeloutput!F1215</f>
        <v>0.27213336199999999</v>
      </c>
      <c r="BX90" s="114">
        <f>Modeloutput!G1215</f>
        <v>0.69501151299999997</v>
      </c>
      <c r="BY90" s="114">
        <f>Modeloutput!H1215</f>
        <v>1.7779344499999999E-2</v>
      </c>
      <c r="BZ90" s="114">
        <f>Modeloutput!I1215</f>
        <v>0</v>
      </c>
      <c r="CA90" s="114">
        <f>Modeloutput!J1215</f>
        <v>0</v>
      </c>
      <c r="CB90" s="114">
        <f>Modeloutput!K1215</f>
        <v>0</v>
      </c>
      <c r="CC90" s="114">
        <f>Modeloutput!L1215</f>
        <v>0</v>
      </c>
      <c r="CD90" s="114">
        <f>Modeloutput!M1215</f>
        <v>0</v>
      </c>
      <c r="CE90" s="114">
        <f>Modeloutput!N1215</f>
        <v>0</v>
      </c>
      <c r="CF90" s="114">
        <f>Modeloutput!O1215</f>
        <v>0</v>
      </c>
      <c r="CG90" s="114">
        <f>Modeloutput!P1215</f>
        <v>0</v>
      </c>
    </row>
    <row r="91" spans="1:85" s="7" customFormat="1" x14ac:dyDescent="0.25">
      <c r="B91" s="7" t="s">
        <v>6</v>
      </c>
      <c r="C91" s="114">
        <f>Modeloutput!B196</f>
        <v>0</v>
      </c>
      <c r="D91" s="114">
        <f>Modeloutput!C196</f>
        <v>0</v>
      </c>
      <c r="E91" s="114">
        <f>Modeloutput!D196</f>
        <v>0</v>
      </c>
      <c r="F91" s="114">
        <f>Modeloutput!E196</f>
        <v>0</v>
      </c>
      <c r="G91" s="114">
        <f>Modeloutput!F196</f>
        <v>0</v>
      </c>
      <c r="H91" s="114">
        <f>Modeloutput!G196</f>
        <v>0</v>
      </c>
      <c r="I91" s="114">
        <f>Modeloutput!H196</f>
        <v>0</v>
      </c>
      <c r="J91" s="114">
        <f>Modeloutput!I196</f>
        <v>0</v>
      </c>
      <c r="K91" s="114">
        <f>Modeloutput!J196</f>
        <v>0</v>
      </c>
      <c r="L91" s="114">
        <f>Modeloutput!K196</f>
        <v>0</v>
      </c>
      <c r="M91" s="114">
        <f>Modeloutput!L196</f>
        <v>0</v>
      </c>
      <c r="N91" s="114">
        <f>Modeloutput!M196</f>
        <v>0</v>
      </c>
      <c r="O91" s="114">
        <f>Modeloutput!N196</f>
        <v>0</v>
      </c>
      <c r="P91" s="114">
        <f>Modeloutput!O196</f>
        <v>0</v>
      </c>
      <c r="Q91" s="114">
        <f>Modeloutput!P196</f>
        <v>0</v>
      </c>
      <c r="R91" s="24"/>
      <c r="S91" s="119" t="s">
        <v>6</v>
      </c>
      <c r="T91" s="114">
        <f>Modeloutput!B451</f>
        <v>0</v>
      </c>
      <c r="U91" s="114">
        <f>Modeloutput!C451</f>
        <v>0</v>
      </c>
      <c r="V91" s="114">
        <f>Modeloutput!D451</f>
        <v>0</v>
      </c>
      <c r="W91" s="114">
        <f>Modeloutput!E451</f>
        <v>0</v>
      </c>
      <c r="X91" s="114">
        <f>Modeloutput!F451</f>
        <v>0</v>
      </c>
      <c r="Y91" s="114">
        <f>Modeloutput!G451</f>
        <v>0</v>
      </c>
      <c r="Z91" s="114">
        <f>Modeloutput!H451</f>
        <v>0</v>
      </c>
      <c r="AA91" s="114">
        <f>Modeloutput!I451</f>
        <v>0</v>
      </c>
      <c r="AB91" s="114">
        <f>Modeloutput!J451</f>
        <v>0</v>
      </c>
      <c r="AC91" s="114">
        <f>Modeloutput!K451</f>
        <v>0</v>
      </c>
      <c r="AD91" s="114">
        <f>Modeloutput!L451</f>
        <v>0</v>
      </c>
      <c r="AE91" s="114">
        <f>Modeloutput!M451</f>
        <v>0</v>
      </c>
      <c r="AF91" s="114">
        <f>Modeloutput!N451</f>
        <v>0</v>
      </c>
      <c r="AG91" s="114">
        <f>Modeloutput!O451</f>
        <v>0</v>
      </c>
      <c r="AH91" s="114">
        <f>Modeloutput!P451</f>
        <v>0</v>
      </c>
      <c r="AI91" s="24"/>
      <c r="AJ91" s="119" t="s">
        <v>6</v>
      </c>
      <c r="AK91" s="93">
        <f>Modeloutput!B706</f>
        <v>0</v>
      </c>
      <c r="AL91" s="93">
        <f>Modeloutput!C706</f>
        <v>0</v>
      </c>
      <c r="AM91" s="93">
        <f>Modeloutput!D706</f>
        <v>0</v>
      </c>
      <c r="AN91" s="93">
        <f>Modeloutput!E706</f>
        <v>0</v>
      </c>
      <c r="AO91" s="93">
        <f>Modeloutput!F706</f>
        <v>0</v>
      </c>
      <c r="AP91" s="93">
        <f>Modeloutput!G706</f>
        <v>0</v>
      </c>
      <c r="AQ91" s="93">
        <f>Modeloutput!H706</f>
        <v>0</v>
      </c>
      <c r="AR91" s="93">
        <f>Modeloutput!I706</f>
        <v>0</v>
      </c>
      <c r="AS91" s="93">
        <f>Modeloutput!J706</f>
        <v>0</v>
      </c>
      <c r="AT91" s="93">
        <f>Modeloutput!K706</f>
        <v>0</v>
      </c>
      <c r="AU91" s="93">
        <f>Modeloutput!L706</f>
        <v>0</v>
      </c>
      <c r="AV91" s="93">
        <f>Modeloutput!M706</f>
        <v>0</v>
      </c>
      <c r="AW91" s="93">
        <f>Modeloutput!N706</f>
        <v>0</v>
      </c>
      <c r="AX91" s="93">
        <f>Modeloutput!O706</f>
        <v>0</v>
      </c>
      <c r="AY91" s="93">
        <f>Modeloutput!P706</f>
        <v>0</v>
      </c>
      <c r="AZ91" s="24"/>
      <c r="BA91" s="119" t="s">
        <v>6</v>
      </c>
      <c r="BB91" s="114">
        <f>Modeloutput!B961</f>
        <v>0</v>
      </c>
      <c r="BC91" s="114">
        <f>Modeloutput!C961</f>
        <v>0</v>
      </c>
      <c r="BD91" s="114">
        <f>Modeloutput!D961</f>
        <v>0</v>
      </c>
      <c r="BE91" s="114">
        <f>Modeloutput!E961</f>
        <v>0</v>
      </c>
      <c r="BF91" s="114">
        <f>Modeloutput!F961</f>
        <v>0</v>
      </c>
      <c r="BG91" s="114">
        <f>Modeloutput!G961</f>
        <v>0</v>
      </c>
      <c r="BH91" s="114">
        <f>Modeloutput!H961</f>
        <v>0</v>
      </c>
      <c r="BI91" s="114">
        <f>Modeloutput!I961</f>
        <v>0</v>
      </c>
      <c r="BJ91" s="114">
        <f>Modeloutput!J961</f>
        <v>0</v>
      </c>
      <c r="BK91" s="114">
        <f>Modeloutput!K961</f>
        <v>0</v>
      </c>
      <c r="BL91" s="114">
        <f>Modeloutput!L961</f>
        <v>0</v>
      </c>
      <c r="BM91" s="114">
        <f>Modeloutput!M961</f>
        <v>0</v>
      </c>
      <c r="BN91" s="114">
        <f>Modeloutput!N961</f>
        <v>0</v>
      </c>
      <c r="BO91" s="114">
        <f>Modeloutput!O961</f>
        <v>0</v>
      </c>
      <c r="BP91" s="114">
        <f>Modeloutput!P961</f>
        <v>0</v>
      </c>
      <c r="BQ91" s="24"/>
      <c r="BR91" s="119" t="s">
        <v>6</v>
      </c>
      <c r="BS91" s="114">
        <f>Modeloutput!B1216</f>
        <v>1.45806305</v>
      </c>
      <c r="BT91" s="114">
        <f>Modeloutput!C1216</f>
        <v>1.8521341499999999</v>
      </c>
      <c r="BU91" s="114">
        <f>Modeloutput!D1216</f>
        <v>-0.39407109499999998</v>
      </c>
      <c r="BV91" s="114">
        <f>Modeloutput!E1216</f>
        <v>1.1458404900000001</v>
      </c>
      <c r="BW91" s="114">
        <f>Modeloutput!F1216</f>
        <v>8.5617352999999993E-2</v>
      </c>
      <c r="BX91" s="114">
        <f>Modeloutput!G1216</f>
        <v>0.21511023200000001</v>
      </c>
      <c r="BY91" s="114">
        <f>Modeloutput!H1216</f>
        <v>1.14949782E-2</v>
      </c>
      <c r="BZ91" s="114">
        <f>Modeloutput!I1216</f>
        <v>0</v>
      </c>
      <c r="CA91" s="114">
        <f>Modeloutput!J1216</f>
        <v>0</v>
      </c>
      <c r="CB91" s="114">
        <f>Modeloutput!K1216</f>
        <v>0</v>
      </c>
      <c r="CC91" s="114">
        <f>Modeloutput!L1216</f>
        <v>0</v>
      </c>
      <c r="CD91" s="114">
        <f>Modeloutput!M1216</f>
        <v>0</v>
      </c>
      <c r="CE91" s="114">
        <f>Modeloutput!N1216</f>
        <v>0</v>
      </c>
      <c r="CF91" s="114">
        <f>Modeloutput!O1216</f>
        <v>0</v>
      </c>
      <c r="CG91" s="114">
        <f>Modeloutput!P1216</f>
        <v>0</v>
      </c>
    </row>
    <row r="92" spans="1:85" s="7" customFormat="1" x14ac:dyDescent="0.25">
      <c r="B92" s="7" t="s">
        <v>7</v>
      </c>
      <c r="C92" s="114">
        <f>Modeloutput!B197</f>
        <v>0.21096625399999999</v>
      </c>
      <c r="D92" s="114">
        <f>Modeloutput!C197</f>
        <v>8.3110199600000004E-2</v>
      </c>
      <c r="E92" s="114">
        <f>Modeloutput!D197</f>
        <v>0.127856055</v>
      </c>
      <c r="F92" s="114">
        <f>Modeloutput!E197</f>
        <v>0</v>
      </c>
      <c r="G92" s="114">
        <f>Modeloutput!F197</f>
        <v>0.160556226</v>
      </c>
      <c r="H92" s="114">
        <f>Modeloutput!G197</f>
        <v>3.59081885E-2</v>
      </c>
      <c r="I92" s="114">
        <f>Modeloutput!H197</f>
        <v>1.45018393E-2</v>
      </c>
      <c r="J92" s="114">
        <f>Modeloutput!I197</f>
        <v>0</v>
      </c>
      <c r="K92" s="114">
        <f>Modeloutput!J197</f>
        <v>0</v>
      </c>
      <c r="L92" s="114">
        <f>Modeloutput!K197</f>
        <v>0</v>
      </c>
      <c r="M92" s="114">
        <f>Modeloutput!L197</f>
        <v>0</v>
      </c>
      <c r="N92" s="114">
        <f>Modeloutput!M197</f>
        <v>0</v>
      </c>
      <c r="O92" s="114">
        <f>Modeloutput!N197</f>
        <v>0</v>
      </c>
      <c r="P92" s="114">
        <f>Modeloutput!O197</f>
        <v>0</v>
      </c>
      <c r="Q92" s="114">
        <f>Modeloutput!P197</f>
        <v>0</v>
      </c>
      <c r="R92" s="24"/>
      <c r="S92" s="119" t="s">
        <v>7</v>
      </c>
      <c r="T92" s="114">
        <f>Modeloutput!B452</f>
        <v>0.20743414499999999</v>
      </c>
      <c r="U92" s="114">
        <f>Modeloutput!C452</f>
        <v>8.1609264099999995E-2</v>
      </c>
      <c r="V92" s="114">
        <f>Modeloutput!D452</f>
        <v>0.125824881</v>
      </c>
      <c r="W92" s="114">
        <f>Modeloutput!E452</f>
        <v>0</v>
      </c>
      <c r="X92" s="114">
        <f>Modeloutput!F452</f>
        <v>0.15925534</v>
      </c>
      <c r="Y92" s="114">
        <f>Modeloutput!G452</f>
        <v>3.3676966099999997E-2</v>
      </c>
      <c r="Z92" s="114">
        <f>Modeloutput!H452</f>
        <v>1.45018393E-2</v>
      </c>
      <c r="AA92" s="114">
        <f>Modeloutput!I452</f>
        <v>0</v>
      </c>
      <c r="AB92" s="114">
        <f>Modeloutput!J452</f>
        <v>0</v>
      </c>
      <c r="AC92" s="114">
        <f>Modeloutput!K452</f>
        <v>0</v>
      </c>
      <c r="AD92" s="114">
        <f>Modeloutput!L452</f>
        <v>0</v>
      </c>
      <c r="AE92" s="114">
        <f>Modeloutput!M452</f>
        <v>0</v>
      </c>
      <c r="AF92" s="114">
        <f>Modeloutput!N452</f>
        <v>0</v>
      </c>
      <c r="AG92" s="114">
        <f>Modeloutput!O452</f>
        <v>0</v>
      </c>
      <c r="AH92" s="114">
        <f>Modeloutput!P452</f>
        <v>0</v>
      </c>
      <c r="AI92" s="24"/>
      <c r="AJ92" s="119" t="s">
        <v>7</v>
      </c>
      <c r="AK92" s="93">
        <f>Modeloutput!B707</f>
        <v>1.63233937</v>
      </c>
      <c r="AL92" s="93">
        <f>Modeloutput!C707</f>
        <v>0.67822084800000004</v>
      </c>
      <c r="AM92" s="93">
        <f>Modeloutput!D707</f>
        <v>0.954118523</v>
      </c>
      <c r="AN92" s="93">
        <f>Modeloutput!E707</f>
        <v>1.19523639</v>
      </c>
      <c r="AO92" s="93">
        <f>Modeloutput!F707</f>
        <v>0.162693845</v>
      </c>
      <c r="AP92" s="93">
        <f>Modeloutput!G707</f>
        <v>0.259533285</v>
      </c>
      <c r="AQ92" s="93">
        <f>Modeloutput!H707</f>
        <v>1.48758551E-2</v>
      </c>
      <c r="AR92" s="93">
        <f>Modeloutput!I707</f>
        <v>0</v>
      </c>
      <c r="AS92" s="93">
        <f>Modeloutput!J707</f>
        <v>0</v>
      </c>
      <c r="AT92" s="93">
        <f>Modeloutput!K707</f>
        <v>0</v>
      </c>
      <c r="AU92" s="93">
        <f>Modeloutput!L707</f>
        <v>0</v>
      </c>
      <c r="AV92" s="93">
        <f>Modeloutput!M707</f>
        <v>0</v>
      </c>
      <c r="AW92" s="93">
        <f>Modeloutput!N707</f>
        <v>0</v>
      </c>
      <c r="AX92" s="93">
        <f>Modeloutput!O707</f>
        <v>0</v>
      </c>
      <c r="AY92" s="93">
        <f>Modeloutput!P707</f>
        <v>0</v>
      </c>
      <c r="AZ92" s="24"/>
      <c r="BA92" s="119" t="s">
        <v>7</v>
      </c>
      <c r="BB92" s="114">
        <f>Modeloutput!B962</f>
        <v>0</v>
      </c>
      <c r="BC92" s="114">
        <f>Modeloutput!C962</f>
        <v>0</v>
      </c>
      <c r="BD92" s="114">
        <f>Modeloutput!D962</f>
        <v>0</v>
      </c>
      <c r="BE92" s="114">
        <f>Modeloutput!E962</f>
        <v>0</v>
      </c>
      <c r="BF92" s="114">
        <f>Modeloutput!F962</f>
        <v>0</v>
      </c>
      <c r="BG92" s="114">
        <f>Modeloutput!G962</f>
        <v>0</v>
      </c>
      <c r="BH92" s="114">
        <f>Modeloutput!H962</f>
        <v>0</v>
      </c>
      <c r="BI92" s="114">
        <f>Modeloutput!I962</f>
        <v>0</v>
      </c>
      <c r="BJ92" s="114">
        <f>Modeloutput!J962</f>
        <v>0</v>
      </c>
      <c r="BK92" s="114">
        <f>Modeloutput!K962</f>
        <v>0</v>
      </c>
      <c r="BL92" s="114">
        <f>Modeloutput!L962</f>
        <v>0</v>
      </c>
      <c r="BM92" s="114">
        <f>Modeloutput!M962</f>
        <v>0</v>
      </c>
      <c r="BN92" s="114">
        <f>Modeloutput!N962</f>
        <v>0</v>
      </c>
      <c r="BO92" s="114">
        <f>Modeloutput!O962</f>
        <v>0</v>
      </c>
      <c r="BP92" s="114">
        <f>Modeloutput!P962</f>
        <v>0</v>
      </c>
      <c r="BQ92" s="24"/>
      <c r="BR92" s="119" t="s">
        <v>7</v>
      </c>
      <c r="BS92" s="114">
        <f>Modeloutput!B1217</f>
        <v>1.88168356E-3</v>
      </c>
      <c r="BT92" s="114">
        <f>Modeloutput!C1217</f>
        <v>7.3999388100000005E-4</v>
      </c>
      <c r="BU92" s="114">
        <f>Modeloutput!D1217</f>
        <v>1.1416896800000001E-3</v>
      </c>
      <c r="BV92" s="114">
        <f>Modeloutput!E1217</f>
        <v>0</v>
      </c>
      <c r="BW92" s="114">
        <f>Modeloutput!F1217</f>
        <v>9.9941072499999998E-4</v>
      </c>
      <c r="BX92" s="114">
        <f>Modeloutput!G1217</f>
        <v>4.6333110899999998E-4</v>
      </c>
      <c r="BY92" s="114">
        <f>Modeloutput!H1217</f>
        <v>4.18941729E-4</v>
      </c>
      <c r="BZ92" s="114">
        <f>Modeloutput!I1217</f>
        <v>0</v>
      </c>
      <c r="CA92" s="114">
        <f>Modeloutput!J1217</f>
        <v>0</v>
      </c>
      <c r="CB92" s="114">
        <f>Modeloutput!K1217</f>
        <v>0</v>
      </c>
      <c r="CC92" s="114">
        <f>Modeloutput!L1217</f>
        <v>0</v>
      </c>
      <c r="CD92" s="114">
        <f>Modeloutput!M1217</f>
        <v>0</v>
      </c>
      <c r="CE92" s="114">
        <f>Modeloutput!N1217</f>
        <v>0</v>
      </c>
      <c r="CF92" s="114">
        <f>Modeloutput!O1217</f>
        <v>0</v>
      </c>
      <c r="CG92" s="114">
        <f>Modeloutput!P1217</f>
        <v>0</v>
      </c>
    </row>
    <row r="93" spans="1:85" s="7" customFormat="1" x14ac:dyDescent="0.25">
      <c r="B93" s="7" t="s">
        <v>8</v>
      </c>
      <c r="C93" s="114">
        <f>Modeloutput!B198</f>
        <v>0</v>
      </c>
      <c r="D93" s="114">
        <f>Modeloutput!C198</f>
        <v>0</v>
      </c>
      <c r="E93" s="114">
        <f>Modeloutput!D198</f>
        <v>0</v>
      </c>
      <c r="F93" s="114">
        <f>Modeloutput!E198</f>
        <v>0</v>
      </c>
      <c r="G93" s="114">
        <f>Modeloutput!F198</f>
        <v>0</v>
      </c>
      <c r="H93" s="114">
        <f>Modeloutput!G198</f>
        <v>0</v>
      </c>
      <c r="I93" s="114">
        <f>Modeloutput!H198</f>
        <v>0</v>
      </c>
      <c r="J93" s="114">
        <f>Modeloutput!I198</f>
        <v>0</v>
      </c>
      <c r="K93" s="114">
        <f>Modeloutput!J198</f>
        <v>0</v>
      </c>
      <c r="L93" s="114">
        <f>Modeloutput!K198</f>
        <v>0</v>
      </c>
      <c r="M93" s="114">
        <f>Modeloutput!L198</f>
        <v>0</v>
      </c>
      <c r="N93" s="114">
        <f>Modeloutput!M198</f>
        <v>0</v>
      </c>
      <c r="O93" s="114">
        <f>Modeloutput!N198</f>
        <v>0</v>
      </c>
      <c r="P93" s="114">
        <f>Modeloutput!O198</f>
        <v>0</v>
      </c>
      <c r="Q93" s="114">
        <f>Modeloutput!P198</f>
        <v>0</v>
      </c>
      <c r="R93" s="24"/>
      <c r="S93" s="119" t="s">
        <v>8</v>
      </c>
      <c r="T93" s="114">
        <f>Modeloutput!B453</f>
        <v>0</v>
      </c>
      <c r="U93" s="114">
        <f>Modeloutput!C453</f>
        <v>0</v>
      </c>
      <c r="V93" s="114">
        <f>Modeloutput!D453</f>
        <v>0</v>
      </c>
      <c r="W93" s="114">
        <f>Modeloutput!E453</f>
        <v>0</v>
      </c>
      <c r="X93" s="114">
        <f>Modeloutput!F453</f>
        <v>0</v>
      </c>
      <c r="Y93" s="114">
        <f>Modeloutput!G453</f>
        <v>0</v>
      </c>
      <c r="Z93" s="114">
        <f>Modeloutput!H453</f>
        <v>0</v>
      </c>
      <c r="AA93" s="114">
        <f>Modeloutput!I453</f>
        <v>0</v>
      </c>
      <c r="AB93" s="114">
        <f>Modeloutput!J453</f>
        <v>0</v>
      </c>
      <c r="AC93" s="114">
        <f>Modeloutput!K453</f>
        <v>0</v>
      </c>
      <c r="AD93" s="114">
        <f>Modeloutput!L453</f>
        <v>0</v>
      </c>
      <c r="AE93" s="114">
        <f>Modeloutput!M453</f>
        <v>0</v>
      </c>
      <c r="AF93" s="114">
        <f>Modeloutput!N453</f>
        <v>0</v>
      </c>
      <c r="AG93" s="114">
        <f>Modeloutput!O453</f>
        <v>0</v>
      </c>
      <c r="AH93" s="114">
        <f>Modeloutput!P453</f>
        <v>0</v>
      </c>
      <c r="AI93" s="24"/>
      <c r="AJ93" s="119" t="s">
        <v>8</v>
      </c>
      <c r="AK93" s="93">
        <f>Modeloutput!B708</f>
        <v>0</v>
      </c>
      <c r="AL93" s="93">
        <f>Modeloutput!C708</f>
        <v>0</v>
      </c>
      <c r="AM93" s="93">
        <f>Modeloutput!D708</f>
        <v>0</v>
      </c>
      <c r="AN93" s="93">
        <f>Modeloutput!E708</f>
        <v>0</v>
      </c>
      <c r="AO93" s="93">
        <f>Modeloutput!F708</f>
        <v>0</v>
      </c>
      <c r="AP93" s="93">
        <f>Modeloutput!G708</f>
        <v>0</v>
      </c>
      <c r="AQ93" s="93">
        <f>Modeloutput!H708</f>
        <v>0</v>
      </c>
      <c r="AR93" s="93">
        <f>Modeloutput!I708</f>
        <v>0</v>
      </c>
      <c r="AS93" s="93">
        <f>Modeloutput!J708</f>
        <v>0</v>
      </c>
      <c r="AT93" s="93">
        <f>Modeloutput!K708</f>
        <v>0</v>
      </c>
      <c r="AU93" s="93">
        <f>Modeloutput!L708</f>
        <v>0</v>
      </c>
      <c r="AV93" s="93">
        <f>Modeloutput!M708</f>
        <v>0</v>
      </c>
      <c r="AW93" s="93">
        <f>Modeloutput!N708</f>
        <v>0</v>
      </c>
      <c r="AX93" s="93">
        <f>Modeloutput!O708</f>
        <v>0</v>
      </c>
      <c r="AY93" s="93">
        <f>Modeloutput!P708</f>
        <v>0</v>
      </c>
      <c r="AZ93" s="24"/>
      <c r="BA93" s="119" t="s">
        <v>8</v>
      </c>
      <c r="BB93" s="114">
        <f>Modeloutput!B963</f>
        <v>0</v>
      </c>
      <c r="BC93" s="114">
        <f>Modeloutput!C963</f>
        <v>0</v>
      </c>
      <c r="BD93" s="114">
        <f>Modeloutput!D963</f>
        <v>0</v>
      </c>
      <c r="BE93" s="114">
        <f>Modeloutput!E963</f>
        <v>0</v>
      </c>
      <c r="BF93" s="114">
        <f>Modeloutput!F963</f>
        <v>0</v>
      </c>
      <c r="BG93" s="114">
        <f>Modeloutput!G963</f>
        <v>0</v>
      </c>
      <c r="BH93" s="114">
        <f>Modeloutput!H963</f>
        <v>0</v>
      </c>
      <c r="BI93" s="114">
        <f>Modeloutput!I963</f>
        <v>0</v>
      </c>
      <c r="BJ93" s="114">
        <f>Modeloutput!J963</f>
        <v>0</v>
      </c>
      <c r="BK93" s="114">
        <f>Modeloutput!K963</f>
        <v>0</v>
      </c>
      <c r="BL93" s="114">
        <f>Modeloutput!L963</f>
        <v>0</v>
      </c>
      <c r="BM93" s="114">
        <f>Modeloutput!M963</f>
        <v>0</v>
      </c>
      <c r="BN93" s="114">
        <f>Modeloutput!N963</f>
        <v>0</v>
      </c>
      <c r="BO93" s="114">
        <f>Modeloutput!O963</f>
        <v>0</v>
      </c>
      <c r="BP93" s="114">
        <f>Modeloutput!P963</f>
        <v>0</v>
      </c>
      <c r="BQ93" s="24"/>
      <c r="BR93" s="119" t="s">
        <v>8</v>
      </c>
      <c r="BS93" s="114">
        <f>Modeloutput!B1218</f>
        <v>0</v>
      </c>
      <c r="BT93" s="114">
        <f>Modeloutput!C1218</f>
        <v>0</v>
      </c>
      <c r="BU93" s="114">
        <f>Modeloutput!D1218</f>
        <v>0</v>
      </c>
      <c r="BV93" s="114">
        <f>Modeloutput!E1218</f>
        <v>0</v>
      </c>
      <c r="BW93" s="114">
        <f>Modeloutput!F1218</f>
        <v>0</v>
      </c>
      <c r="BX93" s="114">
        <f>Modeloutput!G1218</f>
        <v>0</v>
      </c>
      <c r="BY93" s="114">
        <f>Modeloutput!H1218</f>
        <v>0</v>
      </c>
      <c r="BZ93" s="114">
        <f>Modeloutput!I1218</f>
        <v>0</v>
      </c>
      <c r="CA93" s="114">
        <f>Modeloutput!J1218</f>
        <v>0</v>
      </c>
      <c r="CB93" s="114">
        <f>Modeloutput!K1218</f>
        <v>0</v>
      </c>
      <c r="CC93" s="114">
        <f>Modeloutput!L1218</f>
        <v>0</v>
      </c>
      <c r="CD93" s="114">
        <f>Modeloutput!M1218</f>
        <v>0</v>
      </c>
      <c r="CE93" s="114">
        <f>Modeloutput!N1218</f>
        <v>0</v>
      </c>
      <c r="CF93" s="114">
        <f>Modeloutput!O1218</f>
        <v>0</v>
      </c>
      <c r="CG93" s="114">
        <f>Modeloutput!P1218</f>
        <v>0</v>
      </c>
    </row>
    <row r="94" spans="1:85" s="7" customFormat="1" x14ac:dyDescent="0.25">
      <c r="B94" s="7" t="s">
        <v>9</v>
      </c>
      <c r="C94" s="114">
        <f>Modeloutput!B199</f>
        <v>0</v>
      </c>
      <c r="D94" s="114">
        <f>Modeloutput!C199</f>
        <v>0</v>
      </c>
      <c r="E94" s="114">
        <f>Modeloutput!D199</f>
        <v>0</v>
      </c>
      <c r="F94" s="114">
        <f>Modeloutput!E199</f>
        <v>0</v>
      </c>
      <c r="G94" s="114">
        <f>Modeloutput!F199</f>
        <v>0</v>
      </c>
      <c r="H94" s="114">
        <f>Modeloutput!G199</f>
        <v>0</v>
      </c>
      <c r="I94" s="114">
        <f>Modeloutput!H199</f>
        <v>0</v>
      </c>
      <c r="J94" s="114">
        <f>Modeloutput!I199</f>
        <v>0</v>
      </c>
      <c r="K94" s="114">
        <f>Modeloutput!J199</f>
        <v>0</v>
      </c>
      <c r="L94" s="114">
        <f>Modeloutput!K199</f>
        <v>0</v>
      </c>
      <c r="M94" s="114">
        <f>Modeloutput!L199</f>
        <v>0</v>
      </c>
      <c r="N94" s="114">
        <f>Modeloutput!M199</f>
        <v>0</v>
      </c>
      <c r="O94" s="114">
        <f>Modeloutput!N199</f>
        <v>0</v>
      </c>
      <c r="P94" s="114">
        <f>Modeloutput!O199</f>
        <v>0</v>
      </c>
      <c r="Q94" s="114">
        <f>Modeloutput!P199</f>
        <v>0</v>
      </c>
      <c r="R94" s="24"/>
      <c r="S94" s="119" t="s">
        <v>9</v>
      </c>
      <c r="T94" s="114">
        <f>Modeloutput!B454</f>
        <v>0</v>
      </c>
      <c r="U94" s="114">
        <f>Modeloutput!C454</f>
        <v>0</v>
      </c>
      <c r="V94" s="114">
        <f>Modeloutput!D454</f>
        <v>0</v>
      </c>
      <c r="W94" s="114">
        <f>Modeloutput!E454</f>
        <v>0</v>
      </c>
      <c r="X94" s="114">
        <f>Modeloutput!F454</f>
        <v>0</v>
      </c>
      <c r="Y94" s="114">
        <f>Modeloutput!G454</f>
        <v>0</v>
      </c>
      <c r="Z94" s="114">
        <f>Modeloutput!H454</f>
        <v>0</v>
      </c>
      <c r="AA94" s="114">
        <f>Modeloutput!I454</f>
        <v>0</v>
      </c>
      <c r="AB94" s="114">
        <f>Modeloutput!J454</f>
        <v>0</v>
      </c>
      <c r="AC94" s="114">
        <f>Modeloutput!K454</f>
        <v>0</v>
      </c>
      <c r="AD94" s="114">
        <f>Modeloutput!L454</f>
        <v>0</v>
      </c>
      <c r="AE94" s="114">
        <f>Modeloutput!M454</f>
        <v>0</v>
      </c>
      <c r="AF94" s="114">
        <f>Modeloutput!N454</f>
        <v>0</v>
      </c>
      <c r="AG94" s="114">
        <f>Modeloutput!O454</f>
        <v>0</v>
      </c>
      <c r="AH94" s="114">
        <f>Modeloutput!P454</f>
        <v>0</v>
      </c>
      <c r="AI94" s="24"/>
      <c r="AJ94" s="119" t="s">
        <v>9</v>
      </c>
      <c r="AK94" s="93">
        <f>Modeloutput!B709</f>
        <v>0</v>
      </c>
      <c r="AL94" s="93">
        <f>Modeloutput!C709</f>
        <v>0</v>
      </c>
      <c r="AM94" s="93">
        <f>Modeloutput!D709</f>
        <v>0</v>
      </c>
      <c r="AN94" s="93">
        <f>Modeloutput!E709</f>
        <v>0</v>
      </c>
      <c r="AO94" s="93">
        <f>Modeloutput!F709</f>
        <v>0</v>
      </c>
      <c r="AP94" s="93">
        <f>Modeloutput!G709</f>
        <v>0</v>
      </c>
      <c r="AQ94" s="93">
        <f>Modeloutput!H709</f>
        <v>0</v>
      </c>
      <c r="AR94" s="93">
        <f>Modeloutput!I709</f>
        <v>0</v>
      </c>
      <c r="AS94" s="93">
        <f>Modeloutput!J709</f>
        <v>0</v>
      </c>
      <c r="AT94" s="93">
        <f>Modeloutput!K709</f>
        <v>0</v>
      </c>
      <c r="AU94" s="93">
        <f>Modeloutput!L709</f>
        <v>0</v>
      </c>
      <c r="AV94" s="93">
        <f>Modeloutput!M709</f>
        <v>0</v>
      </c>
      <c r="AW94" s="93">
        <f>Modeloutput!N709</f>
        <v>0</v>
      </c>
      <c r="AX94" s="93">
        <f>Modeloutput!O709</f>
        <v>0</v>
      </c>
      <c r="AY94" s="93">
        <f>Modeloutput!P709</f>
        <v>0</v>
      </c>
      <c r="AZ94" s="24"/>
      <c r="BA94" s="119" t="s">
        <v>9</v>
      </c>
      <c r="BB94" s="114">
        <f>Modeloutput!B964</f>
        <v>0</v>
      </c>
      <c r="BC94" s="114">
        <f>Modeloutput!C964</f>
        <v>0</v>
      </c>
      <c r="BD94" s="114">
        <f>Modeloutput!D964</f>
        <v>0</v>
      </c>
      <c r="BE94" s="114">
        <f>Modeloutput!E964</f>
        <v>0</v>
      </c>
      <c r="BF94" s="114">
        <f>Modeloutput!F964</f>
        <v>0</v>
      </c>
      <c r="BG94" s="114">
        <f>Modeloutput!G964</f>
        <v>0</v>
      </c>
      <c r="BH94" s="114">
        <f>Modeloutput!H964</f>
        <v>0</v>
      </c>
      <c r="BI94" s="114">
        <f>Modeloutput!I964</f>
        <v>0</v>
      </c>
      <c r="BJ94" s="114">
        <f>Modeloutput!J964</f>
        <v>0</v>
      </c>
      <c r="BK94" s="114">
        <f>Modeloutput!K964</f>
        <v>0</v>
      </c>
      <c r="BL94" s="114">
        <f>Modeloutput!L964</f>
        <v>0</v>
      </c>
      <c r="BM94" s="114">
        <f>Modeloutput!M964</f>
        <v>0</v>
      </c>
      <c r="BN94" s="114">
        <f>Modeloutput!N964</f>
        <v>0</v>
      </c>
      <c r="BO94" s="114">
        <f>Modeloutput!O964</f>
        <v>0</v>
      </c>
      <c r="BP94" s="114">
        <f>Modeloutput!P964</f>
        <v>0</v>
      </c>
      <c r="BQ94" s="24"/>
      <c r="BR94" s="119" t="s">
        <v>9</v>
      </c>
      <c r="BS94" s="114">
        <f>Modeloutput!B1219</f>
        <v>0</v>
      </c>
      <c r="BT94" s="114">
        <f>Modeloutput!C1219</f>
        <v>0</v>
      </c>
      <c r="BU94" s="114">
        <f>Modeloutput!D1219</f>
        <v>0</v>
      </c>
      <c r="BV94" s="114">
        <f>Modeloutput!E1219</f>
        <v>0</v>
      </c>
      <c r="BW94" s="114">
        <f>Modeloutput!F1219</f>
        <v>0</v>
      </c>
      <c r="BX94" s="114">
        <f>Modeloutput!G1219</f>
        <v>0</v>
      </c>
      <c r="BY94" s="114">
        <f>Modeloutput!H1219</f>
        <v>0</v>
      </c>
      <c r="BZ94" s="114">
        <f>Modeloutput!I1219</f>
        <v>0</v>
      </c>
      <c r="CA94" s="114">
        <f>Modeloutput!J1219</f>
        <v>0</v>
      </c>
      <c r="CB94" s="114">
        <f>Modeloutput!K1219</f>
        <v>0</v>
      </c>
      <c r="CC94" s="114">
        <f>Modeloutput!L1219</f>
        <v>0</v>
      </c>
      <c r="CD94" s="114">
        <f>Modeloutput!M1219</f>
        <v>0</v>
      </c>
      <c r="CE94" s="114">
        <f>Modeloutput!N1219</f>
        <v>0</v>
      </c>
      <c r="CF94" s="114">
        <f>Modeloutput!O1219</f>
        <v>0</v>
      </c>
      <c r="CG94" s="114">
        <f>Modeloutput!P1219</f>
        <v>0</v>
      </c>
    </row>
    <row r="95" spans="1:85" s="7" customFormat="1" x14ac:dyDescent="0.25">
      <c r="B95" s="7" t="s">
        <v>10</v>
      </c>
      <c r="C95" s="114">
        <f>Modeloutput!B200</f>
        <v>0</v>
      </c>
      <c r="D95" s="114">
        <f>Modeloutput!C200</f>
        <v>0</v>
      </c>
      <c r="E95" s="114">
        <f>Modeloutput!D200</f>
        <v>0</v>
      </c>
      <c r="F95" s="114">
        <f>Modeloutput!E200</f>
        <v>0</v>
      </c>
      <c r="G95" s="114">
        <f>Modeloutput!F200</f>
        <v>0</v>
      </c>
      <c r="H95" s="114">
        <f>Modeloutput!G200</f>
        <v>0</v>
      </c>
      <c r="I95" s="114">
        <f>Modeloutput!H200</f>
        <v>0</v>
      </c>
      <c r="J95" s="114">
        <f>Modeloutput!I200</f>
        <v>0</v>
      </c>
      <c r="K95" s="114">
        <f>Modeloutput!J200</f>
        <v>0</v>
      </c>
      <c r="L95" s="114">
        <f>Modeloutput!K200</f>
        <v>0</v>
      </c>
      <c r="M95" s="114">
        <f>Modeloutput!L200</f>
        <v>0</v>
      </c>
      <c r="N95" s="114">
        <f>Modeloutput!M200</f>
        <v>0</v>
      </c>
      <c r="O95" s="114">
        <f>Modeloutput!N200</f>
        <v>0</v>
      </c>
      <c r="P95" s="114">
        <f>Modeloutput!O200</f>
        <v>0</v>
      </c>
      <c r="Q95" s="114">
        <f>Modeloutput!P200</f>
        <v>0</v>
      </c>
      <c r="R95" s="24"/>
      <c r="S95" s="119" t="s">
        <v>10</v>
      </c>
      <c r="T95" s="114">
        <f>Modeloutput!B455</f>
        <v>0</v>
      </c>
      <c r="U95" s="114">
        <f>Modeloutput!C455</f>
        <v>0</v>
      </c>
      <c r="V95" s="114">
        <f>Modeloutput!D455</f>
        <v>0</v>
      </c>
      <c r="W95" s="114">
        <f>Modeloutput!E455</f>
        <v>0</v>
      </c>
      <c r="X95" s="114">
        <f>Modeloutput!F455</f>
        <v>0</v>
      </c>
      <c r="Y95" s="114">
        <f>Modeloutput!G455</f>
        <v>0</v>
      </c>
      <c r="Z95" s="114">
        <f>Modeloutput!H455</f>
        <v>0</v>
      </c>
      <c r="AA95" s="114">
        <f>Modeloutput!I455</f>
        <v>0</v>
      </c>
      <c r="AB95" s="114">
        <f>Modeloutput!J455</f>
        <v>0</v>
      </c>
      <c r="AC95" s="114">
        <f>Modeloutput!K455</f>
        <v>0</v>
      </c>
      <c r="AD95" s="114">
        <f>Modeloutput!L455</f>
        <v>0</v>
      </c>
      <c r="AE95" s="114">
        <f>Modeloutput!M455</f>
        <v>0</v>
      </c>
      <c r="AF95" s="114">
        <f>Modeloutput!N455</f>
        <v>0</v>
      </c>
      <c r="AG95" s="114">
        <f>Modeloutput!O455</f>
        <v>0</v>
      </c>
      <c r="AH95" s="114">
        <f>Modeloutput!P455</f>
        <v>0</v>
      </c>
      <c r="AI95" s="24"/>
      <c r="AJ95" s="119" t="s">
        <v>10</v>
      </c>
      <c r="AK95" s="93">
        <f>Modeloutput!B710</f>
        <v>0</v>
      </c>
      <c r="AL95" s="93">
        <f>Modeloutput!C710</f>
        <v>0</v>
      </c>
      <c r="AM95" s="93">
        <f>Modeloutput!D710</f>
        <v>0</v>
      </c>
      <c r="AN95" s="93">
        <f>Modeloutput!E710</f>
        <v>0</v>
      </c>
      <c r="AO95" s="93">
        <f>Modeloutput!F710</f>
        <v>0</v>
      </c>
      <c r="AP95" s="93">
        <f>Modeloutput!G710</f>
        <v>0</v>
      </c>
      <c r="AQ95" s="93">
        <f>Modeloutput!H710</f>
        <v>0</v>
      </c>
      <c r="AR95" s="93">
        <f>Modeloutput!I710</f>
        <v>0</v>
      </c>
      <c r="AS95" s="93">
        <f>Modeloutput!J710</f>
        <v>0</v>
      </c>
      <c r="AT95" s="93">
        <f>Modeloutput!K710</f>
        <v>0</v>
      </c>
      <c r="AU95" s="93">
        <f>Modeloutput!L710</f>
        <v>0</v>
      </c>
      <c r="AV95" s="93">
        <f>Modeloutput!M710</f>
        <v>0</v>
      </c>
      <c r="AW95" s="93">
        <f>Modeloutput!N710</f>
        <v>0</v>
      </c>
      <c r="AX95" s="93">
        <f>Modeloutput!O710</f>
        <v>0</v>
      </c>
      <c r="AY95" s="93">
        <f>Modeloutput!P710</f>
        <v>0</v>
      </c>
      <c r="AZ95" s="24"/>
      <c r="BA95" s="119" t="s">
        <v>10</v>
      </c>
      <c r="BB95" s="114">
        <f>Modeloutput!B965</f>
        <v>0</v>
      </c>
      <c r="BC95" s="114">
        <f>Modeloutput!C965</f>
        <v>0</v>
      </c>
      <c r="BD95" s="114">
        <f>Modeloutput!D965</f>
        <v>0</v>
      </c>
      <c r="BE95" s="114">
        <f>Modeloutput!E965</f>
        <v>0</v>
      </c>
      <c r="BF95" s="114">
        <f>Modeloutput!F965</f>
        <v>0</v>
      </c>
      <c r="BG95" s="114">
        <f>Modeloutput!G965</f>
        <v>0</v>
      </c>
      <c r="BH95" s="114">
        <f>Modeloutput!H965</f>
        <v>0</v>
      </c>
      <c r="BI95" s="114">
        <f>Modeloutput!I965</f>
        <v>0</v>
      </c>
      <c r="BJ95" s="114">
        <f>Modeloutput!J965</f>
        <v>0</v>
      </c>
      <c r="BK95" s="114">
        <f>Modeloutput!K965</f>
        <v>0</v>
      </c>
      <c r="BL95" s="114">
        <f>Modeloutput!L965</f>
        <v>0</v>
      </c>
      <c r="BM95" s="114">
        <f>Modeloutput!M965</f>
        <v>0</v>
      </c>
      <c r="BN95" s="114">
        <f>Modeloutput!N965</f>
        <v>0</v>
      </c>
      <c r="BO95" s="114">
        <f>Modeloutput!O965</f>
        <v>0</v>
      </c>
      <c r="BP95" s="114">
        <f>Modeloutput!P965</f>
        <v>0</v>
      </c>
      <c r="BQ95" s="24"/>
      <c r="BR95" s="119" t="s">
        <v>10</v>
      </c>
      <c r="BS95" s="114">
        <f>Modeloutput!B1220</f>
        <v>0</v>
      </c>
      <c r="BT95" s="114">
        <f>Modeloutput!C1220</f>
        <v>0</v>
      </c>
      <c r="BU95" s="114">
        <f>Modeloutput!D1220</f>
        <v>0</v>
      </c>
      <c r="BV95" s="114">
        <f>Modeloutput!E1220</f>
        <v>0</v>
      </c>
      <c r="BW95" s="114">
        <f>Modeloutput!F1220</f>
        <v>0</v>
      </c>
      <c r="BX95" s="114">
        <f>Modeloutput!G1220</f>
        <v>0</v>
      </c>
      <c r="BY95" s="114">
        <f>Modeloutput!H1220</f>
        <v>0</v>
      </c>
      <c r="BZ95" s="114">
        <f>Modeloutput!I1220</f>
        <v>0</v>
      </c>
      <c r="CA95" s="114">
        <f>Modeloutput!J1220</f>
        <v>0</v>
      </c>
      <c r="CB95" s="114">
        <f>Modeloutput!K1220</f>
        <v>0</v>
      </c>
      <c r="CC95" s="114">
        <f>Modeloutput!L1220</f>
        <v>0</v>
      </c>
      <c r="CD95" s="114">
        <f>Modeloutput!M1220</f>
        <v>0</v>
      </c>
      <c r="CE95" s="114">
        <f>Modeloutput!N1220</f>
        <v>0</v>
      </c>
      <c r="CF95" s="114">
        <f>Modeloutput!O1220</f>
        <v>0</v>
      </c>
      <c r="CG95" s="114">
        <f>Modeloutput!P1220</f>
        <v>0</v>
      </c>
    </row>
    <row r="96" spans="1:85" s="7" customFormat="1" x14ac:dyDescent="0.25">
      <c r="B96" s="7" t="s">
        <v>11</v>
      </c>
      <c r="C96" s="114">
        <f>Modeloutput!B201</f>
        <v>0</v>
      </c>
      <c r="D96" s="114">
        <f>Modeloutput!C201</f>
        <v>0</v>
      </c>
      <c r="E96" s="114">
        <f>Modeloutput!D201</f>
        <v>0</v>
      </c>
      <c r="F96" s="114">
        <f>Modeloutput!E201</f>
        <v>0</v>
      </c>
      <c r="G96" s="114">
        <f>Modeloutput!F201</f>
        <v>0</v>
      </c>
      <c r="H96" s="114">
        <f>Modeloutput!G201</f>
        <v>0</v>
      </c>
      <c r="I96" s="114">
        <f>Modeloutput!H201</f>
        <v>0</v>
      </c>
      <c r="J96" s="114">
        <f>Modeloutput!I201</f>
        <v>0</v>
      </c>
      <c r="K96" s="114">
        <f>Modeloutput!J201</f>
        <v>0</v>
      </c>
      <c r="L96" s="114">
        <f>Modeloutput!K201</f>
        <v>0</v>
      </c>
      <c r="M96" s="114">
        <f>Modeloutput!L201</f>
        <v>0</v>
      </c>
      <c r="N96" s="114">
        <f>Modeloutput!M201</f>
        <v>0</v>
      </c>
      <c r="O96" s="114">
        <f>Modeloutput!N201</f>
        <v>0</v>
      </c>
      <c r="P96" s="114">
        <f>Modeloutput!O201</f>
        <v>0</v>
      </c>
      <c r="Q96" s="114">
        <f>Modeloutput!P201</f>
        <v>0</v>
      </c>
      <c r="R96" s="24"/>
      <c r="S96" s="119" t="s">
        <v>11</v>
      </c>
      <c r="T96" s="114">
        <f>Modeloutput!B456</f>
        <v>0</v>
      </c>
      <c r="U96" s="114">
        <f>Modeloutput!C456</f>
        <v>0</v>
      </c>
      <c r="V96" s="114">
        <f>Modeloutput!D456</f>
        <v>0</v>
      </c>
      <c r="W96" s="114">
        <f>Modeloutput!E456</f>
        <v>0</v>
      </c>
      <c r="X96" s="114">
        <f>Modeloutput!F456</f>
        <v>0</v>
      </c>
      <c r="Y96" s="114">
        <f>Modeloutput!G456</f>
        <v>0</v>
      </c>
      <c r="Z96" s="114">
        <f>Modeloutput!H456</f>
        <v>0</v>
      </c>
      <c r="AA96" s="114">
        <f>Modeloutput!I456</f>
        <v>0</v>
      </c>
      <c r="AB96" s="114">
        <f>Modeloutput!J456</f>
        <v>0</v>
      </c>
      <c r="AC96" s="114">
        <f>Modeloutput!K456</f>
        <v>0</v>
      </c>
      <c r="AD96" s="114">
        <f>Modeloutput!L456</f>
        <v>0</v>
      </c>
      <c r="AE96" s="114">
        <f>Modeloutput!M456</f>
        <v>0</v>
      </c>
      <c r="AF96" s="114">
        <f>Modeloutput!N456</f>
        <v>0</v>
      </c>
      <c r="AG96" s="114">
        <f>Modeloutput!O456</f>
        <v>0</v>
      </c>
      <c r="AH96" s="114">
        <f>Modeloutput!P456</f>
        <v>0</v>
      </c>
      <c r="AI96" s="24"/>
      <c r="AJ96" s="119" t="s">
        <v>11</v>
      </c>
      <c r="AK96" s="93">
        <f>Modeloutput!B711</f>
        <v>0</v>
      </c>
      <c r="AL96" s="93">
        <f>Modeloutput!C711</f>
        <v>0</v>
      </c>
      <c r="AM96" s="93">
        <f>Modeloutput!D711</f>
        <v>0</v>
      </c>
      <c r="AN96" s="93">
        <f>Modeloutput!E711</f>
        <v>0</v>
      </c>
      <c r="AO96" s="93">
        <f>Modeloutput!F711</f>
        <v>0</v>
      </c>
      <c r="AP96" s="93">
        <f>Modeloutput!G711</f>
        <v>0</v>
      </c>
      <c r="AQ96" s="93">
        <f>Modeloutput!H711</f>
        <v>0</v>
      </c>
      <c r="AR96" s="93">
        <f>Modeloutput!I711</f>
        <v>0</v>
      </c>
      <c r="AS96" s="93">
        <f>Modeloutput!J711</f>
        <v>0</v>
      </c>
      <c r="AT96" s="93">
        <f>Modeloutput!K711</f>
        <v>0</v>
      </c>
      <c r="AU96" s="93">
        <f>Modeloutput!L711</f>
        <v>0</v>
      </c>
      <c r="AV96" s="93">
        <f>Modeloutput!M711</f>
        <v>0</v>
      </c>
      <c r="AW96" s="93">
        <f>Modeloutput!N711</f>
        <v>0</v>
      </c>
      <c r="AX96" s="93">
        <f>Modeloutput!O711</f>
        <v>0</v>
      </c>
      <c r="AY96" s="93">
        <f>Modeloutput!P711</f>
        <v>0</v>
      </c>
      <c r="AZ96" s="24"/>
      <c r="BA96" s="119" t="s">
        <v>11</v>
      </c>
      <c r="BB96" s="114">
        <f>Modeloutput!B966</f>
        <v>0</v>
      </c>
      <c r="BC96" s="114">
        <f>Modeloutput!C966</f>
        <v>0</v>
      </c>
      <c r="BD96" s="114">
        <f>Modeloutput!D966</f>
        <v>0</v>
      </c>
      <c r="BE96" s="114">
        <f>Modeloutput!E966</f>
        <v>0</v>
      </c>
      <c r="BF96" s="114">
        <f>Modeloutput!F966</f>
        <v>0</v>
      </c>
      <c r="BG96" s="114">
        <f>Modeloutput!G966</f>
        <v>0</v>
      </c>
      <c r="BH96" s="114">
        <f>Modeloutput!H966</f>
        <v>0</v>
      </c>
      <c r="BI96" s="114">
        <f>Modeloutput!I966</f>
        <v>0</v>
      </c>
      <c r="BJ96" s="114">
        <f>Modeloutput!J966</f>
        <v>0</v>
      </c>
      <c r="BK96" s="114">
        <f>Modeloutput!K966</f>
        <v>0</v>
      </c>
      <c r="BL96" s="114">
        <f>Modeloutput!L966</f>
        <v>0</v>
      </c>
      <c r="BM96" s="114">
        <f>Modeloutput!M966</f>
        <v>0</v>
      </c>
      <c r="BN96" s="114">
        <f>Modeloutput!N966</f>
        <v>0</v>
      </c>
      <c r="BO96" s="114">
        <f>Modeloutput!O966</f>
        <v>0</v>
      </c>
      <c r="BP96" s="114">
        <f>Modeloutput!P966</f>
        <v>0</v>
      </c>
      <c r="BQ96" s="24"/>
      <c r="BR96" s="119" t="s">
        <v>11</v>
      </c>
      <c r="BS96" s="114">
        <f>Modeloutput!B1221</f>
        <v>0</v>
      </c>
      <c r="BT96" s="114">
        <f>Modeloutput!C1221</f>
        <v>0</v>
      </c>
      <c r="BU96" s="114">
        <f>Modeloutput!D1221</f>
        <v>0</v>
      </c>
      <c r="BV96" s="114">
        <f>Modeloutput!E1221</f>
        <v>0</v>
      </c>
      <c r="BW96" s="114">
        <f>Modeloutput!F1221</f>
        <v>0</v>
      </c>
      <c r="BX96" s="114">
        <f>Modeloutput!G1221</f>
        <v>0</v>
      </c>
      <c r="BY96" s="114">
        <f>Modeloutput!H1221</f>
        <v>0</v>
      </c>
      <c r="BZ96" s="114">
        <f>Modeloutput!I1221</f>
        <v>0</v>
      </c>
      <c r="CA96" s="114">
        <f>Modeloutput!J1221</f>
        <v>0</v>
      </c>
      <c r="CB96" s="114">
        <f>Modeloutput!K1221</f>
        <v>0</v>
      </c>
      <c r="CC96" s="114">
        <f>Modeloutput!L1221</f>
        <v>0</v>
      </c>
      <c r="CD96" s="114">
        <f>Modeloutput!M1221</f>
        <v>0</v>
      </c>
      <c r="CE96" s="114">
        <f>Modeloutput!N1221</f>
        <v>0</v>
      </c>
      <c r="CF96" s="114">
        <f>Modeloutput!O1221</f>
        <v>0</v>
      </c>
      <c r="CG96" s="114">
        <f>Modeloutput!P1221</f>
        <v>0</v>
      </c>
    </row>
    <row r="97" spans="1:85" s="7" customFormat="1" x14ac:dyDescent="0.25">
      <c r="B97" s="7" t="s">
        <v>12</v>
      </c>
      <c r="C97" s="114">
        <f>Modeloutput!B202</f>
        <v>0</v>
      </c>
      <c r="D97" s="114">
        <f>Modeloutput!C202</f>
        <v>0</v>
      </c>
      <c r="E97" s="114">
        <f>Modeloutput!D202</f>
        <v>0</v>
      </c>
      <c r="F97" s="114">
        <f>Modeloutput!E202</f>
        <v>0</v>
      </c>
      <c r="G97" s="114">
        <f>Modeloutput!F202</f>
        <v>0</v>
      </c>
      <c r="H97" s="114">
        <f>Modeloutput!G202</f>
        <v>0</v>
      </c>
      <c r="I97" s="114">
        <f>Modeloutput!H202</f>
        <v>0</v>
      </c>
      <c r="J97" s="114">
        <f>Modeloutput!I202</f>
        <v>0</v>
      </c>
      <c r="K97" s="114">
        <f>Modeloutput!J202</f>
        <v>0</v>
      </c>
      <c r="L97" s="114">
        <f>Modeloutput!K202</f>
        <v>0</v>
      </c>
      <c r="M97" s="114">
        <f>Modeloutput!L202</f>
        <v>0</v>
      </c>
      <c r="N97" s="114">
        <f>Modeloutput!M202</f>
        <v>0</v>
      </c>
      <c r="O97" s="114">
        <f>Modeloutput!N202</f>
        <v>0</v>
      </c>
      <c r="P97" s="114">
        <f>Modeloutput!O202</f>
        <v>0</v>
      </c>
      <c r="Q97" s="114">
        <f>Modeloutput!P202</f>
        <v>0</v>
      </c>
      <c r="R97" s="24"/>
      <c r="S97" s="119" t="s">
        <v>12</v>
      </c>
      <c r="T97" s="114">
        <f>Modeloutput!B457</f>
        <v>0</v>
      </c>
      <c r="U97" s="114">
        <f>Modeloutput!C457</f>
        <v>0</v>
      </c>
      <c r="V97" s="114">
        <f>Modeloutput!D457</f>
        <v>0</v>
      </c>
      <c r="W97" s="114">
        <f>Modeloutput!E457</f>
        <v>0</v>
      </c>
      <c r="X97" s="114">
        <f>Modeloutput!F457</f>
        <v>0</v>
      </c>
      <c r="Y97" s="114">
        <f>Modeloutput!G457</f>
        <v>0</v>
      </c>
      <c r="Z97" s="114">
        <f>Modeloutput!H457</f>
        <v>0</v>
      </c>
      <c r="AA97" s="114">
        <f>Modeloutput!I457</f>
        <v>0</v>
      </c>
      <c r="AB97" s="114">
        <f>Modeloutput!J457</f>
        <v>0</v>
      </c>
      <c r="AC97" s="114">
        <f>Modeloutput!K457</f>
        <v>0</v>
      </c>
      <c r="AD97" s="114">
        <f>Modeloutput!L457</f>
        <v>0</v>
      </c>
      <c r="AE97" s="114">
        <f>Modeloutput!M457</f>
        <v>0</v>
      </c>
      <c r="AF97" s="114">
        <f>Modeloutput!N457</f>
        <v>0</v>
      </c>
      <c r="AG97" s="114">
        <f>Modeloutput!O457</f>
        <v>0</v>
      </c>
      <c r="AH97" s="114">
        <f>Modeloutput!P457</f>
        <v>0</v>
      </c>
      <c r="AI97" s="24"/>
      <c r="AJ97" s="119" t="s">
        <v>12</v>
      </c>
      <c r="AK97" s="93">
        <f>Modeloutput!B712</f>
        <v>0</v>
      </c>
      <c r="AL97" s="93">
        <f>Modeloutput!C712</f>
        <v>0</v>
      </c>
      <c r="AM97" s="93">
        <f>Modeloutput!D712</f>
        <v>0</v>
      </c>
      <c r="AN97" s="93">
        <f>Modeloutput!E712</f>
        <v>0</v>
      </c>
      <c r="AO97" s="93">
        <f>Modeloutput!F712</f>
        <v>0</v>
      </c>
      <c r="AP97" s="93">
        <f>Modeloutput!G712</f>
        <v>0</v>
      </c>
      <c r="AQ97" s="93">
        <f>Modeloutput!H712</f>
        <v>0</v>
      </c>
      <c r="AR97" s="93">
        <f>Modeloutput!I712</f>
        <v>0</v>
      </c>
      <c r="AS97" s="93">
        <f>Modeloutput!J712</f>
        <v>0</v>
      </c>
      <c r="AT97" s="93">
        <f>Modeloutput!K712</f>
        <v>0</v>
      </c>
      <c r="AU97" s="93">
        <f>Modeloutput!L712</f>
        <v>0</v>
      </c>
      <c r="AV97" s="93">
        <f>Modeloutput!M712</f>
        <v>0</v>
      </c>
      <c r="AW97" s="93">
        <f>Modeloutput!N712</f>
        <v>0</v>
      </c>
      <c r="AX97" s="93">
        <f>Modeloutput!O712</f>
        <v>0</v>
      </c>
      <c r="AY97" s="93">
        <f>Modeloutput!P712</f>
        <v>0</v>
      </c>
      <c r="AZ97" s="24"/>
      <c r="BA97" s="119" t="s">
        <v>12</v>
      </c>
      <c r="BB97" s="114">
        <f>Modeloutput!B967</f>
        <v>0</v>
      </c>
      <c r="BC97" s="114">
        <f>Modeloutput!C967</f>
        <v>0</v>
      </c>
      <c r="BD97" s="114">
        <f>Modeloutput!D967</f>
        <v>0</v>
      </c>
      <c r="BE97" s="114">
        <f>Modeloutput!E967</f>
        <v>0</v>
      </c>
      <c r="BF97" s="114">
        <f>Modeloutput!F967</f>
        <v>0</v>
      </c>
      <c r="BG97" s="114">
        <f>Modeloutput!G967</f>
        <v>0</v>
      </c>
      <c r="BH97" s="114">
        <f>Modeloutput!H967</f>
        <v>0</v>
      </c>
      <c r="BI97" s="114">
        <f>Modeloutput!I967</f>
        <v>0</v>
      </c>
      <c r="BJ97" s="114">
        <f>Modeloutput!J967</f>
        <v>0</v>
      </c>
      <c r="BK97" s="114">
        <f>Modeloutput!K967</f>
        <v>0</v>
      </c>
      <c r="BL97" s="114">
        <f>Modeloutput!L967</f>
        <v>0</v>
      </c>
      <c r="BM97" s="114">
        <f>Modeloutput!M967</f>
        <v>0</v>
      </c>
      <c r="BN97" s="114">
        <f>Modeloutput!N967</f>
        <v>0</v>
      </c>
      <c r="BO97" s="114">
        <f>Modeloutput!O967</f>
        <v>0</v>
      </c>
      <c r="BP97" s="114">
        <f>Modeloutput!P967</f>
        <v>0</v>
      </c>
      <c r="BQ97" s="24"/>
      <c r="BR97" s="119" t="s">
        <v>12</v>
      </c>
      <c r="BS97" s="114">
        <f>Modeloutput!B1222</f>
        <v>0</v>
      </c>
      <c r="BT97" s="114">
        <f>Modeloutput!C1222</f>
        <v>0</v>
      </c>
      <c r="BU97" s="114">
        <f>Modeloutput!D1222</f>
        <v>0</v>
      </c>
      <c r="BV97" s="114">
        <f>Modeloutput!E1222</f>
        <v>0</v>
      </c>
      <c r="BW97" s="114">
        <f>Modeloutput!F1222</f>
        <v>0</v>
      </c>
      <c r="BX97" s="114">
        <f>Modeloutput!G1222</f>
        <v>0</v>
      </c>
      <c r="BY97" s="114">
        <f>Modeloutput!H1222</f>
        <v>0</v>
      </c>
      <c r="BZ97" s="114">
        <f>Modeloutput!I1222</f>
        <v>0</v>
      </c>
      <c r="CA97" s="114">
        <f>Modeloutput!J1222</f>
        <v>0</v>
      </c>
      <c r="CB97" s="114">
        <f>Modeloutput!K1222</f>
        <v>0</v>
      </c>
      <c r="CC97" s="114">
        <f>Modeloutput!L1222</f>
        <v>0</v>
      </c>
      <c r="CD97" s="114">
        <f>Modeloutput!M1222</f>
        <v>0</v>
      </c>
      <c r="CE97" s="114">
        <f>Modeloutput!N1222</f>
        <v>0</v>
      </c>
      <c r="CF97" s="114">
        <f>Modeloutput!O1222</f>
        <v>0</v>
      </c>
      <c r="CG97" s="114">
        <f>Modeloutput!P1222</f>
        <v>0</v>
      </c>
    </row>
    <row r="98" spans="1:85" s="7" customFormat="1" x14ac:dyDescent="0.25">
      <c r="B98" s="7" t="s">
        <v>13</v>
      </c>
      <c r="C98" s="114">
        <f>Modeloutput!B203</f>
        <v>0</v>
      </c>
      <c r="D98" s="114">
        <f>Modeloutput!C203</f>
        <v>0</v>
      </c>
      <c r="E98" s="114">
        <f>Modeloutput!D203</f>
        <v>0</v>
      </c>
      <c r="F98" s="114">
        <f>Modeloutput!E203</f>
        <v>0</v>
      </c>
      <c r="G98" s="114">
        <f>Modeloutput!F203</f>
        <v>0</v>
      </c>
      <c r="H98" s="114">
        <f>Modeloutput!G203</f>
        <v>0</v>
      </c>
      <c r="I98" s="114">
        <f>Modeloutput!H203</f>
        <v>0</v>
      </c>
      <c r="J98" s="114">
        <f>Modeloutput!I203</f>
        <v>0</v>
      </c>
      <c r="K98" s="114">
        <f>Modeloutput!J203</f>
        <v>0</v>
      </c>
      <c r="L98" s="114">
        <f>Modeloutput!K203</f>
        <v>0</v>
      </c>
      <c r="M98" s="114">
        <f>Modeloutput!L203</f>
        <v>0</v>
      </c>
      <c r="N98" s="114">
        <f>Modeloutput!M203</f>
        <v>0</v>
      </c>
      <c r="O98" s="114">
        <f>Modeloutput!N203</f>
        <v>0</v>
      </c>
      <c r="P98" s="114">
        <f>Modeloutput!O203</f>
        <v>0</v>
      </c>
      <c r="Q98" s="114">
        <f>Modeloutput!P203</f>
        <v>0</v>
      </c>
      <c r="R98" s="24"/>
      <c r="S98" s="119" t="s">
        <v>13</v>
      </c>
      <c r="T98" s="114">
        <f>Modeloutput!B458</f>
        <v>0</v>
      </c>
      <c r="U98" s="114">
        <f>Modeloutput!C458</f>
        <v>0</v>
      </c>
      <c r="V98" s="114">
        <f>Modeloutput!D458</f>
        <v>0</v>
      </c>
      <c r="W98" s="114">
        <f>Modeloutput!E458</f>
        <v>0</v>
      </c>
      <c r="X98" s="114">
        <f>Modeloutput!F458</f>
        <v>0</v>
      </c>
      <c r="Y98" s="114">
        <f>Modeloutput!G458</f>
        <v>0</v>
      </c>
      <c r="Z98" s="114">
        <f>Modeloutput!H458</f>
        <v>0</v>
      </c>
      <c r="AA98" s="114">
        <f>Modeloutput!I458</f>
        <v>0</v>
      </c>
      <c r="AB98" s="114">
        <f>Modeloutput!J458</f>
        <v>0</v>
      </c>
      <c r="AC98" s="114">
        <f>Modeloutput!K458</f>
        <v>0</v>
      </c>
      <c r="AD98" s="114">
        <f>Modeloutput!L458</f>
        <v>0</v>
      </c>
      <c r="AE98" s="114">
        <f>Modeloutput!M458</f>
        <v>0</v>
      </c>
      <c r="AF98" s="114">
        <f>Modeloutput!N458</f>
        <v>0</v>
      </c>
      <c r="AG98" s="114">
        <f>Modeloutput!O458</f>
        <v>0</v>
      </c>
      <c r="AH98" s="114">
        <f>Modeloutput!P458</f>
        <v>0</v>
      </c>
      <c r="AI98" s="24"/>
      <c r="AJ98" s="119" t="s">
        <v>13</v>
      </c>
      <c r="AK98" s="93">
        <f>Modeloutput!B713</f>
        <v>0</v>
      </c>
      <c r="AL98" s="93">
        <f>Modeloutput!C713</f>
        <v>0</v>
      </c>
      <c r="AM98" s="93">
        <f>Modeloutput!D713</f>
        <v>0</v>
      </c>
      <c r="AN98" s="93">
        <f>Modeloutput!E713</f>
        <v>0</v>
      </c>
      <c r="AO98" s="93">
        <f>Modeloutput!F713</f>
        <v>0</v>
      </c>
      <c r="AP98" s="93">
        <f>Modeloutput!G713</f>
        <v>0</v>
      </c>
      <c r="AQ98" s="93">
        <f>Modeloutput!H713</f>
        <v>0</v>
      </c>
      <c r="AR98" s="93">
        <f>Modeloutput!I713</f>
        <v>0</v>
      </c>
      <c r="AS98" s="93">
        <f>Modeloutput!J713</f>
        <v>0</v>
      </c>
      <c r="AT98" s="93">
        <f>Modeloutput!K713</f>
        <v>0</v>
      </c>
      <c r="AU98" s="93">
        <f>Modeloutput!L713</f>
        <v>0</v>
      </c>
      <c r="AV98" s="93">
        <f>Modeloutput!M713</f>
        <v>0</v>
      </c>
      <c r="AW98" s="93">
        <f>Modeloutput!N713</f>
        <v>0</v>
      </c>
      <c r="AX98" s="93">
        <f>Modeloutput!O713</f>
        <v>0</v>
      </c>
      <c r="AY98" s="93">
        <f>Modeloutput!P713</f>
        <v>0</v>
      </c>
      <c r="AZ98" s="24"/>
      <c r="BA98" s="119" t="s">
        <v>13</v>
      </c>
      <c r="BB98" s="114">
        <f>Modeloutput!B968</f>
        <v>0</v>
      </c>
      <c r="BC98" s="114">
        <f>Modeloutput!C968</f>
        <v>0</v>
      </c>
      <c r="BD98" s="114">
        <f>Modeloutput!D968</f>
        <v>0</v>
      </c>
      <c r="BE98" s="114">
        <f>Modeloutput!E968</f>
        <v>0</v>
      </c>
      <c r="BF98" s="114">
        <f>Modeloutput!F968</f>
        <v>0</v>
      </c>
      <c r="BG98" s="114">
        <f>Modeloutput!G968</f>
        <v>0</v>
      </c>
      <c r="BH98" s="114">
        <f>Modeloutput!H968</f>
        <v>0</v>
      </c>
      <c r="BI98" s="114">
        <f>Modeloutput!I968</f>
        <v>0</v>
      </c>
      <c r="BJ98" s="114">
        <f>Modeloutput!J968</f>
        <v>0</v>
      </c>
      <c r="BK98" s="114">
        <f>Modeloutput!K968</f>
        <v>0</v>
      </c>
      <c r="BL98" s="114">
        <f>Modeloutput!L968</f>
        <v>0</v>
      </c>
      <c r="BM98" s="114">
        <f>Modeloutput!M968</f>
        <v>0</v>
      </c>
      <c r="BN98" s="114">
        <f>Modeloutput!N968</f>
        <v>0</v>
      </c>
      <c r="BO98" s="114">
        <f>Modeloutput!O968</f>
        <v>0</v>
      </c>
      <c r="BP98" s="114">
        <f>Modeloutput!P968</f>
        <v>0</v>
      </c>
      <c r="BQ98" s="24"/>
      <c r="BR98" s="119" t="s">
        <v>13</v>
      </c>
      <c r="BS98" s="114">
        <f>Modeloutput!B1223</f>
        <v>0</v>
      </c>
      <c r="BT98" s="114">
        <f>Modeloutput!C1223</f>
        <v>0</v>
      </c>
      <c r="BU98" s="114">
        <f>Modeloutput!D1223</f>
        <v>0</v>
      </c>
      <c r="BV98" s="114">
        <f>Modeloutput!E1223</f>
        <v>0</v>
      </c>
      <c r="BW98" s="114">
        <f>Modeloutput!F1223</f>
        <v>0</v>
      </c>
      <c r="BX98" s="114">
        <f>Modeloutput!G1223</f>
        <v>0</v>
      </c>
      <c r="BY98" s="114">
        <f>Modeloutput!H1223</f>
        <v>0</v>
      </c>
      <c r="BZ98" s="114">
        <f>Modeloutput!I1223</f>
        <v>0</v>
      </c>
      <c r="CA98" s="114">
        <f>Modeloutput!J1223</f>
        <v>0</v>
      </c>
      <c r="CB98" s="114">
        <f>Modeloutput!K1223</f>
        <v>0</v>
      </c>
      <c r="CC98" s="114">
        <f>Modeloutput!L1223</f>
        <v>0</v>
      </c>
      <c r="CD98" s="114">
        <f>Modeloutput!M1223</f>
        <v>0</v>
      </c>
      <c r="CE98" s="114">
        <f>Modeloutput!N1223</f>
        <v>0</v>
      </c>
      <c r="CF98" s="114">
        <f>Modeloutput!O1223</f>
        <v>0</v>
      </c>
      <c r="CG98" s="114">
        <f>Modeloutput!P1223</f>
        <v>0</v>
      </c>
    </row>
    <row r="99" spans="1:85" s="7" customFormat="1" x14ac:dyDescent="0.25">
      <c r="B99" s="7" t="s">
        <v>14</v>
      </c>
      <c r="C99" s="114">
        <f>Modeloutput!B204</f>
        <v>0</v>
      </c>
      <c r="D99" s="114">
        <f>Modeloutput!C204</f>
        <v>0</v>
      </c>
      <c r="E99" s="114">
        <f>Modeloutput!D204</f>
        <v>0</v>
      </c>
      <c r="F99" s="114">
        <f>Modeloutput!E204</f>
        <v>0</v>
      </c>
      <c r="G99" s="114">
        <f>Modeloutput!F204</f>
        <v>0</v>
      </c>
      <c r="H99" s="114">
        <f>Modeloutput!G204</f>
        <v>0</v>
      </c>
      <c r="I99" s="114">
        <f>Modeloutput!H204</f>
        <v>0</v>
      </c>
      <c r="J99" s="114">
        <f>Modeloutput!I204</f>
        <v>0</v>
      </c>
      <c r="K99" s="114">
        <f>Modeloutput!J204</f>
        <v>0</v>
      </c>
      <c r="L99" s="114">
        <f>Modeloutput!K204</f>
        <v>0</v>
      </c>
      <c r="M99" s="114">
        <f>Modeloutput!L204</f>
        <v>0</v>
      </c>
      <c r="N99" s="114">
        <f>Modeloutput!M204</f>
        <v>0</v>
      </c>
      <c r="O99" s="114">
        <f>Modeloutput!N204</f>
        <v>0</v>
      </c>
      <c r="P99" s="114">
        <f>Modeloutput!O204</f>
        <v>0</v>
      </c>
      <c r="Q99" s="114">
        <f>Modeloutput!P204</f>
        <v>0</v>
      </c>
      <c r="R99" s="24"/>
      <c r="S99" s="119" t="s">
        <v>14</v>
      </c>
      <c r="T99" s="114">
        <f>Modeloutput!B459</f>
        <v>0</v>
      </c>
      <c r="U99" s="114">
        <f>Modeloutput!C459</f>
        <v>0</v>
      </c>
      <c r="V99" s="114">
        <f>Modeloutput!D459</f>
        <v>0</v>
      </c>
      <c r="W99" s="114">
        <f>Modeloutput!E459</f>
        <v>0</v>
      </c>
      <c r="X99" s="114">
        <f>Modeloutput!F459</f>
        <v>0</v>
      </c>
      <c r="Y99" s="114">
        <f>Modeloutput!G459</f>
        <v>0</v>
      </c>
      <c r="Z99" s="114">
        <f>Modeloutput!H459</f>
        <v>0</v>
      </c>
      <c r="AA99" s="114">
        <f>Modeloutput!I459</f>
        <v>0</v>
      </c>
      <c r="AB99" s="114">
        <f>Modeloutput!J459</f>
        <v>0</v>
      </c>
      <c r="AC99" s="114">
        <f>Modeloutput!K459</f>
        <v>0</v>
      </c>
      <c r="AD99" s="114">
        <f>Modeloutput!L459</f>
        <v>0</v>
      </c>
      <c r="AE99" s="114">
        <f>Modeloutput!M459</f>
        <v>0</v>
      </c>
      <c r="AF99" s="114">
        <f>Modeloutput!N459</f>
        <v>0</v>
      </c>
      <c r="AG99" s="114">
        <f>Modeloutput!O459</f>
        <v>0</v>
      </c>
      <c r="AH99" s="114">
        <f>Modeloutput!P459</f>
        <v>0</v>
      </c>
      <c r="AI99" s="24"/>
      <c r="AJ99" s="119" t="s">
        <v>14</v>
      </c>
      <c r="AK99" s="93">
        <f>Modeloutput!B714</f>
        <v>0</v>
      </c>
      <c r="AL99" s="93">
        <f>Modeloutput!C714</f>
        <v>0</v>
      </c>
      <c r="AM99" s="93">
        <f>Modeloutput!D714</f>
        <v>0</v>
      </c>
      <c r="AN99" s="93">
        <f>Modeloutput!E714</f>
        <v>0</v>
      </c>
      <c r="AO99" s="93">
        <f>Modeloutput!F714</f>
        <v>0</v>
      </c>
      <c r="AP99" s="93">
        <f>Modeloutput!G714</f>
        <v>0</v>
      </c>
      <c r="AQ99" s="93">
        <f>Modeloutput!H714</f>
        <v>0</v>
      </c>
      <c r="AR99" s="93">
        <f>Modeloutput!I714</f>
        <v>0</v>
      </c>
      <c r="AS99" s="93">
        <f>Modeloutput!J714</f>
        <v>0</v>
      </c>
      <c r="AT99" s="93">
        <f>Modeloutput!K714</f>
        <v>0</v>
      </c>
      <c r="AU99" s="93">
        <f>Modeloutput!L714</f>
        <v>0</v>
      </c>
      <c r="AV99" s="93">
        <f>Modeloutput!M714</f>
        <v>0</v>
      </c>
      <c r="AW99" s="93">
        <f>Modeloutput!N714</f>
        <v>0</v>
      </c>
      <c r="AX99" s="93">
        <f>Modeloutput!O714</f>
        <v>0</v>
      </c>
      <c r="AY99" s="93">
        <f>Modeloutput!P714</f>
        <v>0</v>
      </c>
      <c r="AZ99" s="24"/>
      <c r="BA99" s="119" t="s">
        <v>14</v>
      </c>
      <c r="BB99" s="114">
        <f>Modeloutput!B969</f>
        <v>0</v>
      </c>
      <c r="BC99" s="114">
        <f>Modeloutput!C969</f>
        <v>0</v>
      </c>
      <c r="BD99" s="114">
        <f>Modeloutput!D969</f>
        <v>0</v>
      </c>
      <c r="BE99" s="114">
        <f>Modeloutput!E969</f>
        <v>0</v>
      </c>
      <c r="BF99" s="114">
        <f>Modeloutput!F969</f>
        <v>0</v>
      </c>
      <c r="BG99" s="114">
        <f>Modeloutput!G969</f>
        <v>0</v>
      </c>
      <c r="BH99" s="114">
        <f>Modeloutput!H969</f>
        <v>0</v>
      </c>
      <c r="BI99" s="114">
        <f>Modeloutput!I969</f>
        <v>0</v>
      </c>
      <c r="BJ99" s="114">
        <f>Modeloutput!J969</f>
        <v>0</v>
      </c>
      <c r="BK99" s="114">
        <f>Modeloutput!K969</f>
        <v>0</v>
      </c>
      <c r="BL99" s="114">
        <f>Modeloutput!L969</f>
        <v>0</v>
      </c>
      <c r="BM99" s="114">
        <f>Modeloutput!M969</f>
        <v>0</v>
      </c>
      <c r="BN99" s="114">
        <f>Modeloutput!N969</f>
        <v>0</v>
      </c>
      <c r="BO99" s="114">
        <f>Modeloutput!O969</f>
        <v>0</v>
      </c>
      <c r="BP99" s="114">
        <f>Modeloutput!P969</f>
        <v>0</v>
      </c>
      <c r="BQ99" s="24"/>
      <c r="BR99" s="119" t="s">
        <v>14</v>
      </c>
      <c r="BS99" s="114">
        <f>Modeloutput!B1224</f>
        <v>0</v>
      </c>
      <c r="BT99" s="114">
        <f>Modeloutput!C1224</f>
        <v>0</v>
      </c>
      <c r="BU99" s="114">
        <f>Modeloutput!D1224</f>
        <v>0</v>
      </c>
      <c r="BV99" s="114">
        <f>Modeloutput!E1224</f>
        <v>0</v>
      </c>
      <c r="BW99" s="114">
        <f>Modeloutput!F1224</f>
        <v>0</v>
      </c>
      <c r="BX99" s="114">
        <f>Modeloutput!G1224</f>
        <v>0</v>
      </c>
      <c r="BY99" s="114">
        <f>Modeloutput!H1224</f>
        <v>0</v>
      </c>
      <c r="BZ99" s="114">
        <f>Modeloutput!I1224</f>
        <v>0</v>
      </c>
      <c r="CA99" s="114">
        <f>Modeloutput!J1224</f>
        <v>0</v>
      </c>
      <c r="CB99" s="114">
        <f>Modeloutput!K1224</f>
        <v>0</v>
      </c>
      <c r="CC99" s="114">
        <f>Modeloutput!L1224</f>
        <v>0</v>
      </c>
      <c r="CD99" s="114">
        <f>Modeloutput!M1224</f>
        <v>0</v>
      </c>
      <c r="CE99" s="114">
        <f>Modeloutput!N1224</f>
        <v>0</v>
      </c>
      <c r="CF99" s="114">
        <f>Modeloutput!O1224</f>
        <v>0</v>
      </c>
      <c r="CG99" s="114">
        <f>Modeloutput!P1224</f>
        <v>0</v>
      </c>
    </row>
    <row r="100" spans="1:85" s="7" customFormat="1" x14ac:dyDescent="0.25">
      <c r="B100" s="28" t="s">
        <v>18</v>
      </c>
      <c r="C100" s="115">
        <f t="shared" ref="C100:Q100" si="15">SUM(C86:C99)</f>
        <v>12.705533284000001</v>
      </c>
      <c r="D100" s="115">
        <f t="shared" si="15"/>
        <v>3.3490072296000002</v>
      </c>
      <c r="E100" s="115">
        <f t="shared" si="15"/>
        <v>9.3565260560000016</v>
      </c>
      <c r="F100" s="115">
        <f t="shared" si="15"/>
        <v>5.6102962200000004</v>
      </c>
      <c r="G100" s="115">
        <f t="shared" si="15"/>
        <v>0.57367243484999997</v>
      </c>
      <c r="H100" s="115">
        <f t="shared" si="15"/>
        <v>3.0763286755000001</v>
      </c>
      <c r="I100" s="115">
        <f t="shared" si="15"/>
        <v>9.6228739379999997E-2</v>
      </c>
      <c r="J100" s="115">
        <f t="shared" si="15"/>
        <v>0</v>
      </c>
      <c r="K100" s="115">
        <f t="shared" si="15"/>
        <v>0</v>
      </c>
      <c r="L100" s="115">
        <f t="shared" si="15"/>
        <v>3.265897029</v>
      </c>
      <c r="M100" s="115">
        <f t="shared" si="15"/>
        <v>0</v>
      </c>
      <c r="N100" s="115">
        <f t="shared" si="15"/>
        <v>8.3110199600000004E-2</v>
      </c>
      <c r="O100" s="115">
        <f t="shared" si="15"/>
        <v>0</v>
      </c>
      <c r="P100" s="115">
        <f t="shared" si="15"/>
        <v>0</v>
      </c>
      <c r="Q100" s="115">
        <f t="shared" si="15"/>
        <v>0</v>
      </c>
      <c r="R100" s="24"/>
      <c r="S100" s="120" t="s">
        <v>18</v>
      </c>
      <c r="T100" s="115">
        <f t="shared" ref="T100:AH100" si="16">SUM(T86:T99)</f>
        <v>9.9865646050000016</v>
      </c>
      <c r="U100" s="115">
        <f t="shared" si="16"/>
        <v>2.0892982541</v>
      </c>
      <c r="V100" s="115">
        <f t="shared" si="16"/>
        <v>7.8972663500000007</v>
      </c>
      <c r="W100" s="115">
        <f t="shared" si="16"/>
        <v>4.9804839799999998</v>
      </c>
      <c r="X100" s="115">
        <f t="shared" si="16"/>
        <v>0.57382408799999995</v>
      </c>
      <c r="Y100" s="115">
        <f t="shared" si="16"/>
        <v>2.2467216750999999</v>
      </c>
      <c r="Z100" s="115">
        <f t="shared" si="16"/>
        <v>9.6236615920000004E-2</v>
      </c>
      <c r="AA100" s="115">
        <f t="shared" si="16"/>
        <v>0</v>
      </c>
      <c r="AB100" s="115">
        <f t="shared" si="16"/>
        <v>0</v>
      </c>
      <c r="AC100" s="115">
        <f t="shared" si="16"/>
        <v>2.0076889910000002</v>
      </c>
      <c r="AD100" s="115">
        <f t="shared" si="16"/>
        <v>0</v>
      </c>
      <c r="AE100" s="115">
        <f t="shared" si="16"/>
        <v>8.1609264099999995E-2</v>
      </c>
      <c r="AF100" s="115">
        <f t="shared" si="16"/>
        <v>0</v>
      </c>
      <c r="AG100" s="115">
        <f t="shared" si="16"/>
        <v>0</v>
      </c>
      <c r="AH100" s="115">
        <f t="shared" si="16"/>
        <v>0</v>
      </c>
      <c r="AI100" s="24"/>
      <c r="AJ100" s="120" t="s">
        <v>18</v>
      </c>
      <c r="AK100" s="100">
        <f t="shared" ref="AK100:AY100" si="17">SUM(AK86:AK99)</f>
        <v>8.263305861000001</v>
      </c>
      <c r="AL100" s="100">
        <f t="shared" si="17"/>
        <v>2.0762954279999999</v>
      </c>
      <c r="AM100" s="100">
        <f t="shared" si="17"/>
        <v>6.1870104369999996</v>
      </c>
      <c r="AN100" s="100">
        <f t="shared" si="17"/>
        <v>3.6804846480000002</v>
      </c>
      <c r="AO100" s="100">
        <f t="shared" si="17"/>
        <v>0.57346280470999988</v>
      </c>
      <c r="AP100" s="100">
        <f t="shared" si="17"/>
        <v>1.8371032673000001</v>
      </c>
      <c r="AQ100" s="100">
        <f t="shared" si="17"/>
        <v>9.5959721019999999E-2</v>
      </c>
      <c r="AR100" s="100">
        <f t="shared" si="17"/>
        <v>0</v>
      </c>
      <c r="AS100" s="100">
        <f t="shared" si="17"/>
        <v>0</v>
      </c>
      <c r="AT100" s="100">
        <f t="shared" si="17"/>
        <v>1.398074577</v>
      </c>
      <c r="AU100" s="100">
        <f t="shared" si="17"/>
        <v>0</v>
      </c>
      <c r="AV100" s="100">
        <f t="shared" si="17"/>
        <v>0.67822084800000004</v>
      </c>
      <c r="AW100" s="100">
        <f t="shared" si="17"/>
        <v>0</v>
      </c>
      <c r="AX100" s="100">
        <f t="shared" si="17"/>
        <v>0</v>
      </c>
      <c r="AY100" s="100">
        <f t="shared" si="17"/>
        <v>0</v>
      </c>
      <c r="AZ100" s="24"/>
      <c r="BA100" s="120" t="s">
        <v>18</v>
      </c>
      <c r="BB100" s="115">
        <f t="shared" ref="BB100:BP100" si="18">SUM(BB86:BB99)</f>
        <v>8.3235635499999994</v>
      </c>
      <c r="BC100" s="115">
        <f t="shared" si="18"/>
        <v>2.7315891899999998</v>
      </c>
      <c r="BD100" s="115">
        <f t="shared" si="18"/>
        <v>5.59197436</v>
      </c>
      <c r="BE100" s="115">
        <f t="shared" si="18"/>
        <v>2.92166119</v>
      </c>
      <c r="BF100" s="115">
        <f t="shared" si="18"/>
        <v>0.43838272899999997</v>
      </c>
      <c r="BG100" s="115">
        <f t="shared" si="18"/>
        <v>2.1403573319999998</v>
      </c>
      <c r="BH100" s="115">
        <f t="shared" si="18"/>
        <v>9.1573109400000005E-2</v>
      </c>
      <c r="BI100" s="115">
        <f t="shared" si="18"/>
        <v>0</v>
      </c>
      <c r="BJ100" s="115">
        <f t="shared" si="18"/>
        <v>0</v>
      </c>
      <c r="BK100" s="115">
        <f t="shared" si="18"/>
        <v>2.7315891899999998</v>
      </c>
      <c r="BL100" s="115">
        <f t="shared" si="18"/>
        <v>0</v>
      </c>
      <c r="BM100" s="115">
        <f t="shared" si="18"/>
        <v>0</v>
      </c>
      <c r="BN100" s="115">
        <f t="shared" si="18"/>
        <v>0</v>
      </c>
      <c r="BO100" s="115">
        <f t="shared" si="18"/>
        <v>0</v>
      </c>
      <c r="BP100" s="115">
        <f t="shared" si="18"/>
        <v>0</v>
      </c>
      <c r="BQ100" s="24"/>
      <c r="BR100" s="120" t="s">
        <v>18</v>
      </c>
      <c r="BS100" s="115">
        <f t="shared" ref="BS100:CG100" si="19">SUM(BS86:BS99)</f>
        <v>13.531627583559999</v>
      </c>
      <c r="BT100" s="115">
        <f t="shared" si="19"/>
        <v>5.8496372638810001</v>
      </c>
      <c r="BU100" s="115">
        <f t="shared" si="19"/>
        <v>7.6819903236799991</v>
      </c>
      <c r="BV100" s="115">
        <f t="shared" si="19"/>
        <v>4.7498107713</v>
      </c>
      <c r="BW100" s="115">
        <f t="shared" si="19"/>
        <v>0.57286513092199998</v>
      </c>
      <c r="BX100" s="115">
        <f t="shared" si="19"/>
        <v>2.2547269193789998</v>
      </c>
      <c r="BY100" s="115">
        <f t="shared" si="19"/>
        <v>0.10458750382900002</v>
      </c>
      <c r="BZ100" s="115">
        <f t="shared" si="19"/>
        <v>0</v>
      </c>
      <c r="CA100" s="115">
        <f t="shared" si="19"/>
        <v>0</v>
      </c>
      <c r="CB100" s="115">
        <f t="shared" si="19"/>
        <v>3.9967631209999999</v>
      </c>
      <c r="CC100" s="115">
        <f t="shared" si="19"/>
        <v>1.852134145</v>
      </c>
      <c r="CD100" s="115">
        <f t="shared" si="19"/>
        <v>7.3999388100000005E-4</v>
      </c>
      <c r="CE100" s="115">
        <f t="shared" si="19"/>
        <v>0</v>
      </c>
      <c r="CF100" s="115">
        <f t="shared" si="19"/>
        <v>0</v>
      </c>
      <c r="CG100" s="115">
        <f t="shared" si="19"/>
        <v>0</v>
      </c>
    </row>
    <row r="101" spans="1:85" s="7" customFormat="1" x14ac:dyDescent="0.25">
      <c r="C101" s="114"/>
      <c r="D101" s="114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24"/>
      <c r="S101" s="11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24"/>
      <c r="AJ101" s="119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24"/>
      <c r="BA101" s="119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24"/>
      <c r="BR101" s="119"/>
      <c r="BS101" s="114"/>
      <c r="BT101" s="114"/>
      <c r="BU101" s="114"/>
      <c r="BV101" s="114"/>
      <c r="BW101" s="114"/>
      <c r="BX101" s="114"/>
      <c r="BY101" s="114"/>
      <c r="BZ101" s="114"/>
      <c r="CA101" s="114"/>
      <c r="CB101" s="114"/>
      <c r="CC101" s="114"/>
      <c r="CD101" s="114"/>
      <c r="CE101" s="114"/>
      <c r="CF101" s="114"/>
      <c r="CG101" s="114"/>
    </row>
    <row r="102" spans="1:85" s="7" customFormat="1" x14ac:dyDescent="0.25">
      <c r="B102" s="21" t="s">
        <v>3</v>
      </c>
      <c r="C102" s="121">
        <f>SUM(F88:K88)</f>
        <v>3.52601468743</v>
      </c>
      <c r="D102" s="114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24"/>
      <c r="S102" s="121" t="s">
        <v>3</v>
      </c>
      <c r="T102" s="121">
        <f>SUM(W88:AB88)</f>
        <v>3.0595844129200001</v>
      </c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24"/>
      <c r="AJ102" s="121" t="s">
        <v>3</v>
      </c>
      <c r="AK102" s="86">
        <f>SUM(AN88:AS88)</f>
        <v>0.44809969522999998</v>
      </c>
      <c r="AL102" s="93"/>
      <c r="AM102" s="93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24"/>
      <c r="BA102" s="121" t="s">
        <v>3</v>
      </c>
      <c r="BB102" s="121">
        <f>SUM(BE88:BJ88)</f>
        <v>0</v>
      </c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24"/>
      <c r="BR102" s="121" t="s">
        <v>3</v>
      </c>
      <c r="BS102" s="121">
        <f>SUM(BV88:CA88)</f>
        <v>1.2338742767E-2</v>
      </c>
      <c r="BT102" s="114"/>
      <c r="BU102" s="114"/>
      <c r="BV102" s="114"/>
      <c r="BW102" s="114"/>
      <c r="BX102" s="114"/>
      <c r="BY102" s="114"/>
      <c r="BZ102" s="114"/>
      <c r="CA102" s="114"/>
      <c r="CB102" s="114"/>
      <c r="CC102" s="114"/>
      <c r="CD102" s="114"/>
      <c r="CE102" s="114"/>
      <c r="CF102" s="114"/>
      <c r="CG102" s="114"/>
    </row>
    <row r="103" spans="1:85" s="7" customFormat="1" x14ac:dyDescent="0.25">
      <c r="B103" s="12" t="s">
        <v>38</v>
      </c>
      <c r="C103" s="122">
        <f>SUM(F89:Q89)</f>
        <v>3.1316300053999999</v>
      </c>
      <c r="D103" s="114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24"/>
      <c r="S103" s="122" t="s">
        <v>38</v>
      </c>
      <c r="T103" s="122">
        <f>SUM(W89:AH89)</f>
        <v>3.1313359398999996</v>
      </c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24"/>
      <c r="AJ103" s="122" t="s">
        <v>38</v>
      </c>
      <c r="AK103" s="87">
        <f>SUM(AN89:AY89)</f>
        <v>3.6841803157999999</v>
      </c>
      <c r="AL103" s="93"/>
      <c r="AM103" s="93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24"/>
      <c r="BA103" s="122" t="s">
        <v>38</v>
      </c>
      <c r="BB103" s="122">
        <f>SUM(BE89:BP89)</f>
        <v>3.4415743614999998</v>
      </c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24"/>
      <c r="BR103" s="122" t="s">
        <v>38</v>
      </c>
      <c r="BS103" s="122">
        <f>SUM(BV89:CG89)</f>
        <v>3.0640588502809996</v>
      </c>
      <c r="BT103" s="114"/>
      <c r="BU103" s="114"/>
      <c r="BV103" s="114"/>
      <c r="BW103" s="114"/>
      <c r="BX103" s="114"/>
      <c r="BY103" s="114"/>
      <c r="BZ103" s="114"/>
      <c r="CA103" s="114"/>
      <c r="CB103" s="114"/>
      <c r="CC103" s="114"/>
      <c r="CD103" s="114"/>
      <c r="CE103" s="114"/>
      <c r="CF103" s="114"/>
      <c r="CG103" s="114"/>
    </row>
    <row r="104" spans="1:85" s="7" customFormat="1" x14ac:dyDescent="0.25">
      <c r="B104" s="26" t="s">
        <v>39</v>
      </c>
      <c r="C104" s="123">
        <f>SUM(F90:K94)</f>
        <v>2.7819915765000003</v>
      </c>
      <c r="D104" s="114"/>
      <c r="E104" s="114"/>
      <c r="F104" s="114"/>
      <c r="G104" s="114"/>
      <c r="H104" s="114"/>
      <c r="I104" s="114"/>
      <c r="J104" s="114"/>
      <c r="K104" s="114"/>
      <c r="L104" s="114"/>
      <c r="M104" s="114"/>
      <c r="N104" s="114"/>
      <c r="O104" s="114"/>
      <c r="P104" s="114"/>
      <c r="Q104" s="114"/>
      <c r="R104" s="24"/>
      <c r="S104" s="123" t="s">
        <v>39</v>
      </c>
      <c r="T104" s="123">
        <f>SUM(W90:AB94)</f>
        <v>1.7879552703000001</v>
      </c>
      <c r="U104" s="114"/>
      <c r="V104" s="114"/>
      <c r="W104" s="114"/>
      <c r="X104" s="114"/>
      <c r="Y104" s="114"/>
      <c r="Z104" s="114"/>
      <c r="AA104" s="114"/>
      <c r="AB104" s="114"/>
      <c r="AC104" s="114"/>
      <c r="AD104" s="114"/>
      <c r="AE104" s="114"/>
      <c r="AF104" s="114"/>
      <c r="AG104" s="114"/>
      <c r="AH104" s="114"/>
      <c r="AI104" s="24"/>
      <c r="AJ104" s="123" t="s">
        <v>39</v>
      </c>
      <c r="AK104" s="88">
        <f>SUM(AN90:AS94)</f>
        <v>2.7329512780000003</v>
      </c>
      <c r="AL104" s="93"/>
      <c r="AM104" s="93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24"/>
      <c r="BA104" s="123" t="s">
        <v>39</v>
      </c>
      <c r="BB104" s="123">
        <f>SUM(BE90:BJ94)</f>
        <v>2.1503999988999998</v>
      </c>
      <c r="BC104" s="114"/>
      <c r="BD104" s="114"/>
      <c r="BE104" s="114"/>
      <c r="BF104" s="114"/>
      <c r="BG104" s="114"/>
      <c r="BH104" s="114"/>
      <c r="BI104" s="114"/>
      <c r="BJ104" s="114"/>
      <c r="BK104" s="114"/>
      <c r="BL104" s="114"/>
      <c r="BM104" s="114"/>
      <c r="BN104" s="114"/>
      <c r="BO104" s="114"/>
      <c r="BP104" s="114"/>
      <c r="BQ104" s="24"/>
      <c r="BR104" s="123" t="s">
        <v>39</v>
      </c>
      <c r="BS104" s="123">
        <f>SUM(BV90:CA94)</f>
        <v>4.6063327262630001</v>
      </c>
      <c r="BT104" s="114"/>
      <c r="BU104" s="114"/>
      <c r="BV104" s="114"/>
      <c r="BW104" s="114"/>
      <c r="BX104" s="114"/>
      <c r="BY104" s="114"/>
      <c r="BZ104" s="114"/>
      <c r="CA104" s="114"/>
      <c r="CB104" s="114"/>
      <c r="CC104" s="114"/>
      <c r="CD104" s="114"/>
      <c r="CE104" s="114"/>
      <c r="CF104" s="114"/>
      <c r="CG104" s="114"/>
    </row>
    <row r="105" spans="1:85" s="7" customFormat="1" x14ac:dyDescent="0.25">
      <c r="B105" s="10" t="s">
        <v>40</v>
      </c>
      <c r="C105" s="124">
        <f>SUM(F87:K87)</f>
        <v>0</v>
      </c>
      <c r="D105" s="114"/>
      <c r="E105" s="114"/>
      <c r="F105" s="114"/>
      <c r="G105" s="114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  <c r="R105" s="24"/>
      <c r="S105" s="124" t="s">
        <v>40</v>
      </c>
      <c r="T105" s="124">
        <f>SUM(W87:AB87)</f>
        <v>0</v>
      </c>
      <c r="U105" s="114"/>
      <c r="V105" s="114"/>
      <c r="W105" s="114"/>
      <c r="X105" s="114"/>
      <c r="Y105" s="114"/>
      <c r="Z105" s="114"/>
      <c r="AA105" s="114"/>
      <c r="AB105" s="114"/>
      <c r="AC105" s="114"/>
      <c r="AD105" s="114"/>
      <c r="AE105" s="114"/>
      <c r="AF105" s="114"/>
      <c r="AG105" s="114"/>
      <c r="AH105" s="114"/>
      <c r="AI105" s="24"/>
      <c r="AJ105" s="124" t="s">
        <v>40</v>
      </c>
      <c r="AK105" s="89">
        <f>SUM(AN87:AS87)</f>
        <v>0</v>
      </c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24"/>
      <c r="BA105" s="124" t="s">
        <v>40</v>
      </c>
      <c r="BB105" s="124">
        <f>SUM(BE87:BJ87)</f>
        <v>0</v>
      </c>
      <c r="BC105" s="114"/>
      <c r="BD105" s="114"/>
      <c r="BE105" s="114"/>
      <c r="BF105" s="114"/>
      <c r="BG105" s="114"/>
      <c r="BH105" s="114"/>
      <c r="BI105" s="114"/>
      <c r="BJ105" s="114"/>
      <c r="BK105" s="114"/>
      <c r="BL105" s="114"/>
      <c r="BM105" s="114"/>
      <c r="BN105" s="114"/>
      <c r="BO105" s="114"/>
      <c r="BP105" s="114"/>
      <c r="BQ105" s="24"/>
      <c r="BR105" s="124" t="s">
        <v>40</v>
      </c>
      <c r="BS105" s="124">
        <f>SUM(BV87:CA87)</f>
        <v>0</v>
      </c>
      <c r="BT105" s="114"/>
      <c r="BU105" s="114"/>
      <c r="BV105" s="114"/>
      <c r="BW105" s="114"/>
      <c r="BX105" s="114"/>
      <c r="BY105" s="114"/>
      <c r="BZ105" s="114"/>
      <c r="CA105" s="114"/>
      <c r="CB105" s="114"/>
      <c r="CC105" s="114"/>
      <c r="CD105" s="114"/>
      <c r="CE105" s="114"/>
      <c r="CF105" s="114"/>
      <c r="CG105" s="114"/>
    </row>
    <row r="106" spans="1:85" x14ac:dyDescent="0.25">
      <c r="B106" s="20" t="s">
        <v>41</v>
      </c>
      <c r="C106" s="125">
        <f>SUM(L88:P88)</f>
        <v>0.69487170899999995</v>
      </c>
      <c r="S106" s="125" t="s">
        <v>41</v>
      </c>
      <c r="T106" s="125">
        <f>SUM(AC88:AG88)</f>
        <v>0.42716787099999998</v>
      </c>
      <c r="AJ106" s="125" t="s">
        <v>41</v>
      </c>
      <c r="AK106" s="90">
        <f>SUM(AT88:AX88)</f>
        <v>0.29746267700000001</v>
      </c>
      <c r="AL106" s="129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BA106" s="125" t="s">
        <v>41</v>
      </c>
      <c r="BB106" s="125">
        <f>SUM(BK88:BO88)</f>
        <v>0.58118919000000002</v>
      </c>
      <c r="BR106" s="125" t="s">
        <v>41</v>
      </c>
      <c r="BS106" s="125">
        <f>SUM(CB88:CF88)</f>
        <v>1.244446226</v>
      </c>
    </row>
    <row r="107" spans="1:85" ht="21" x14ac:dyDescent="0.35">
      <c r="A107" s="5">
        <v>2050</v>
      </c>
      <c r="R107" s="128">
        <v>2050</v>
      </c>
      <c r="AI107" s="128">
        <v>2050</v>
      </c>
      <c r="AK107" s="129"/>
      <c r="AL107" s="129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8">
        <v>2050</v>
      </c>
      <c r="BQ107" s="128">
        <v>2050</v>
      </c>
    </row>
    <row r="108" spans="1:85" x14ac:dyDescent="0.25">
      <c r="B108" s="4" t="str">
        <f>$B$6</f>
        <v>ReferentieUtrecht</v>
      </c>
      <c r="S108" s="118" t="str">
        <f>$S$6</f>
        <v>Utrecht_Label B</v>
      </c>
      <c r="AJ108" s="118" t="str">
        <f>$AJ$6</f>
        <v>Utrecht_Label Aplus</v>
      </c>
      <c r="AK108" s="129"/>
      <c r="AL108" s="129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BA108" s="118" t="str">
        <f>BA$6</f>
        <v>Utrecht_Label Aplus, met eWP</v>
      </c>
      <c r="BR108" s="118" t="str">
        <f>BR$6</f>
        <v>Utrecht_Label B_Warmtenetten</v>
      </c>
    </row>
    <row r="109" spans="1:85" x14ac:dyDescent="0.25">
      <c r="C109" s="112" t="s">
        <v>18</v>
      </c>
      <c r="D109" s="112" t="s">
        <v>19</v>
      </c>
      <c r="E109" s="112" t="s">
        <v>20</v>
      </c>
      <c r="F109" s="112" t="s">
        <v>21</v>
      </c>
      <c r="G109" s="112" t="s">
        <v>22</v>
      </c>
      <c r="H109" s="112" t="s">
        <v>23</v>
      </c>
      <c r="I109" s="112" t="s">
        <v>24</v>
      </c>
      <c r="J109" s="112" t="s">
        <v>25</v>
      </c>
      <c r="K109" s="112" t="s">
        <v>26</v>
      </c>
      <c r="L109" s="112" t="s">
        <v>5</v>
      </c>
      <c r="M109" s="112" t="s">
        <v>6</v>
      </c>
      <c r="N109" s="112" t="s">
        <v>7</v>
      </c>
      <c r="O109" s="112" t="s">
        <v>8</v>
      </c>
      <c r="P109" s="112" t="s">
        <v>9</v>
      </c>
      <c r="Q109" s="112" t="s">
        <v>27</v>
      </c>
      <c r="T109" s="112" t="s">
        <v>18</v>
      </c>
      <c r="U109" s="112" t="s">
        <v>19</v>
      </c>
      <c r="V109" s="112" t="s">
        <v>20</v>
      </c>
      <c r="W109" s="112" t="s">
        <v>21</v>
      </c>
      <c r="X109" s="112" t="s">
        <v>22</v>
      </c>
      <c r="Y109" s="112" t="s">
        <v>23</v>
      </c>
      <c r="Z109" s="112" t="s">
        <v>24</v>
      </c>
      <c r="AA109" s="112" t="s">
        <v>25</v>
      </c>
      <c r="AB109" s="112" t="s">
        <v>26</v>
      </c>
      <c r="AC109" s="112" t="s">
        <v>5</v>
      </c>
      <c r="AD109" s="112" t="s">
        <v>6</v>
      </c>
      <c r="AE109" s="112" t="s">
        <v>7</v>
      </c>
      <c r="AF109" s="112" t="s">
        <v>8</v>
      </c>
      <c r="AG109" s="112" t="s">
        <v>9</v>
      </c>
      <c r="AH109" s="112" t="s">
        <v>27</v>
      </c>
      <c r="AI109" s="83"/>
      <c r="AK109" s="130" t="s">
        <v>18</v>
      </c>
      <c r="AL109" s="130" t="s">
        <v>19</v>
      </c>
      <c r="AM109" s="130" t="s">
        <v>20</v>
      </c>
      <c r="AN109" s="130" t="s">
        <v>21</v>
      </c>
      <c r="AO109" s="130" t="s">
        <v>22</v>
      </c>
      <c r="AP109" s="130" t="s">
        <v>23</v>
      </c>
      <c r="AQ109" s="130" t="s">
        <v>24</v>
      </c>
      <c r="AR109" s="130" t="s">
        <v>25</v>
      </c>
      <c r="AS109" s="130" t="s">
        <v>26</v>
      </c>
      <c r="AT109" s="130" t="s">
        <v>5</v>
      </c>
      <c r="AU109" s="130" t="s">
        <v>6</v>
      </c>
      <c r="AV109" s="130" t="s">
        <v>7</v>
      </c>
      <c r="AW109" s="130" t="s">
        <v>8</v>
      </c>
      <c r="AX109" s="130" t="s">
        <v>9</v>
      </c>
      <c r="AY109" s="130" t="s">
        <v>27</v>
      </c>
      <c r="AZ109" s="83"/>
      <c r="BB109" s="112" t="s">
        <v>18</v>
      </c>
      <c r="BC109" s="112" t="s">
        <v>19</v>
      </c>
      <c r="BD109" s="112" t="s">
        <v>20</v>
      </c>
      <c r="BE109" s="112" t="s">
        <v>21</v>
      </c>
      <c r="BF109" s="112" t="s">
        <v>22</v>
      </c>
      <c r="BG109" s="112" t="s">
        <v>23</v>
      </c>
      <c r="BH109" s="112" t="s">
        <v>24</v>
      </c>
      <c r="BI109" s="112" t="s">
        <v>25</v>
      </c>
      <c r="BJ109" s="112" t="s">
        <v>26</v>
      </c>
      <c r="BK109" s="112" t="s">
        <v>5</v>
      </c>
      <c r="BL109" s="112" t="s">
        <v>6</v>
      </c>
      <c r="BM109" s="112" t="s">
        <v>7</v>
      </c>
      <c r="BN109" s="112" t="s">
        <v>8</v>
      </c>
      <c r="BO109" s="112" t="s">
        <v>9</v>
      </c>
      <c r="BP109" s="112" t="s">
        <v>27</v>
      </c>
      <c r="BQ109" s="83"/>
      <c r="BS109" s="112" t="s">
        <v>18</v>
      </c>
      <c r="BT109" s="112" t="s">
        <v>19</v>
      </c>
      <c r="BU109" s="112" t="s">
        <v>20</v>
      </c>
      <c r="BV109" s="112" t="s">
        <v>21</v>
      </c>
      <c r="BW109" s="112" t="s">
        <v>22</v>
      </c>
      <c r="BX109" s="112" t="s">
        <v>23</v>
      </c>
      <c r="BY109" s="112" t="s">
        <v>24</v>
      </c>
      <c r="BZ109" s="112" t="s">
        <v>25</v>
      </c>
      <c r="CA109" s="112" t="s">
        <v>26</v>
      </c>
      <c r="CB109" s="112" t="s">
        <v>5</v>
      </c>
      <c r="CC109" s="112" t="s">
        <v>6</v>
      </c>
      <c r="CD109" s="112" t="s">
        <v>7</v>
      </c>
      <c r="CE109" s="112" t="s">
        <v>8</v>
      </c>
      <c r="CF109" s="112" t="s">
        <v>9</v>
      </c>
      <c r="CG109" s="112" t="s">
        <v>27</v>
      </c>
    </row>
    <row r="110" spans="1:85" x14ac:dyDescent="0.25">
      <c r="C110" s="112" t="s">
        <v>28</v>
      </c>
      <c r="D110" s="112" t="s">
        <v>28</v>
      </c>
      <c r="E110" s="112" t="s">
        <v>28</v>
      </c>
      <c r="F110" s="112" t="s">
        <v>28</v>
      </c>
      <c r="G110" s="112" t="s">
        <v>28</v>
      </c>
      <c r="H110" s="112" t="s">
        <v>28</v>
      </c>
      <c r="I110" s="112" t="s">
        <v>28</v>
      </c>
      <c r="J110" s="112" t="s">
        <v>28</v>
      </c>
      <c r="K110" s="112" t="s">
        <v>28</v>
      </c>
      <c r="L110" s="112" t="s">
        <v>28</v>
      </c>
      <c r="M110" s="112" t="s">
        <v>28</v>
      </c>
      <c r="N110" s="112" t="s">
        <v>28</v>
      </c>
      <c r="O110" s="112" t="s">
        <v>28</v>
      </c>
      <c r="P110" s="112" t="s">
        <v>28</v>
      </c>
      <c r="Q110" s="112" t="s">
        <v>28</v>
      </c>
      <c r="T110" s="112" t="s">
        <v>28</v>
      </c>
      <c r="U110" s="112" t="s">
        <v>28</v>
      </c>
      <c r="V110" s="112" t="s">
        <v>28</v>
      </c>
      <c r="W110" s="112" t="s">
        <v>28</v>
      </c>
      <c r="X110" s="112" t="s">
        <v>28</v>
      </c>
      <c r="Y110" s="112" t="s">
        <v>28</v>
      </c>
      <c r="Z110" s="112" t="s">
        <v>28</v>
      </c>
      <c r="AA110" s="112" t="s">
        <v>28</v>
      </c>
      <c r="AB110" s="112" t="s">
        <v>28</v>
      </c>
      <c r="AC110" s="112" t="s">
        <v>28</v>
      </c>
      <c r="AD110" s="112" t="s">
        <v>28</v>
      </c>
      <c r="AE110" s="112" t="s">
        <v>28</v>
      </c>
      <c r="AF110" s="112" t="s">
        <v>28</v>
      </c>
      <c r="AG110" s="112" t="s">
        <v>28</v>
      </c>
      <c r="AH110" s="112" t="s">
        <v>28</v>
      </c>
      <c r="AI110" s="83"/>
      <c r="AK110" s="130" t="s">
        <v>28</v>
      </c>
      <c r="AL110" s="130" t="s">
        <v>28</v>
      </c>
      <c r="AM110" s="130" t="s">
        <v>28</v>
      </c>
      <c r="AN110" s="130" t="s">
        <v>28</v>
      </c>
      <c r="AO110" s="130" t="s">
        <v>28</v>
      </c>
      <c r="AP110" s="130" t="s">
        <v>28</v>
      </c>
      <c r="AQ110" s="130" t="s">
        <v>28</v>
      </c>
      <c r="AR110" s="130" t="s">
        <v>28</v>
      </c>
      <c r="AS110" s="130" t="s">
        <v>28</v>
      </c>
      <c r="AT110" s="130" t="s">
        <v>28</v>
      </c>
      <c r="AU110" s="130" t="s">
        <v>28</v>
      </c>
      <c r="AV110" s="130" t="s">
        <v>28</v>
      </c>
      <c r="AW110" s="130" t="s">
        <v>28</v>
      </c>
      <c r="AX110" s="130" t="s">
        <v>28</v>
      </c>
      <c r="AY110" s="130" t="s">
        <v>28</v>
      </c>
      <c r="AZ110" s="83"/>
      <c r="BB110" s="112" t="s">
        <v>28</v>
      </c>
      <c r="BC110" s="112" t="s">
        <v>28</v>
      </c>
      <c r="BD110" s="112" t="s">
        <v>28</v>
      </c>
      <c r="BE110" s="112" t="s">
        <v>28</v>
      </c>
      <c r="BF110" s="112" t="s">
        <v>28</v>
      </c>
      <c r="BG110" s="112" t="s">
        <v>28</v>
      </c>
      <c r="BH110" s="112" t="s">
        <v>28</v>
      </c>
      <c r="BI110" s="112" t="s">
        <v>28</v>
      </c>
      <c r="BJ110" s="112" t="s">
        <v>28</v>
      </c>
      <c r="BK110" s="112" t="s">
        <v>28</v>
      </c>
      <c r="BL110" s="112" t="s">
        <v>28</v>
      </c>
      <c r="BM110" s="112" t="s">
        <v>28</v>
      </c>
      <c r="BN110" s="112" t="s">
        <v>28</v>
      </c>
      <c r="BO110" s="112" t="s">
        <v>28</v>
      </c>
      <c r="BP110" s="112" t="s">
        <v>28</v>
      </c>
      <c r="BQ110" s="83"/>
      <c r="BS110" s="112" t="s">
        <v>28</v>
      </c>
      <c r="BT110" s="112" t="s">
        <v>28</v>
      </c>
      <c r="BU110" s="112" t="s">
        <v>28</v>
      </c>
      <c r="BV110" s="112" t="s">
        <v>28</v>
      </c>
      <c r="BW110" s="112" t="s">
        <v>28</v>
      </c>
      <c r="BX110" s="112" t="s">
        <v>28</v>
      </c>
      <c r="BY110" s="112" t="s">
        <v>28</v>
      </c>
      <c r="BZ110" s="112" t="s">
        <v>28</v>
      </c>
      <c r="CA110" s="112" t="s">
        <v>28</v>
      </c>
      <c r="CB110" s="112" t="s">
        <v>28</v>
      </c>
      <c r="CC110" s="112" t="s">
        <v>28</v>
      </c>
      <c r="CD110" s="112" t="s">
        <v>28</v>
      </c>
      <c r="CE110" s="112" t="s">
        <v>28</v>
      </c>
      <c r="CF110" s="112" t="s">
        <v>28</v>
      </c>
      <c r="CG110" s="112" t="s">
        <v>28</v>
      </c>
    </row>
    <row r="111" spans="1:85" s="7" customFormat="1" x14ac:dyDescent="0.25">
      <c r="B111" s="7" t="s">
        <v>1</v>
      </c>
      <c r="C111" s="114">
        <f>Modeloutput!B242</f>
        <v>0</v>
      </c>
      <c r="D111" s="114">
        <f>Modeloutput!C242</f>
        <v>0</v>
      </c>
      <c r="E111" s="114">
        <f>Modeloutput!D242</f>
        <v>0</v>
      </c>
      <c r="F111" s="114">
        <f>Modeloutput!E242</f>
        <v>0</v>
      </c>
      <c r="G111" s="114">
        <f>Modeloutput!F242</f>
        <v>0</v>
      </c>
      <c r="H111" s="114">
        <f>Modeloutput!G242</f>
        <v>0</v>
      </c>
      <c r="I111" s="114">
        <f>Modeloutput!H242</f>
        <v>0</v>
      </c>
      <c r="J111" s="114">
        <f>Modeloutput!I242</f>
        <v>0</v>
      </c>
      <c r="K111" s="114">
        <f>Modeloutput!J242</f>
        <v>0</v>
      </c>
      <c r="L111" s="114">
        <f>Modeloutput!K242</f>
        <v>0</v>
      </c>
      <c r="M111" s="114">
        <f>Modeloutput!L242</f>
        <v>0</v>
      </c>
      <c r="N111" s="114">
        <f>Modeloutput!M242</f>
        <v>0</v>
      </c>
      <c r="O111" s="114">
        <f>Modeloutput!N242</f>
        <v>0</v>
      </c>
      <c r="P111" s="114">
        <f>Modeloutput!O242</f>
        <v>0</v>
      </c>
      <c r="Q111" s="114">
        <f>Modeloutput!P242</f>
        <v>0</v>
      </c>
      <c r="R111" s="24"/>
      <c r="S111" s="119" t="s">
        <v>1</v>
      </c>
      <c r="T111" s="114">
        <f>Modeloutput!B497</f>
        <v>0</v>
      </c>
      <c r="U111" s="114">
        <f>Modeloutput!C497</f>
        <v>0</v>
      </c>
      <c r="V111" s="114">
        <f>Modeloutput!D497</f>
        <v>0</v>
      </c>
      <c r="W111" s="114">
        <f>Modeloutput!E497</f>
        <v>0</v>
      </c>
      <c r="X111" s="114">
        <f>Modeloutput!F497</f>
        <v>0</v>
      </c>
      <c r="Y111" s="114">
        <f>Modeloutput!G497</f>
        <v>0</v>
      </c>
      <c r="Z111" s="114">
        <f>Modeloutput!H497</f>
        <v>0</v>
      </c>
      <c r="AA111" s="114">
        <f>Modeloutput!I497</f>
        <v>0</v>
      </c>
      <c r="AB111" s="114">
        <f>Modeloutput!J497</f>
        <v>0</v>
      </c>
      <c r="AC111" s="114">
        <f>Modeloutput!K497</f>
        <v>0</v>
      </c>
      <c r="AD111" s="114">
        <f>Modeloutput!L497</f>
        <v>0</v>
      </c>
      <c r="AE111" s="114">
        <f>Modeloutput!M497</f>
        <v>0</v>
      </c>
      <c r="AF111" s="114">
        <f>Modeloutput!N497</f>
        <v>0</v>
      </c>
      <c r="AG111" s="114">
        <f>Modeloutput!O497</f>
        <v>0</v>
      </c>
      <c r="AH111" s="114">
        <f>Modeloutput!P497</f>
        <v>0</v>
      </c>
      <c r="AI111" s="24"/>
      <c r="AJ111" s="119" t="s">
        <v>1</v>
      </c>
      <c r="AK111" s="93">
        <f>Modeloutput!B752</f>
        <v>0</v>
      </c>
      <c r="AL111" s="93">
        <f>Modeloutput!C752</f>
        <v>0</v>
      </c>
      <c r="AM111" s="93">
        <f>Modeloutput!D752</f>
        <v>0</v>
      </c>
      <c r="AN111" s="93">
        <f>Modeloutput!E752</f>
        <v>0</v>
      </c>
      <c r="AO111" s="93">
        <f>Modeloutput!F752</f>
        <v>0</v>
      </c>
      <c r="AP111" s="93">
        <f>Modeloutput!G752</f>
        <v>0</v>
      </c>
      <c r="AQ111" s="93">
        <f>Modeloutput!H752</f>
        <v>0</v>
      </c>
      <c r="AR111" s="93">
        <f>Modeloutput!I752</f>
        <v>0</v>
      </c>
      <c r="AS111" s="93">
        <f>Modeloutput!J752</f>
        <v>0</v>
      </c>
      <c r="AT111" s="93">
        <f>Modeloutput!K752</f>
        <v>0</v>
      </c>
      <c r="AU111" s="93">
        <f>Modeloutput!L752</f>
        <v>0</v>
      </c>
      <c r="AV111" s="93">
        <f>Modeloutput!M752</f>
        <v>0</v>
      </c>
      <c r="AW111" s="93">
        <f>Modeloutput!N752</f>
        <v>0</v>
      </c>
      <c r="AX111" s="93">
        <f>Modeloutput!O752</f>
        <v>0</v>
      </c>
      <c r="AY111" s="93">
        <f>Modeloutput!P752</f>
        <v>0</v>
      </c>
      <c r="AZ111" s="24"/>
      <c r="BA111" s="119" t="s">
        <v>1</v>
      </c>
      <c r="BB111" s="114">
        <f>Modeloutput!B1007</f>
        <v>0</v>
      </c>
      <c r="BC111" s="114">
        <f>Modeloutput!C1007</f>
        <v>0</v>
      </c>
      <c r="BD111" s="114">
        <f>Modeloutput!D1007</f>
        <v>0</v>
      </c>
      <c r="BE111" s="114">
        <f>Modeloutput!E1007</f>
        <v>0</v>
      </c>
      <c r="BF111" s="114">
        <f>Modeloutput!F1007</f>
        <v>0</v>
      </c>
      <c r="BG111" s="114">
        <f>Modeloutput!G1007</f>
        <v>0</v>
      </c>
      <c r="BH111" s="114">
        <f>Modeloutput!H1007</f>
        <v>0</v>
      </c>
      <c r="BI111" s="114">
        <f>Modeloutput!I1007</f>
        <v>0</v>
      </c>
      <c r="BJ111" s="114">
        <f>Modeloutput!J1007</f>
        <v>0</v>
      </c>
      <c r="BK111" s="114">
        <f>Modeloutput!K1007</f>
        <v>0</v>
      </c>
      <c r="BL111" s="114">
        <f>Modeloutput!L1007</f>
        <v>0</v>
      </c>
      <c r="BM111" s="114">
        <f>Modeloutput!M1007</f>
        <v>0</v>
      </c>
      <c r="BN111" s="114">
        <f>Modeloutput!N1007</f>
        <v>0</v>
      </c>
      <c r="BO111" s="114">
        <f>Modeloutput!O1007</f>
        <v>0</v>
      </c>
      <c r="BP111" s="114">
        <f>Modeloutput!P1007</f>
        <v>0</v>
      </c>
      <c r="BQ111" s="24"/>
      <c r="BR111" s="119" t="s">
        <v>1</v>
      </c>
      <c r="BS111" s="114">
        <f>Modeloutput!B1262</f>
        <v>0</v>
      </c>
      <c r="BT111" s="114">
        <f>Modeloutput!C1262</f>
        <v>0</v>
      </c>
      <c r="BU111" s="114">
        <f>Modeloutput!D1262</f>
        <v>0</v>
      </c>
      <c r="BV111" s="114">
        <f>Modeloutput!E1262</f>
        <v>0</v>
      </c>
      <c r="BW111" s="114">
        <f>Modeloutput!F1262</f>
        <v>0</v>
      </c>
      <c r="BX111" s="114">
        <f>Modeloutput!G1262</f>
        <v>0</v>
      </c>
      <c r="BY111" s="114">
        <f>Modeloutput!H1262</f>
        <v>0</v>
      </c>
      <c r="BZ111" s="114">
        <f>Modeloutput!I1262</f>
        <v>0</v>
      </c>
      <c r="CA111" s="114">
        <f>Modeloutput!J1262</f>
        <v>0</v>
      </c>
      <c r="CB111" s="114">
        <f>Modeloutput!K1262</f>
        <v>0</v>
      </c>
      <c r="CC111" s="114">
        <f>Modeloutput!L1262</f>
        <v>0</v>
      </c>
      <c r="CD111" s="114">
        <f>Modeloutput!M1262</f>
        <v>0</v>
      </c>
      <c r="CE111" s="114">
        <f>Modeloutput!N1262</f>
        <v>0</v>
      </c>
      <c r="CF111" s="114">
        <f>Modeloutput!O1262</f>
        <v>0</v>
      </c>
      <c r="CG111" s="114">
        <f>Modeloutput!P1262</f>
        <v>0</v>
      </c>
    </row>
    <row r="112" spans="1:85" s="7" customFormat="1" x14ac:dyDescent="0.25">
      <c r="B112" s="7" t="s">
        <v>2</v>
      </c>
      <c r="C112" s="114">
        <f>Modeloutput!B243</f>
        <v>2.4823578099999999</v>
      </c>
      <c r="D112" s="114">
        <f>Modeloutput!C243</f>
        <v>0</v>
      </c>
      <c r="E112" s="114">
        <f>Modeloutput!D243</f>
        <v>2.4823578099999999</v>
      </c>
      <c r="F112" s="114">
        <f>Modeloutput!E243</f>
        <v>0</v>
      </c>
      <c r="G112" s="114">
        <f>Modeloutput!F243</f>
        <v>0</v>
      </c>
      <c r="H112" s="114">
        <f>Modeloutput!G243</f>
        <v>0</v>
      </c>
      <c r="I112" s="114">
        <f>Modeloutput!H243</f>
        <v>0</v>
      </c>
      <c r="J112" s="114">
        <f>Modeloutput!I243</f>
        <v>0</v>
      </c>
      <c r="K112" s="114">
        <f>Modeloutput!J243</f>
        <v>0</v>
      </c>
      <c r="L112" s="114">
        <f>Modeloutput!K243</f>
        <v>2.4823578099999999</v>
      </c>
      <c r="M112" s="114">
        <f>Modeloutput!L243</f>
        <v>0</v>
      </c>
      <c r="N112" s="114">
        <f>Modeloutput!M243</f>
        <v>0</v>
      </c>
      <c r="O112" s="114">
        <f>Modeloutput!N243</f>
        <v>0</v>
      </c>
      <c r="P112" s="114">
        <f>Modeloutput!O243</f>
        <v>0</v>
      </c>
      <c r="Q112" s="114">
        <f>Modeloutput!P243</f>
        <v>0</v>
      </c>
      <c r="R112" s="24"/>
      <c r="S112" s="119" t="s">
        <v>2</v>
      </c>
      <c r="T112" s="114">
        <f>Modeloutput!B498</f>
        <v>1.80435441</v>
      </c>
      <c r="U112" s="114">
        <f>Modeloutput!C498</f>
        <v>0</v>
      </c>
      <c r="V112" s="114">
        <f>Modeloutput!D498</f>
        <v>1.80435441</v>
      </c>
      <c r="W112" s="114">
        <f>Modeloutput!E498</f>
        <v>0</v>
      </c>
      <c r="X112" s="114">
        <f>Modeloutput!F498</f>
        <v>0</v>
      </c>
      <c r="Y112" s="114">
        <f>Modeloutput!G498</f>
        <v>0</v>
      </c>
      <c r="Z112" s="114">
        <f>Modeloutput!H498</f>
        <v>0</v>
      </c>
      <c r="AA112" s="114">
        <f>Modeloutput!I498</f>
        <v>0</v>
      </c>
      <c r="AB112" s="114">
        <f>Modeloutput!J498</f>
        <v>0</v>
      </c>
      <c r="AC112" s="114">
        <f>Modeloutput!K498</f>
        <v>1.80435441</v>
      </c>
      <c r="AD112" s="114">
        <f>Modeloutput!L498</f>
        <v>0</v>
      </c>
      <c r="AE112" s="114">
        <f>Modeloutput!M498</f>
        <v>0</v>
      </c>
      <c r="AF112" s="114">
        <f>Modeloutput!N498</f>
        <v>0</v>
      </c>
      <c r="AG112" s="114">
        <f>Modeloutput!O498</f>
        <v>0</v>
      </c>
      <c r="AH112" s="114">
        <f>Modeloutput!P498</f>
        <v>0</v>
      </c>
      <c r="AI112" s="24"/>
      <c r="AJ112" s="119" t="s">
        <v>2</v>
      </c>
      <c r="AK112" s="93">
        <f>Modeloutput!B753</f>
        <v>1.0767063800000001</v>
      </c>
      <c r="AL112" s="93">
        <f>Modeloutput!C753</f>
        <v>0</v>
      </c>
      <c r="AM112" s="93">
        <f>Modeloutput!D753</f>
        <v>1.0767063800000001</v>
      </c>
      <c r="AN112" s="93">
        <f>Modeloutput!E753</f>
        <v>0</v>
      </c>
      <c r="AO112" s="93">
        <f>Modeloutput!F753</f>
        <v>0</v>
      </c>
      <c r="AP112" s="93">
        <f>Modeloutput!G753</f>
        <v>0</v>
      </c>
      <c r="AQ112" s="93">
        <f>Modeloutput!H753</f>
        <v>0</v>
      </c>
      <c r="AR112" s="93">
        <f>Modeloutput!I753</f>
        <v>0</v>
      </c>
      <c r="AS112" s="93">
        <f>Modeloutput!J753</f>
        <v>0</v>
      </c>
      <c r="AT112" s="93">
        <f>Modeloutput!K753</f>
        <v>1.0767063800000001</v>
      </c>
      <c r="AU112" s="93">
        <f>Modeloutput!L753</f>
        <v>0</v>
      </c>
      <c r="AV112" s="93">
        <f>Modeloutput!M753</f>
        <v>0</v>
      </c>
      <c r="AW112" s="93">
        <f>Modeloutput!N753</f>
        <v>0</v>
      </c>
      <c r="AX112" s="93">
        <f>Modeloutput!O753</f>
        <v>0</v>
      </c>
      <c r="AY112" s="93">
        <f>Modeloutput!P753</f>
        <v>0</v>
      </c>
      <c r="AZ112" s="24"/>
      <c r="BA112" s="119" t="s">
        <v>2</v>
      </c>
      <c r="BB112" s="114">
        <f>Modeloutput!B1008</f>
        <v>2.0735378199999999</v>
      </c>
      <c r="BC112" s="114">
        <f>Modeloutput!C1008</f>
        <v>0</v>
      </c>
      <c r="BD112" s="114">
        <f>Modeloutput!D1008</f>
        <v>2.0735378199999999</v>
      </c>
      <c r="BE112" s="114">
        <f>Modeloutput!E1008</f>
        <v>0</v>
      </c>
      <c r="BF112" s="114">
        <f>Modeloutput!F1008</f>
        <v>0</v>
      </c>
      <c r="BG112" s="114">
        <f>Modeloutput!G1008</f>
        <v>0</v>
      </c>
      <c r="BH112" s="114">
        <f>Modeloutput!H1008</f>
        <v>0</v>
      </c>
      <c r="BI112" s="114">
        <f>Modeloutput!I1008</f>
        <v>0</v>
      </c>
      <c r="BJ112" s="114">
        <f>Modeloutput!J1008</f>
        <v>0</v>
      </c>
      <c r="BK112" s="114">
        <f>Modeloutput!K1008</f>
        <v>2.0735378199999999</v>
      </c>
      <c r="BL112" s="114">
        <f>Modeloutput!L1008</f>
        <v>0</v>
      </c>
      <c r="BM112" s="114">
        <f>Modeloutput!M1008</f>
        <v>0</v>
      </c>
      <c r="BN112" s="114">
        <f>Modeloutput!N1008</f>
        <v>0</v>
      </c>
      <c r="BO112" s="114">
        <f>Modeloutput!O1008</f>
        <v>0</v>
      </c>
      <c r="BP112" s="114">
        <f>Modeloutput!P1008</f>
        <v>0</v>
      </c>
      <c r="BQ112" s="24"/>
      <c r="BR112" s="119" t="s">
        <v>2</v>
      </c>
      <c r="BS112" s="114">
        <f>Modeloutput!B1263</f>
        <v>4.4933814999999999</v>
      </c>
      <c r="BT112" s="114">
        <f>Modeloutput!C1263</f>
        <v>0</v>
      </c>
      <c r="BU112" s="114">
        <f>Modeloutput!D1263</f>
        <v>4.4933814999999999</v>
      </c>
      <c r="BV112" s="114">
        <f>Modeloutput!E1263</f>
        <v>0</v>
      </c>
      <c r="BW112" s="114">
        <f>Modeloutput!F1263</f>
        <v>0</v>
      </c>
      <c r="BX112" s="114">
        <f>Modeloutput!G1263</f>
        <v>0</v>
      </c>
      <c r="BY112" s="114">
        <f>Modeloutput!H1263</f>
        <v>0</v>
      </c>
      <c r="BZ112" s="114">
        <f>Modeloutput!I1263</f>
        <v>0</v>
      </c>
      <c r="CA112" s="114">
        <f>Modeloutput!J1263</f>
        <v>0</v>
      </c>
      <c r="CB112" s="114">
        <f>Modeloutput!K1263</f>
        <v>3.07012149</v>
      </c>
      <c r="CC112" s="114">
        <f>Modeloutput!L1263</f>
        <v>1.4232600099999999</v>
      </c>
      <c r="CD112" s="114">
        <f>Modeloutput!M1263</f>
        <v>0</v>
      </c>
      <c r="CE112" s="114">
        <f>Modeloutput!N1263</f>
        <v>0</v>
      </c>
      <c r="CF112" s="114">
        <f>Modeloutput!O1263</f>
        <v>0</v>
      </c>
      <c r="CG112" s="114">
        <f>Modeloutput!P1263</f>
        <v>0</v>
      </c>
    </row>
    <row r="113" spans="2:85" s="7" customFormat="1" x14ac:dyDescent="0.25">
      <c r="B113" s="7" t="s">
        <v>3</v>
      </c>
      <c r="C113" s="114">
        <f>Modeloutput!B244</f>
        <v>4.1005989600000001</v>
      </c>
      <c r="D113" s="114">
        <f>Modeloutput!C244</f>
        <v>0</v>
      </c>
      <c r="E113" s="114">
        <f>Modeloutput!D244</f>
        <v>4.1005989600000001</v>
      </c>
      <c r="F113" s="114">
        <f>Modeloutput!E244</f>
        <v>2.8804005799999999</v>
      </c>
      <c r="G113" s="114">
        <f>Modeloutput!F244</f>
        <v>8.0251312600000003E-3</v>
      </c>
      <c r="H113" s="114">
        <f>Modeloutput!G244</f>
        <v>0.54032731599999995</v>
      </c>
      <c r="I113" s="114">
        <f>Modeloutput!H244</f>
        <v>9.3841464199999997E-4</v>
      </c>
      <c r="J113" s="114">
        <f>Modeloutput!I244</f>
        <v>0</v>
      </c>
      <c r="K113" s="114">
        <f>Modeloutput!J244</f>
        <v>0</v>
      </c>
      <c r="L113" s="114">
        <f>Modeloutput!K244</f>
        <v>0.67090751599999998</v>
      </c>
      <c r="M113" s="114">
        <f>Modeloutput!L244</f>
        <v>0</v>
      </c>
      <c r="N113" s="114">
        <f>Modeloutput!M244</f>
        <v>0</v>
      </c>
      <c r="O113" s="114">
        <f>Modeloutput!N244</f>
        <v>0</v>
      </c>
      <c r="P113" s="114">
        <f>Modeloutput!O244</f>
        <v>0</v>
      </c>
      <c r="Q113" s="114">
        <f>Modeloutput!P244</f>
        <v>0</v>
      </c>
      <c r="R113" s="24"/>
      <c r="S113" s="119" t="s">
        <v>3</v>
      </c>
      <c r="T113" s="114">
        <f>Modeloutput!B499</f>
        <v>3.20111956</v>
      </c>
      <c r="U113" s="114">
        <f>Modeloutput!C499</f>
        <v>0</v>
      </c>
      <c r="V113" s="114">
        <f>Modeloutput!D499</f>
        <v>3.20111956</v>
      </c>
      <c r="W113" s="114">
        <f>Modeloutput!E499</f>
        <v>2.4162241600000001</v>
      </c>
      <c r="X113" s="114">
        <f>Modeloutput!F499</f>
        <v>9.4340577500000005E-3</v>
      </c>
      <c r="Y113" s="114">
        <f>Modeloutput!G499</f>
        <v>0.28720854099999998</v>
      </c>
      <c r="Z113" s="114">
        <f>Modeloutput!H499</f>
        <v>5.8944946300000002E-4</v>
      </c>
      <c r="AA113" s="114">
        <f>Modeloutput!I499</f>
        <v>0</v>
      </c>
      <c r="AB113" s="114">
        <f>Modeloutput!J499</f>
        <v>0</v>
      </c>
      <c r="AC113" s="114">
        <f>Modeloutput!K499</f>
        <v>0.48766335300000002</v>
      </c>
      <c r="AD113" s="114">
        <f>Modeloutput!L499</f>
        <v>0</v>
      </c>
      <c r="AE113" s="114">
        <f>Modeloutput!M499</f>
        <v>0</v>
      </c>
      <c r="AF113" s="114">
        <f>Modeloutput!N499</f>
        <v>0</v>
      </c>
      <c r="AG113" s="114">
        <f>Modeloutput!O499</f>
        <v>0</v>
      </c>
      <c r="AH113" s="114">
        <f>Modeloutput!P499</f>
        <v>0</v>
      </c>
      <c r="AI113" s="24"/>
      <c r="AJ113" s="119" t="s">
        <v>3</v>
      </c>
      <c r="AK113" s="93">
        <f>Modeloutput!B754</f>
        <v>0.66533906499999995</v>
      </c>
      <c r="AL113" s="93">
        <f>Modeloutput!C754</f>
        <v>0</v>
      </c>
      <c r="AM113" s="93">
        <f>Modeloutput!D754</f>
        <v>0.66533906499999995</v>
      </c>
      <c r="AN113" s="93">
        <f>Modeloutput!E754</f>
        <v>0.31827578000000001</v>
      </c>
      <c r="AO113" s="93">
        <f>Modeloutput!F754</f>
        <v>5.8479366199999999E-3</v>
      </c>
      <c r="AP113" s="93">
        <f>Modeloutput!G754</f>
        <v>4.9333688399999999E-2</v>
      </c>
      <c r="AQ113" s="93">
        <f>Modeloutput!H754</f>
        <v>8.7993499400000001E-4</v>
      </c>
      <c r="AR113" s="93">
        <f>Modeloutput!I754</f>
        <v>0</v>
      </c>
      <c r="AS113" s="93">
        <f>Modeloutput!J754</f>
        <v>0</v>
      </c>
      <c r="AT113" s="93">
        <f>Modeloutput!K754</f>
        <v>0.29100172499999999</v>
      </c>
      <c r="AU113" s="93">
        <f>Modeloutput!L754</f>
        <v>0</v>
      </c>
      <c r="AV113" s="93">
        <f>Modeloutput!M754</f>
        <v>0</v>
      </c>
      <c r="AW113" s="93">
        <f>Modeloutput!N754</f>
        <v>0</v>
      </c>
      <c r="AX113" s="93">
        <f>Modeloutput!O754</f>
        <v>0</v>
      </c>
      <c r="AY113" s="93">
        <f>Modeloutput!P754</f>
        <v>0</v>
      </c>
      <c r="AZ113" s="24"/>
      <c r="BA113" s="119" t="s">
        <v>3</v>
      </c>
      <c r="BB113" s="114">
        <f>Modeloutput!B1009</f>
        <v>0.56041562599999994</v>
      </c>
      <c r="BC113" s="114">
        <f>Modeloutput!C1009</f>
        <v>0</v>
      </c>
      <c r="BD113" s="114">
        <f>Modeloutput!D1009</f>
        <v>0.56041562599999994</v>
      </c>
      <c r="BE113" s="114">
        <f>Modeloutput!E1009</f>
        <v>0</v>
      </c>
      <c r="BF113" s="114">
        <f>Modeloutput!F1009</f>
        <v>0</v>
      </c>
      <c r="BG113" s="114">
        <f>Modeloutput!G1009</f>
        <v>0</v>
      </c>
      <c r="BH113" s="114">
        <f>Modeloutput!H1009</f>
        <v>0</v>
      </c>
      <c r="BI113" s="114">
        <f>Modeloutput!I1009</f>
        <v>0</v>
      </c>
      <c r="BJ113" s="114">
        <f>Modeloutput!J1009</f>
        <v>0</v>
      </c>
      <c r="BK113" s="114">
        <f>Modeloutput!K1009</f>
        <v>0.56041562599999994</v>
      </c>
      <c r="BL113" s="114">
        <f>Modeloutput!L1009</f>
        <v>0</v>
      </c>
      <c r="BM113" s="114">
        <f>Modeloutput!M1009</f>
        <v>0</v>
      </c>
      <c r="BN113" s="114">
        <f>Modeloutput!N1009</f>
        <v>0</v>
      </c>
      <c r="BO113" s="114">
        <f>Modeloutput!O1009</f>
        <v>0</v>
      </c>
      <c r="BP113" s="114">
        <f>Modeloutput!P1009</f>
        <v>0</v>
      </c>
      <c r="BQ113" s="24"/>
      <c r="BR113" s="119" t="s">
        <v>3</v>
      </c>
      <c r="BS113" s="114">
        <f>Modeloutput!B1264</f>
        <v>1.22648885</v>
      </c>
      <c r="BT113" s="114">
        <f>Modeloutput!C1264</f>
        <v>0</v>
      </c>
      <c r="BU113" s="114">
        <f>Modeloutput!D1264</f>
        <v>1.22648885</v>
      </c>
      <c r="BV113" s="114">
        <f>Modeloutput!E1264</f>
        <v>1.0681741E-2</v>
      </c>
      <c r="BW113" s="114">
        <f>Modeloutput!F1264</f>
        <v>2.38315715E-4</v>
      </c>
      <c r="BX113" s="114">
        <f>Modeloutput!G1264</f>
        <v>1.1413611500000001E-3</v>
      </c>
      <c r="BY113" s="114">
        <f>Modeloutput!H1264</f>
        <v>0</v>
      </c>
      <c r="BZ113" s="114">
        <f>Modeloutput!I1264</f>
        <v>0</v>
      </c>
      <c r="CA113" s="114">
        <f>Modeloutput!J1264</f>
        <v>0</v>
      </c>
      <c r="CB113" s="114">
        <f>Modeloutput!K1264</f>
        <v>0.82976256500000001</v>
      </c>
      <c r="CC113" s="114">
        <f>Modeloutput!L1264</f>
        <v>0.38466486599999999</v>
      </c>
      <c r="CD113" s="114">
        <f>Modeloutput!M1264</f>
        <v>0</v>
      </c>
      <c r="CE113" s="114">
        <f>Modeloutput!N1264</f>
        <v>0</v>
      </c>
      <c r="CF113" s="114">
        <f>Modeloutput!O1264</f>
        <v>0</v>
      </c>
      <c r="CG113" s="114">
        <f>Modeloutput!P1264</f>
        <v>0</v>
      </c>
    </row>
    <row r="114" spans="2:85" s="7" customFormat="1" x14ac:dyDescent="0.25">
      <c r="B114" s="7" t="s">
        <v>4</v>
      </c>
      <c r="C114" s="114">
        <f>Modeloutput!B245</f>
        <v>3.1307741999999998</v>
      </c>
      <c r="D114" s="114">
        <f>Modeloutput!C245</f>
        <v>0</v>
      </c>
      <c r="E114" s="114">
        <f>Modeloutput!D245</f>
        <v>3.1307741999999998</v>
      </c>
      <c r="F114" s="114">
        <f>Modeloutput!E245</f>
        <v>1.4315866399999999</v>
      </c>
      <c r="G114" s="114">
        <f>Modeloutput!F245</f>
        <v>0.21387187699999999</v>
      </c>
      <c r="H114" s="114">
        <f>Modeloutput!G245</f>
        <v>1.3370133500000001</v>
      </c>
      <c r="I114" s="114">
        <f>Modeloutput!H245</f>
        <v>6.6384739400000004E-2</v>
      </c>
      <c r="J114" s="114">
        <f>Modeloutput!I245</f>
        <v>0</v>
      </c>
      <c r="K114" s="114">
        <f>Modeloutput!J245</f>
        <v>0</v>
      </c>
      <c r="L114" s="114">
        <f>Modeloutput!K245</f>
        <v>0</v>
      </c>
      <c r="M114" s="114">
        <f>Modeloutput!L245</f>
        <v>0</v>
      </c>
      <c r="N114" s="114">
        <f>Modeloutput!M245</f>
        <v>8.1917599899999999E-2</v>
      </c>
      <c r="O114" s="114">
        <f>Modeloutput!N245</f>
        <v>0</v>
      </c>
      <c r="P114" s="114">
        <f>Modeloutput!O245</f>
        <v>0</v>
      </c>
      <c r="Q114" s="114">
        <f>Modeloutput!P245</f>
        <v>0</v>
      </c>
      <c r="R114" s="24"/>
      <c r="S114" s="119" t="s">
        <v>4</v>
      </c>
      <c r="T114" s="114">
        <f>Modeloutput!B500</f>
        <v>3.1307618599999998</v>
      </c>
      <c r="U114" s="114">
        <f>Modeloutput!C500</f>
        <v>0</v>
      </c>
      <c r="V114" s="114">
        <f>Modeloutput!D500</f>
        <v>3.1307618599999998</v>
      </c>
      <c r="W114" s="114">
        <f>Modeloutput!E500</f>
        <v>1.4315866399999999</v>
      </c>
      <c r="X114" s="114">
        <f>Modeloutput!F500</f>
        <v>0.21387187699999999</v>
      </c>
      <c r="Y114" s="114">
        <f>Modeloutput!G500</f>
        <v>1.3384749</v>
      </c>
      <c r="Z114" s="114">
        <f>Modeloutput!H500</f>
        <v>6.6384739400000004E-2</v>
      </c>
      <c r="AA114" s="114">
        <f>Modeloutput!I500</f>
        <v>0</v>
      </c>
      <c r="AB114" s="114">
        <f>Modeloutput!J500</f>
        <v>0</v>
      </c>
      <c r="AC114" s="114">
        <f>Modeloutput!K500</f>
        <v>0</v>
      </c>
      <c r="AD114" s="114">
        <f>Modeloutput!L500</f>
        <v>0</v>
      </c>
      <c r="AE114" s="114">
        <f>Modeloutput!M500</f>
        <v>8.0443703000000005E-2</v>
      </c>
      <c r="AF114" s="114">
        <f>Modeloutput!N500</f>
        <v>0</v>
      </c>
      <c r="AG114" s="114">
        <f>Modeloutput!O500</f>
        <v>0</v>
      </c>
      <c r="AH114" s="114">
        <f>Modeloutput!P500</f>
        <v>0</v>
      </c>
      <c r="AI114" s="24"/>
      <c r="AJ114" s="119" t="s">
        <v>4</v>
      </c>
      <c r="AK114" s="93">
        <f>Modeloutput!B755</f>
        <v>3.69183371</v>
      </c>
      <c r="AL114" s="93">
        <f>Modeloutput!C755</f>
        <v>0</v>
      </c>
      <c r="AM114" s="93">
        <f>Modeloutput!D755</f>
        <v>3.69183371</v>
      </c>
      <c r="AN114" s="93">
        <f>Modeloutput!E755</f>
        <v>1.4315866399999999</v>
      </c>
      <c r="AO114" s="93">
        <f>Modeloutput!F755</f>
        <v>0.21387187699999999</v>
      </c>
      <c r="AP114" s="93">
        <f>Modeloutput!G755</f>
        <v>1.29256679</v>
      </c>
      <c r="AQ114" s="93">
        <f>Modeloutput!H755</f>
        <v>6.6142691399999995E-2</v>
      </c>
      <c r="AR114" s="93">
        <f>Modeloutput!I755</f>
        <v>0</v>
      </c>
      <c r="AS114" s="93">
        <f>Modeloutput!J755</f>
        <v>0</v>
      </c>
      <c r="AT114" s="93">
        <f>Modeloutput!K755</f>
        <v>0</v>
      </c>
      <c r="AU114" s="93">
        <f>Modeloutput!L755</f>
        <v>0</v>
      </c>
      <c r="AV114" s="93">
        <f>Modeloutput!M755</f>
        <v>0.68766571399999998</v>
      </c>
      <c r="AW114" s="93">
        <f>Modeloutput!N755</f>
        <v>0</v>
      </c>
      <c r="AX114" s="93">
        <f>Modeloutput!O755</f>
        <v>0</v>
      </c>
      <c r="AY114" s="93">
        <f>Modeloutput!P755</f>
        <v>0</v>
      </c>
      <c r="AZ114" s="24"/>
      <c r="BA114" s="119" t="s">
        <v>4</v>
      </c>
      <c r="BB114" s="114">
        <f>Modeloutput!B1010</f>
        <v>3.43055333</v>
      </c>
      <c r="BC114" s="114">
        <f>Modeloutput!C1010</f>
        <v>0</v>
      </c>
      <c r="BD114" s="114">
        <f>Modeloutput!D1010</f>
        <v>3.43055333</v>
      </c>
      <c r="BE114" s="114">
        <f>Modeloutput!E1010</f>
        <v>1.7139503599999999</v>
      </c>
      <c r="BF114" s="114">
        <f>Modeloutput!F1010</f>
        <v>0.24672862300000001</v>
      </c>
      <c r="BG114" s="114">
        <f>Modeloutput!G1010</f>
        <v>1.3919040499999999</v>
      </c>
      <c r="BH114" s="114">
        <f>Modeloutput!H1010</f>
        <v>7.7970301399999997E-2</v>
      </c>
      <c r="BI114" s="114">
        <f>Modeloutput!I1010</f>
        <v>0</v>
      </c>
      <c r="BJ114" s="114">
        <f>Modeloutput!J1010</f>
        <v>0</v>
      </c>
      <c r="BK114" s="114">
        <f>Modeloutput!K1010</f>
        <v>0</v>
      </c>
      <c r="BL114" s="114">
        <f>Modeloutput!L1010</f>
        <v>0</v>
      </c>
      <c r="BM114" s="114">
        <f>Modeloutput!M1010</f>
        <v>0</v>
      </c>
      <c r="BN114" s="114">
        <f>Modeloutput!N1010</f>
        <v>0</v>
      </c>
      <c r="BO114" s="114">
        <f>Modeloutput!O1010</f>
        <v>0</v>
      </c>
      <c r="BP114" s="114">
        <f>Modeloutput!P1010</f>
        <v>0</v>
      </c>
      <c r="BQ114" s="24"/>
      <c r="BR114" s="119" t="s">
        <v>4</v>
      </c>
      <c r="BS114" s="114">
        <f>Modeloutput!B1265</f>
        <v>3.0640449300000001</v>
      </c>
      <c r="BT114" s="114">
        <f>Modeloutput!C1265</f>
        <v>0</v>
      </c>
      <c r="BU114" s="114">
        <f>Modeloutput!D1265</f>
        <v>3.0640449300000001</v>
      </c>
      <c r="BV114" s="114">
        <f>Modeloutput!E1265</f>
        <v>1.4315866399999999</v>
      </c>
      <c r="BW114" s="114">
        <f>Modeloutput!F1265</f>
        <v>0.21387187699999999</v>
      </c>
      <c r="BX114" s="114">
        <f>Modeloutput!G1265</f>
        <v>1.3429660400000001</v>
      </c>
      <c r="BY114" s="114">
        <f>Modeloutput!H1265</f>
        <v>7.4894239400000007E-2</v>
      </c>
      <c r="BZ114" s="114">
        <f>Modeloutput!I1265</f>
        <v>0</v>
      </c>
      <c r="CA114" s="114">
        <f>Modeloutput!J1265</f>
        <v>0</v>
      </c>
      <c r="CB114" s="114">
        <f>Modeloutput!K1265</f>
        <v>0</v>
      </c>
      <c r="CC114" s="114">
        <f>Modeloutput!L1265</f>
        <v>0</v>
      </c>
      <c r="CD114" s="114">
        <f>Modeloutput!M1265</f>
        <v>7.2613294999999999E-4</v>
      </c>
      <c r="CE114" s="114">
        <f>Modeloutput!N1265</f>
        <v>0</v>
      </c>
      <c r="CF114" s="114">
        <f>Modeloutput!O1265</f>
        <v>0</v>
      </c>
      <c r="CG114" s="114">
        <f>Modeloutput!P1265</f>
        <v>0</v>
      </c>
    </row>
    <row r="115" spans="2:85" s="7" customFormat="1" x14ac:dyDescent="0.25">
      <c r="B115" s="7" t="s">
        <v>5</v>
      </c>
      <c r="C115" s="114">
        <f>Modeloutput!B246</f>
        <v>2.4823578099999999</v>
      </c>
      <c r="D115" s="114">
        <f>Modeloutput!C246</f>
        <v>3.15326532</v>
      </c>
      <c r="E115" s="114">
        <f>Modeloutput!D246</f>
        <v>-0.67090751599999998</v>
      </c>
      <c r="F115" s="114">
        <f>Modeloutput!E246</f>
        <v>1.2036964699999999</v>
      </c>
      <c r="G115" s="114">
        <f>Modeloutput!F246</f>
        <v>0.186451424</v>
      </c>
      <c r="H115" s="114">
        <f>Modeloutput!G246</f>
        <v>1.0787548300000001</v>
      </c>
      <c r="I115" s="114">
        <f>Modeloutput!H246</f>
        <v>1.3455083200000001E-2</v>
      </c>
      <c r="J115" s="114">
        <f>Modeloutput!I246</f>
        <v>0</v>
      </c>
      <c r="K115" s="114">
        <f>Modeloutput!J246</f>
        <v>0</v>
      </c>
      <c r="L115" s="114">
        <f>Modeloutput!K246</f>
        <v>0</v>
      </c>
      <c r="M115" s="114">
        <f>Modeloutput!L246</f>
        <v>0</v>
      </c>
      <c r="N115" s="114">
        <f>Modeloutput!M246</f>
        <v>0</v>
      </c>
      <c r="O115" s="114">
        <f>Modeloutput!N246</f>
        <v>0</v>
      </c>
      <c r="P115" s="114">
        <f>Modeloutput!O246</f>
        <v>0</v>
      </c>
      <c r="Q115" s="114">
        <f>Modeloutput!P246</f>
        <v>0</v>
      </c>
      <c r="R115" s="24"/>
      <c r="S115" s="119" t="s">
        <v>5</v>
      </c>
      <c r="T115" s="114">
        <f>Modeloutput!B501</f>
        <v>1.80435441</v>
      </c>
      <c r="U115" s="114">
        <f>Modeloutput!C501</f>
        <v>2.2920177599999998</v>
      </c>
      <c r="V115" s="114">
        <f>Modeloutput!D501</f>
        <v>-0.48766335300000002</v>
      </c>
      <c r="W115" s="114">
        <f>Modeloutput!E501</f>
        <v>1.0538999600000001</v>
      </c>
      <c r="X115" s="114">
        <f>Modeloutput!F501</f>
        <v>0.186451424</v>
      </c>
      <c r="Y115" s="114">
        <f>Modeloutput!G501</f>
        <v>0.55019933700000001</v>
      </c>
      <c r="Z115" s="114">
        <f>Modeloutput!H501</f>
        <v>1.38036813E-2</v>
      </c>
      <c r="AA115" s="114">
        <f>Modeloutput!I501</f>
        <v>0</v>
      </c>
      <c r="AB115" s="114">
        <f>Modeloutput!J501</f>
        <v>0</v>
      </c>
      <c r="AC115" s="114">
        <f>Modeloutput!K501</f>
        <v>0</v>
      </c>
      <c r="AD115" s="114">
        <f>Modeloutput!L501</f>
        <v>0</v>
      </c>
      <c r="AE115" s="114">
        <f>Modeloutput!M501</f>
        <v>0</v>
      </c>
      <c r="AF115" s="114">
        <f>Modeloutput!N501</f>
        <v>0</v>
      </c>
      <c r="AG115" s="114">
        <f>Modeloutput!O501</f>
        <v>0</v>
      </c>
      <c r="AH115" s="114">
        <f>Modeloutput!P501</f>
        <v>0</v>
      </c>
      <c r="AI115" s="24"/>
      <c r="AJ115" s="119" t="s">
        <v>5</v>
      </c>
      <c r="AK115" s="93">
        <f>Modeloutput!B756</f>
        <v>1.0767063800000001</v>
      </c>
      <c r="AL115" s="93">
        <f>Modeloutput!C756</f>
        <v>1.3677081099999999</v>
      </c>
      <c r="AM115" s="93">
        <f>Modeloutput!D756</f>
        <v>-0.29100172499999999</v>
      </c>
      <c r="AN115" s="93">
        <f>Modeloutput!E756</f>
        <v>0.67883998700000003</v>
      </c>
      <c r="AO115" s="93">
        <f>Modeloutput!F756</f>
        <v>0.186329737</v>
      </c>
      <c r="AP115" s="93">
        <f>Modeloutput!G756</f>
        <v>0.198415222</v>
      </c>
      <c r="AQ115" s="93">
        <f>Modeloutput!H756</f>
        <v>1.3121434899999999E-2</v>
      </c>
      <c r="AR115" s="93">
        <f>Modeloutput!I756</f>
        <v>0</v>
      </c>
      <c r="AS115" s="93">
        <f>Modeloutput!J756</f>
        <v>0</v>
      </c>
      <c r="AT115" s="93">
        <f>Modeloutput!K756</f>
        <v>0</v>
      </c>
      <c r="AU115" s="93">
        <f>Modeloutput!L756</f>
        <v>0</v>
      </c>
      <c r="AV115" s="93">
        <f>Modeloutput!M756</f>
        <v>0</v>
      </c>
      <c r="AW115" s="93">
        <f>Modeloutput!N756</f>
        <v>0</v>
      </c>
      <c r="AX115" s="93">
        <f>Modeloutput!O756</f>
        <v>0</v>
      </c>
      <c r="AY115" s="93">
        <f>Modeloutput!P756</f>
        <v>0</v>
      </c>
      <c r="AZ115" s="24"/>
      <c r="BA115" s="119" t="s">
        <v>5</v>
      </c>
      <c r="BB115" s="114">
        <f>Modeloutput!B1011</f>
        <v>2.0735378199999999</v>
      </c>
      <c r="BC115" s="114">
        <f>Modeloutput!C1011</f>
        <v>2.63395344</v>
      </c>
      <c r="BD115" s="114">
        <f>Modeloutput!D1011</f>
        <v>-0.56041562599999994</v>
      </c>
      <c r="BE115" s="114">
        <f>Modeloutput!E1011</f>
        <v>1.17155272</v>
      </c>
      <c r="BF115" s="114">
        <f>Modeloutput!F1011</f>
        <v>0.186329737</v>
      </c>
      <c r="BG115" s="114">
        <f>Modeloutput!G1011</f>
        <v>0.702533929</v>
      </c>
      <c r="BH115" s="114">
        <f>Modeloutput!H1011</f>
        <v>1.3121434899999999E-2</v>
      </c>
      <c r="BI115" s="114">
        <f>Modeloutput!I1011</f>
        <v>0</v>
      </c>
      <c r="BJ115" s="114">
        <f>Modeloutput!J1011</f>
        <v>0</v>
      </c>
      <c r="BK115" s="114">
        <f>Modeloutput!K1011</f>
        <v>0</v>
      </c>
      <c r="BL115" s="114">
        <f>Modeloutput!L1011</f>
        <v>0</v>
      </c>
      <c r="BM115" s="114">
        <f>Modeloutput!M1011</f>
        <v>0</v>
      </c>
      <c r="BN115" s="114">
        <f>Modeloutput!N1011</f>
        <v>0</v>
      </c>
      <c r="BO115" s="114">
        <f>Modeloutput!O1011</f>
        <v>0</v>
      </c>
      <c r="BP115" s="114">
        <f>Modeloutput!P1011</f>
        <v>0</v>
      </c>
      <c r="BQ115" s="24"/>
      <c r="BR115" s="119" t="s">
        <v>5</v>
      </c>
      <c r="BS115" s="114">
        <f>Modeloutput!B1266</f>
        <v>3.07012149</v>
      </c>
      <c r="BT115" s="114">
        <f>Modeloutput!C1266</f>
        <v>3.8998840499999998</v>
      </c>
      <c r="BU115" s="114">
        <f>Modeloutput!D1266</f>
        <v>-0.82976256500000001</v>
      </c>
      <c r="BV115" s="114">
        <f>Modeloutput!E1266</f>
        <v>2.1114003100000001</v>
      </c>
      <c r="BW115" s="114">
        <f>Modeloutput!F1266</f>
        <v>0.26590336399999998</v>
      </c>
      <c r="BX115" s="114">
        <f>Modeloutput!G1266</f>
        <v>0.675539204</v>
      </c>
      <c r="BY115" s="114">
        <f>Modeloutput!H1266</f>
        <v>1.7278612799999999E-2</v>
      </c>
      <c r="BZ115" s="114">
        <f>Modeloutput!I1266</f>
        <v>0</v>
      </c>
      <c r="CA115" s="114">
        <f>Modeloutput!J1266</f>
        <v>0</v>
      </c>
      <c r="CB115" s="114">
        <f>Modeloutput!K1266</f>
        <v>0</v>
      </c>
      <c r="CC115" s="114">
        <f>Modeloutput!L1266</f>
        <v>0</v>
      </c>
      <c r="CD115" s="114">
        <f>Modeloutput!M1266</f>
        <v>0</v>
      </c>
      <c r="CE115" s="114">
        <f>Modeloutput!N1266</f>
        <v>0</v>
      </c>
      <c r="CF115" s="114">
        <f>Modeloutput!O1266</f>
        <v>0</v>
      </c>
      <c r="CG115" s="114">
        <f>Modeloutput!P1266</f>
        <v>0</v>
      </c>
    </row>
    <row r="116" spans="2:85" s="7" customFormat="1" x14ac:dyDescent="0.25">
      <c r="B116" s="7" t="s">
        <v>6</v>
      </c>
      <c r="C116" s="114">
        <f>Modeloutput!B247</f>
        <v>0</v>
      </c>
      <c r="D116" s="114">
        <f>Modeloutput!C247</f>
        <v>0</v>
      </c>
      <c r="E116" s="114">
        <f>Modeloutput!D247</f>
        <v>0</v>
      </c>
      <c r="F116" s="114">
        <f>Modeloutput!E247</f>
        <v>0</v>
      </c>
      <c r="G116" s="114">
        <f>Modeloutput!F247</f>
        <v>0</v>
      </c>
      <c r="H116" s="114">
        <f>Modeloutput!G247</f>
        <v>0</v>
      </c>
      <c r="I116" s="114">
        <f>Modeloutput!H247</f>
        <v>0</v>
      </c>
      <c r="J116" s="114">
        <f>Modeloutput!I247</f>
        <v>0</v>
      </c>
      <c r="K116" s="114">
        <f>Modeloutput!J247</f>
        <v>0</v>
      </c>
      <c r="L116" s="114">
        <f>Modeloutput!K247</f>
        <v>0</v>
      </c>
      <c r="M116" s="114">
        <f>Modeloutput!L247</f>
        <v>0</v>
      </c>
      <c r="N116" s="114">
        <f>Modeloutput!M247</f>
        <v>0</v>
      </c>
      <c r="O116" s="114">
        <f>Modeloutput!N247</f>
        <v>0</v>
      </c>
      <c r="P116" s="114">
        <f>Modeloutput!O247</f>
        <v>0</v>
      </c>
      <c r="Q116" s="114">
        <f>Modeloutput!P247</f>
        <v>0</v>
      </c>
      <c r="R116" s="24"/>
      <c r="S116" s="119" t="s">
        <v>6</v>
      </c>
      <c r="T116" s="114">
        <f>Modeloutput!B502</f>
        <v>0</v>
      </c>
      <c r="U116" s="114">
        <f>Modeloutput!C502</f>
        <v>0</v>
      </c>
      <c r="V116" s="114">
        <f>Modeloutput!D502</f>
        <v>0</v>
      </c>
      <c r="W116" s="114">
        <f>Modeloutput!E502</f>
        <v>0</v>
      </c>
      <c r="X116" s="114">
        <f>Modeloutput!F502</f>
        <v>0</v>
      </c>
      <c r="Y116" s="114">
        <f>Modeloutput!G502</f>
        <v>0</v>
      </c>
      <c r="Z116" s="114">
        <f>Modeloutput!H502</f>
        <v>0</v>
      </c>
      <c r="AA116" s="114">
        <f>Modeloutput!I502</f>
        <v>0</v>
      </c>
      <c r="AB116" s="114">
        <f>Modeloutput!J502</f>
        <v>0</v>
      </c>
      <c r="AC116" s="114">
        <f>Modeloutput!K502</f>
        <v>0</v>
      </c>
      <c r="AD116" s="114">
        <f>Modeloutput!L502</f>
        <v>0</v>
      </c>
      <c r="AE116" s="114">
        <f>Modeloutput!M502</f>
        <v>0</v>
      </c>
      <c r="AF116" s="114">
        <f>Modeloutput!N502</f>
        <v>0</v>
      </c>
      <c r="AG116" s="114">
        <f>Modeloutput!O502</f>
        <v>0</v>
      </c>
      <c r="AH116" s="114">
        <f>Modeloutput!P502</f>
        <v>0</v>
      </c>
      <c r="AI116" s="24"/>
      <c r="AJ116" s="119" t="s">
        <v>6</v>
      </c>
      <c r="AK116" s="93">
        <f>Modeloutput!B757</f>
        <v>0</v>
      </c>
      <c r="AL116" s="93">
        <f>Modeloutput!C757</f>
        <v>0</v>
      </c>
      <c r="AM116" s="93">
        <f>Modeloutput!D757</f>
        <v>0</v>
      </c>
      <c r="AN116" s="93">
        <f>Modeloutput!E757</f>
        <v>0</v>
      </c>
      <c r="AO116" s="93">
        <f>Modeloutput!F757</f>
        <v>0</v>
      </c>
      <c r="AP116" s="93">
        <f>Modeloutput!G757</f>
        <v>0</v>
      </c>
      <c r="AQ116" s="93">
        <f>Modeloutput!H757</f>
        <v>0</v>
      </c>
      <c r="AR116" s="93">
        <f>Modeloutput!I757</f>
        <v>0</v>
      </c>
      <c r="AS116" s="93">
        <f>Modeloutput!J757</f>
        <v>0</v>
      </c>
      <c r="AT116" s="93">
        <f>Modeloutput!K757</f>
        <v>0</v>
      </c>
      <c r="AU116" s="93">
        <f>Modeloutput!L757</f>
        <v>0</v>
      </c>
      <c r="AV116" s="93">
        <f>Modeloutput!M757</f>
        <v>0</v>
      </c>
      <c r="AW116" s="93">
        <f>Modeloutput!N757</f>
        <v>0</v>
      </c>
      <c r="AX116" s="93">
        <f>Modeloutput!O757</f>
        <v>0</v>
      </c>
      <c r="AY116" s="93">
        <f>Modeloutput!P757</f>
        <v>0</v>
      </c>
      <c r="AZ116" s="24"/>
      <c r="BA116" s="119" t="s">
        <v>6</v>
      </c>
      <c r="BB116" s="114">
        <f>Modeloutput!B1012</f>
        <v>0</v>
      </c>
      <c r="BC116" s="114">
        <f>Modeloutput!C1012</f>
        <v>0</v>
      </c>
      <c r="BD116" s="114">
        <f>Modeloutput!D1012</f>
        <v>0</v>
      </c>
      <c r="BE116" s="114">
        <f>Modeloutput!E1012</f>
        <v>0</v>
      </c>
      <c r="BF116" s="114">
        <f>Modeloutput!F1012</f>
        <v>0</v>
      </c>
      <c r="BG116" s="114">
        <f>Modeloutput!G1012</f>
        <v>0</v>
      </c>
      <c r="BH116" s="114">
        <f>Modeloutput!H1012</f>
        <v>0</v>
      </c>
      <c r="BI116" s="114">
        <f>Modeloutput!I1012</f>
        <v>0</v>
      </c>
      <c r="BJ116" s="114">
        <f>Modeloutput!J1012</f>
        <v>0</v>
      </c>
      <c r="BK116" s="114">
        <f>Modeloutput!K1012</f>
        <v>0</v>
      </c>
      <c r="BL116" s="114">
        <f>Modeloutput!L1012</f>
        <v>0</v>
      </c>
      <c r="BM116" s="114">
        <f>Modeloutput!M1012</f>
        <v>0</v>
      </c>
      <c r="BN116" s="114">
        <f>Modeloutput!N1012</f>
        <v>0</v>
      </c>
      <c r="BO116" s="114">
        <f>Modeloutput!O1012</f>
        <v>0</v>
      </c>
      <c r="BP116" s="114">
        <f>Modeloutput!P1012</f>
        <v>0</v>
      </c>
      <c r="BQ116" s="24"/>
      <c r="BR116" s="119" t="s">
        <v>6</v>
      </c>
      <c r="BS116" s="114">
        <f>Modeloutput!B1267</f>
        <v>1.4232600099999999</v>
      </c>
      <c r="BT116" s="114">
        <f>Modeloutput!C1267</f>
        <v>1.8079248699999999</v>
      </c>
      <c r="BU116" s="114">
        <f>Modeloutput!D1267</f>
        <v>-0.38466486599999999</v>
      </c>
      <c r="BV116" s="114">
        <f>Modeloutput!E1267</f>
        <v>1.11939872</v>
      </c>
      <c r="BW116" s="114">
        <f>Modeloutput!F1267</f>
        <v>8.3648220600000003E-2</v>
      </c>
      <c r="BX116" s="114">
        <f>Modeloutput!G1267</f>
        <v>0.208992713</v>
      </c>
      <c r="BY116" s="114">
        <f>Modeloutput!H1267</f>
        <v>1.12203544E-2</v>
      </c>
      <c r="BZ116" s="114">
        <f>Modeloutput!I1267</f>
        <v>0</v>
      </c>
      <c r="CA116" s="114">
        <f>Modeloutput!J1267</f>
        <v>0</v>
      </c>
      <c r="CB116" s="114">
        <f>Modeloutput!K1267</f>
        <v>0</v>
      </c>
      <c r="CC116" s="114">
        <f>Modeloutput!L1267</f>
        <v>0</v>
      </c>
      <c r="CD116" s="114">
        <f>Modeloutput!M1267</f>
        <v>0</v>
      </c>
      <c r="CE116" s="114">
        <f>Modeloutput!N1267</f>
        <v>0</v>
      </c>
      <c r="CF116" s="114">
        <f>Modeloutput!O1267</f>
        <v>0</v>
      </c>
      <c r="CG116" s="114">
        <f>Modeloutput!P1267</f>
        <v>0</v>
      </c>
    </row>
    <row r="117" spans="2:85" s="7" customFormat="1" x14ac:dyDescent="0.25">
      <c r="B117" s="7" t="s">
        <v>7</v>
      </c>
      <c r="C117" s="114">
        <f>Modeloutput!B248</f>
        <v>0.20650893000000001</v>
      </c>
      <c r="D117" s="114">
        <f>Modeloutput!C248</f>
        <v>8.1917599899999999E-2</v>
      </c>
      <c r="E117" s="114">
        <f>Modeloutput!D248</f>
        <v>0.12459133</v>
      </c>
      <c r="F117" s="114">
        <f>Modeloutput!E248</f>
        <v>0</v>
      </c>
      <c r="G117" s="114">
        <f>Modeloutput!F248</f>
        <v>0.15707523300000001</v>
      </c>
      <c r="H117" s="114">
        <f>Modeloutput!G248</f>
        <v>3.4886709299999999E-2</v>
      </c>
      <c r="I117" s="114">
        <f>Modeloutput!H248</f>
        <v>1.4546987799999999E-2</v>
      </c>
      <c r="J117" s="114">
        <f>Modeloutput!I248</f>
        <v>0</v>
      </c>
      <c r="K117" s="114">
        <f>Modeloutput!J248</f>
        <v>0</v>
      </c>
      <c r="L117" s="114">
        <f>Modeloutput!K248</f>
        <v>0</v>
      </c>
      <c r="M117" s="114">
        <f>Modeloutput!L248</f>
        <v>0</v>
      </c>
      <c r="N117" s="114">
        <f>Modeloutput!M248</f>
        <v>0</v>
      </c>
      <c r="O117" s="114">
        <f>Modeloutput!N248</f>
        <v>0</v>
      </c>
      <c r="P117" s="114">
        <f>Modeloutput!O248</f>
        <v>0</v>
      </c>
      <c r="Q117" s="114">
        <f>Modeloutput!P248</f>
        <v>0</v>
      </c>
      <c r="R117" s="24"/>
      <c r="S117" s="119" t="s">
        <v>7</v>
      </c>
      <c r="T117" s="114">
        <f>Modeloutput!B503</f>
        <v>0.20307145600000001</v>
      </c>
      <c r="U117" s="114">
        <f>Modeloutput!C503</f>
        <v>8.0443703000000005E-2</v>
      </c>
      <c r="V117" s="114">
        <f>Modeloutput!D503</f>
        <v>0.12262775300000001</v>
      </c>
      <c r="W117" s="114">
        <f>Modeloutput!E503</f>
        <v>0</v>
      </c>
      <c r="X117" s="114">
        <f>Modeloutput!F503</f>
        <v>0.15580423099999999</v>
      </c>
      <c r="Y117" s="114">
        <f>Modeloutput!G503</f>
        <v>3.2720236600000001E-2</v>
      </c>
      <c r="Z117" s="114">
        <f>Modeloutput!H503</f>
        <v>1.4546987799999999E-2</v>
      </c>
      <c r="AA117" s="114">
        <f>Modeloutput!I503</f>
        <v>0</v>
      </c>
      <c r="AB117" s="114">
        <f>Modeloutput!J503</f>
        <v>0</v>
      </c>
      <c r="AC117" s="114">
        <f>Modeloutput!K503</f>
        <v>0</v>
      </c>
      <c r="AD117" s="114">
        <f>Modeloutput!L503</f>
        <v>0</v>
      </c>
      <c r="AE117" s="114">
        <f>Modeloutput!M503</f>
        <v>0</v>
      </c>
      <c r="AF117" s="114">
        <f>Modeloutput!N503</f>
        <v>0</v>
      </c>
      <c r="AG117" s="114">
        <f>Modeloutput!O503</f>
        <v>0</v>
      </c>
      <c r="AH117" s="114">
        <f>Modeloutput!P503</f>
        <v>0</v>
      </c>
      <c r="AI117" s="24"/>
      <c r="AJ117" s="119" t="s">
        <v>7</v>
      </c>
      <c r="AK117" s="93">
        <f>Modeloutput!B758</f>
        <v>1.6473070000000001</v>
      </c>
      <c r="AL117" s="93">
        <f>Modeloutput!C758</f>
        <v>0.68766571399999998</v>
      </c>
      <c r="AM117" s="93">
        <f>Modeloutput!D758</f>
        <v>0.95964128199999998</v>
      </c>
      <c r="AN117" s="93">
        <f>Modeloutput!E758</f>
        <v>1.2032153999999999</v>
      </c>
      <c r="AO117" s="93">
        <f>Modeloutput!F758</f>
        <v>0.15916361600000001</v>
      </c>
      <c r="AP117" s="93">
        <f>Modeloutput!G758</f>
        <v>0.27001582600000001</v>
      </c>
      <c r="AQ117" s="93">
        <f>Modeloutput!H758</f>
        <v>1.49121562E-2</v>
      </c>
      <c r="AR117" s="93">
        <f>Modeloutput!I758</f>
        <v>0</v>
      </c>
      <c r="AS117" s="93">
        <f>Modeloutput!J758</f>
        <v>0</v>
      </c>
      <c r="AT117" s="93">
        <f>Modeloutput!K758</f>
        <v>0</v>
      </c>
      <c r="AU117" s="93">
        <f>Modeloutput!L758</f>
        <v>0</v>
      </c>
      <c r="AV117" s="93">
        <f>Modeloutput!M758</f>
        <v>0</v>
      </c>
      <c r="AW117" s="93">
        <f>Modeloutput!N758</f>
        <v>0</v>
      </c>
      <c r="AX117" s="93">
        <f>Modeloutput!O758</f>
        <v>0</v>
      </c>
      <c r="AY117" s="93">
        <f>Modeloutput!P758</f>
        <v>0</v>
      </c>
      <c r="AZ117" s="24"/>
      <c r="BA117" s="119" t="s">
        <v>7</v>
      </c>
      <c r="BB117" s="114">
        <f>Modeloutput!B1013</f>
        <v>0</v>
      </c>
      <c r="BC117" s="114">
        <f>Modeloutput!C1013</f>
        <v>0</v>
      </c>
      <c r="BD117" s="114">
        <f>Modeloutput!D1013</f>
        <v>0</v>
      </c>
      <c r="BE117" s="114">
        <f>Modeloutput!E1013</f>
        <v>0</v>
      </c>
      <c r="BF117" s="114">
        <f>Modeloutput!F1013</f>
        <v>0</v>
      </c>
      <c r="BG117" s="114">
        <f>Modeloutput!G1013</f>
        <v>0</v>
      </c>
      <c r="BH117" s="114">
        <f>Modeloutput!H1013</f>
        <v>0</v>
      </c>
      <c r="BI117" s="114">
        <f>Modeloutput!I1013</f>
        <v>0</v>
      </c>
      <c r="BJ117" s="114">
        <f>Modeloutput!J1013</f>
        <v>0</v>
      </c>
      <c r="BK117" s="114">
        <f>Modeloutput!K1013</f>
        <v>0</v>
      </c>
      <c r="BL117" s="114">
        <f>Modeloutput!L1013</f>
        <v>0</v>
      </c>
      <c r="BM117" s="114">
        <f>Modeloutput!M1013</f>
        <v>0</v>
      </c>
      <c r="BN117" s="114">
        <f>Modeloutput!N1013</f>
        <v>0</v>
      </c>
      <c r="BO117" s="114">
        <f>Modeloutput!O1013</f>
        <v>0</v>
      </c>
      <c r="BP117" s="114">
        <f>Modeloutput!P1013</f>
        <v>0</v>
      </c>
      <c r="BQ117" s="24"/>
      <c r="BR117" s="119" t="s">
        <v>7</v>
      </c>
      <c r="BS117" s="114">
        <f>Modeloutput!B1268</f>
        <v>1.8331703E-3</v>
      </c>
      <c r="BT117" s="114">
        <f>Modeloutput!C1268</f>
        <v>7.2613294999999999E-4</v>
      </c>
      <c r="BU117" s="114">
        <f>Modeloutput!D1268</f>
        <v>1.1070373500000001E-3</v>
      </c>
      <c r="BV117" s="114">
        <f>Modeloutput!E1268</f>
        <v>0</v>
      </c>
      <c r="BW117" s="114">
        <f>Modeloutput!F1268</f>
        <v>9.76527714E-4</v>
      </c>
      <c r="BX117" s="114">
        <f>Modeloutput!G1268</f>
        <v>4.49751645E-4</v>
      </c>
      <c r="BY117" s="114">
        <f>Modeloutput!H1268</f>
        <v>4.06890944E-4</v>
      </c>
      <c r="BZ117" s="114">
        <f>Modeloutput!I1268</f>
        <v>0</v>
      </c>
      <c r="CA117" s="114">
        <f>Modeloutput!J1268</f>
        <v>0</v>
      </c>
      <c r="CB117" s="114">
        <f>Modeloutput!K1268</f>
        <v>0</v>
      </c>
      <c r="CC117" s="114">
        <f>Modeloutput!L1268</f>
        <v>0</v>
      </c>
      <c r="CD117" s="114">
        <f>Modeloutput!M1268</f>
        <v>0</v>
      </c>
      <c r="CE117" s="114">
        <f>Modeloutput!N1268</f>
        <v>0</v>
      </c>
      <c r="CF117" s="114">
        <f>Modeloutput!O1268</f>
        <v>0</v>
      </c>
      <c r="CG117" s="114">
        <f>Modeloutput!P1268</f>
        <v>0</v>
      </c>
    </row>
    <row r="118" spans="2:85" s="7" customFormat="1" x14ac:dyDescent="0.25">
      <c r="B118" s="7" t="s">
        <v>8</v>
      </c>
      <c r="C118" s="114">
        <f>Modeloutput!B249</f>
        <v>0</v>
      </c>
      <c r="D118" s="114">
        <f>Modeloutput!C249</f>
        <v>0</v>
      </c>
      <c r="E118" s="114">
        <f>Modeloutput!D249</f>
        <v>0</v>
      </c>
      <c r="F118" s="114">
        <f>Modeloutput!E249</f>
        <v>0</v>
      </c>
      <c r="G118" s="114">
        <f>Modeloutput!F249</f>
        <v>0</v>
      </c>
      <c r="H118" s="114">
        <f>Modeloutput!G249</f>
        <v>0</v>
      </c>
      <c r="I118" s="114">
        <f>Modeloutput!H249</f>
        <v>0</v>
      </c>
      <c r="J118" s="114">
        <f>Modeloutput!I249</f>
        <v>0</v>
      </c>
      <c r="K118" s="114">
        <f>Modeloutput!J249</f>
        <v>0</v>
      </c>
      <c r="L118" s="114">
        <f>Modeloutput!K249</f>
        <v>0</v>
      </c>
      <c r="M118" s="114">
        <f>Modeloutput!L249</f>
        <v>0</v>
      </c>
      <c r="N118" s="114">
        <f>Modeloutput!M249</f>
        <v>0</v>
      </c>
      <c r="O118" s="114">
        <f>Modeloutput!N249</f>
        <v>0</v>
      </c>
      <c r="P118" s="114">
        <f>Modeloutput!O249</f>
        <v>0</v>
      </c>
      <c r="Q118" s="114">
        <f>Modeloutput!P249</f>
        <v>0</v>
      </c>
      <c r="R118" s="24"/>
      <c r="S118" s="119" t="s">
        <v>8</v>
      </c>
      <c r="T118" s="114">
        <f>Modeloutput!B504</f>
        <v>0</v>
      </c>
      <c r="U118" s="114">
        <f>Modeloutput!C504</f>
        <v>0</v>
      </c>
      <c r="V118" s="114">
        <f>Modeloutput!D504</f>
        <v>0</v>
      </c>
      <c r="W118" s="114">
        <f>Modeloutput!E504</f>
        <v>0</v>
      </c>
      <c r="X118" s="114">
        <f>Modeloutput!F504</f>
        <v>0</v>
      </c>
      <c r="Y118" s="114">
        <f>Modeloutput!G504</f>
        <v>0</v>
      </c>
      <c r="Z118" s="114">
        <f>Modeloutput!H504</f>
        <v>0</v>
      </c>
      <c r="AA118" s="114">
        <f>Modeloutput!I504</f>
        <v>0</v>
      </c>
      <c r="AB118" s="114">
        <f>Modeloutput!J504</f>
        <v>0</v>
      </c>
      <c r="AC118" s="114">
        <f>Modeloutput!K504</f>
        <v>0</v>
      </c>
      <c r="AD118" s="114">
        <f>Modeloutput!L504</f>
        <v>0</v>
      </c>
      <c r="AE118" s="114">
        <f>Modeloutput!M504</f>
        <v>0</v>
      </c>
      <c r="AF118" s="114">
        <f>Modeloutput!N504</f>
        <v>0</v>
      </c>
      <c r="AG118" s="114">
        <f>Modeloutput!O504</f>
        <v>0</v>
      </c>
      <c r="AH118" s="114">
        <f>Modeloutput!P504</f>
        <v>0</v>
      </c>
      <c r="AI118" s="24"/>
      <c r="AJ118" s="119" t="s">
        <v>8</v>
      </c>
      <c r="AK118" s="93">
        <f>Modeloutput!B759</f>
        <v>0</v>
      </c>
      <c r="AL118" s="93">
        <f>Modeloutput!C759</f>
        <v>0</v>
      </c>
      <c r="AM118" s="93">
        <f>Modeloutput!D759</f>
        <v>0</v>
      </c>
      <c r="AN118" s="93">
        <f>Modeloutput!E759</f>
        <v>0</v>
      </c>
      <c r="AO118" s="93">
        <f>Modeloutput!F759</f>
        <v>0</v>
      </c>
      <c r="AP118" s="93">
        <f>Modeloutput!G759</f>
        <v>0</v>
      </c>
      <c r="AQ118" s="93">
        <f>Modeloutput!H759</f>
        <v>0</v>
      </c>
      <c r="AR118" s="93">
        <f>Modeloutput!I759</f>
        <v>0</v>
      </c>
      <c r="AS118" s="93">
        <f>Modeloutput!J759</f>
        <v>0</v>
      </c>
      <c r="AT118" s="93">
        <f>Modeloutput!K759</f>
        <v>0</v>
      </c>
      <c r="AU118" s="93">
        <f>Modeloutput!L759</f>
        <v>0</v>
      </c>
      <c r="AV118" s="93">
        <f>Modeloutput!M759</f>
        <v>0</v>
      </c>
      <c r="AW118" s="93">
        <f>Modeloutput!N759</f>
        <v>0</v>
      </c>
      <c r="AX118" s="93">
        <f>Modeloutput!O759</f>
        <v>0</v>
      </c>
      <c r="AY118" s="93">
        <f>Modeloutput!P759</f>
        <v>0</v>
      </c>
      <c r="AZ118" s="24"/>
      <c r="BA118" s="119" t="s">
        <v>8</v>
      </c>
      <c r="BB118" s="114">
        <f>Modeloutput!B1014</f>
        <v>0</v>
      </c>
      <c r="BC118" s="114">
        <f>Modeloutput!C1014</f>
        <v>0</v>
      </c>
      <c r="BD118" s="114">
        <f>Modeloutput!D1014</f>
        <v>0</v>
      </c>
      <c r="BE118" s="114">
        <f>Modeloutput!E1014</f>
        <v>0</v>
      </c>
      <c r="BF118" s="114">
        <f>Modeloutput!F1014</f>
        <v>0</v>
      </c>
      <c r="BG118" s="114">
        <f>Modeloutput!G1014</f>
        <v>0</v>
      </c>
      <c r="BH118" s="114">
        <f>Modeloutput!H1014</f>
        <v>0</v>
      </c>
      <c r="BI118" s="114">
        <f>Modeloutput!I1014</f>
        <v>0</v>
      </c>
      <c r="BJ118" s="114">
        <f>Modeloutput!J1014</f>
        <v>0</v>
      </c>
      <c r="BK118" s="114">
        <f>Modeloutput!K1014</f>
        <v>0</v>
      </c>
      <c r="BL118" s="114">
        <f>Modeloutput!L1014</f>
        <v>0</v>
      </c>
      <c r="BM118" s="114">
        <f>Modeloutput!M1014</f>
        <v>0</v>
      </c>
      <c r="BN118" s="114">
        <f>Modeloutput!N1014</f>
        <v>0</v>
      </c>
      <c r="BO118" s="114">
        <f>Modeloutput!O1014</f>
        <v>0</v>
      </c>
      <c r="BP118" s="114">
        <f>Modeloutput!P1014</f>
        <v>0</v>
      </c>
      <c r="BQ118" s="24"/>
      <c r="BR118" s="119" t="s">
        <v>8</v>
      </c>
      <c r="BS118" s="114">
        <f>Modeloutput!B1269</f>
        <v>0</v>
      </c>
      <c r="BT118" s="114">
        <f>Modeloutput!C1269</f>
        <v>0</v>
      </c>
      <c r="BU118" s="114">
        <f>Modeloutput!D1269</f>
        <v>0</v>
      </c>
      <c r="BV118" s="114">
        <f>Modeloutput!E1269</f>
        <v>0</v>
      </c>
      <c r="BW118" s="114">
        <f>Modeloutput!F1269</f>
        <v>0</v>
      </c>
      <c r="BX118" s="114">
        <f>Modeloutput!G1269</f>
        <v>0</v>
      </c>
      <c r="BY118" s="114">
        <f>Modeloutput!H1269</f>
        <v>0</v>
      </c>
      <c r="BZ118" s="114">
        <f>Modeloutput!I1269</f>
        <v>0</v>
      </c>
      <c r="CA118" s="114">
        <f>Modeloutput!J1269</f>
        <v>0</v>
      </c>
      <c r="CB118" s="114">
        <f>Modeloutput!K1269</f>
        <v>0</v>
      </c>
      <c r="CC118" s="114">
        <f>Modeloutput!L1269</f>
        <v>0</v>
      </c>
      <c r="CD118" s="114">
        <f>Modeloutput!M1269</f>
        <v>0</v>
      </c>
      <c r="CE118" s="114">
        <f>Modeloutput!N1269</f>
        <v>0</v>
      </c>
      <c r="CF118" s="114">
        <f>Modeloutput!O1269</f>
        <v>0</v>
      </c>
      <c r="CG118" s="114">
        <f>Modeloutput!P1269</f>
        <v>0</v>
      </c>
    </row>
    <row r="119" spans="2:85" s="7" customFormat="1" x14ac:dyDescent="0.25">
      <c r="B119" s="7" t="s">
        <v>9</v>
      </c>
      <c r="C119" s="114">
        <f>Modeloutput!B250</f>
        <v>0</v>
      </c>
      <c r="D119" s="114">
        <f>Modeloutput!C250</f>
        <v>0</v>
      </c>
      <c r="E119" s="114">
        <f>Modeloutput!D250</f>
        <v>0</v>
      </c>
      <c r="F119" s="114">
        <f>Modeloutput!E250</f>
        <v>0</v>
      </c>
      <c r="G119" s="114">
        <f>Modeloutput!F250</f>
        <v>0</v>
      </c>
      <c r="H119" s="114">
        <f>Modeloutput!G250</f>
        <v>0</v>
      </c>
      <c r="I119" s="114">
        <f>Modeloutput!H250</f>
        <v>0</v>
      </c>
      <c r="J119" s="114">
        <f>Modeloutput!I250</f>
        <v>0</v>
      </c>
      <c r="K119" s="114">
        <f>Modeloutput!J250</f>
        <v>0</v>
      </c>
      <c r="L119" s="114">
        <f>Modeloutput!K250</f>
        <v>0</v>
      </c>
      <c r="M119" s="114">
        <f>Modeloutput!L250</f>
        <v>0</v>
      </c>
      <c r="N119" s="114">
        <f>Modeloutput!M250</f>
        <v>0</v>
      </c>
      <c r="O119" s="114">
        <f>Modeloutput!N250</f>
        <v>0</v>
      </c>
      <c r="P119" s="114">
        <f>Modeloutput!O250</f>
        <v>0</v>
      </c>
      <c r="Q119" s="114">
        <f>Modeloutput!P250</f>
        <v>0</v>
      </c>
      <c r="R119" s="24"/>
      <c r="S119" s="119" t="s">
        <v>9</v>
      </c>
      <c r="T119" s="114">
        <f>Modeloutput!B505</f>
        <v>0</v>
      </c>
      <c r="U119" s="114">
        <f>Modeloutput!C505</f>
        <v>0</v>
      </c>
      <c r="V119" s="114">
        <f>Modeloutput!D505</f>
        <v>0</v>
      </c>
      <c r="W119" s="114">
        <f>Modeloutput!E505</f>
        <v>0</v>
      </c>
      <c r="X119" s="114">
        <f>Modeloutput!F505</f>
        <v>0</v>
      </c>
      <c r="Y119" s="114">
        <f>Modeloutput!G505</f>
        <v>0</v>
      </c>
      <c r="Z119" s="114">
        <f>Modeloutput!H505</f>
        <v>0</v>
      </c>
      <c r="AA119" s="114">
        <f>Modeloutput!I505</f>
        <v>0</v>
      </c>
      <c r="AB119" s="114">
        <f>Modeloutput!J505</f>
        <v>0</v>
      </c>
      <c r="AC119" s="114">
        <f>Modeloutput!K505</f>
        <v>0</v>
      </c>
      <c r="AD119" s="114">
        <f>Modeloutput!L505</f>
        <v>0</v>
      </c>
      <c r="AE119" s="114">
        <f>Modeloutput!M505</f>
        <v>0</v>
      </c>
      <c r="AF119" s="114">
        <f>Modeloutput!N505</f>
        <v>0</v>
      </c>
      <c r="AG119" s="114">
        <f>Modeloutput!O505</f>
        <v>0</v>
      </c>
      <c r="AH119" s="114">
        <f>Modeloutput!P505</f>
        <v>0</v>
      </c>
      <c r="AI119" s="24"/>
      <c r="AJ119" s="119" t="s">
        <v>9</v>
      </c>
      <c r="AK119" s="93">
        <f>Modeloutput!B760</f>
        <v>0</v>
      </c>
      <c r="AL119" s="93">
        <f>Modeloutput!C760</f>
        <v>0</v>
      </c>
      <c r="AM119" s="93">
        <f>Modeloutput!D760</f>
        <v>0</v>
      </c>
      <c r="AN119" s="93">
        <f>Modeloutput!E760</f>
        <v>0</v>
      </c>
      <c r="AO119" s="93">
        <f>Modeloutput!F760</f>
        <v>0</v>
      </c>
      <c r="AP119" s="93">
        <f>Modeloutput!G760</f>
        <v>0</v>
      </c>
      <c r="AQ119" s="93">
        <f>Modeloutput!H760</f>
        <v>0</v>
      </c>
      <c r="AR119" s="93">
        <f>Modeloutput!I760</f>
        <v>0</v>
      </c>
      <c r="AS119" s="93">
        <f>Modeloutput!J760</f>
        <v>0</v>
      </c>
      <c r="AT119" s="93">
        <f>Modeloutput!K760</f>
        <v>0</v>
      </c>
      <c r="AU119" s="93">
        <f>Modeloutput!L760</f>
        <v>0</v>
      </c>
      <c r="AV119" s="93">
        <f>Modeloutput!M760</f>
        <v>0</v>
      </c>
      <c r="AW119" s="93">
        <f>Modeloutput!N760</f>
        <v>0</v>
      </c>
      <c r="AX119" s="93">
        <f>Modeloutput!O760</f>
        <v>0</v>
      </c>
      <c r="AY119" s="93">
        <f>Modeloutput!P760</f>
        <v>0</v>
      </c>
      <c r="AZ119" s="24"/>
      <c r="BA119" s="119" t="s">
        <v>9</v>
      </c>
      <c r="BB119" s="114">
        <f>Modeloutput!B1015</f>
        <v>0</v>
      </c>
      <c r="BC119" s="114">
        <f>Modeloutput!C1015</f>
        <v>0</v>
      </c>
      <c r="BD119" s="114">
        <f>Modeloutput!D1015</f>
        <v>0</v>
      </c>
      <c r="BE119" s="114">
        <f>Modeloutput!E1015</f>
        <v>0</v>
      </c>
      <c r="BF119" s="114">
        <f>Modeloutput!F1015</f>
        <v>0</v>
      </c>
      <c r="BG119" s="114">
        <f>Modeloutput!G1015</f>
        <v>0</v>
      </c>
      <c r="BH119" s="114">
        <f>Modeloutput!H1015</f>
        <v>0</v>
      </c>
      <c r="BI119" s="114">
        <f>Modeloutput!I1015</f>
        <v>0</v>
      </c>
      <c r="BJ119" s="114">
        <f>Modeloutput!J1015</f>
        <v>0</v>
      </c>
      <c r="BK119" s="114">
        <f>Modeloutput!K1015</f>
        <v>0</v>
      </c>
      <c r="BL119" s="114">
        <f>Modeloutput!L1015</f>
        <v>0</v>
      </c>
      <c r="BM119" s="114">
        <f>Modeloutput!M1015</f>
        <v>0</v>
      </c>
      <c r="BN119" s="114">
        <f>Modeloutput!N1015</f>
        <v>0</v>
      </c>
      <c r="BO119" s="114">
        <f>Modeloutput!O1015</f>
        <v>0</v>
      </c>
      <c r="BP119" s="114">
        <f>Modeloutput!P1015</f>
        <v>0</v>
      </c>
      <c r="BQ119" s="24"/>
      <c r="BR119" s="119" t="s">
        <v>9</v>
      </c>
      <c r="BS119" s="114">
        <f>Modeloutput!B1270</f>
        <v>0</v>
      </c>
      <c r="BT119" s="114">
        <f>Modeloutput!C1270</f>
        <v>0</v>
      </c>
      <c r="BU119" s="114">
        <f>Modeloutput!D1270</f>
        <v>0</v>
      </c>
      <c r="BV119" s="114">
        <f>Modeloutput!E1270</f>
        <v>0</v>
      </c>
      <c r="BW119" s="114">
        <f>Modeloutput!F1270</f>
        <v>0</v>
      </c>
      <c r="BX119" s="114">
        <f>Modeloutput!G1270</f>
        <v>0</v>
      </c>
      <c r="BY119" s="114">
        <f>Modeloutput!H1270</f>
        <v>0</v>
      </c>
      <c r="BZ119" s="114">
        <f>Modeloutput!I1270</f>
        <v>0</v>
      </c>
      <c r="CA119" s="114">
        <f>Modeloutput!J1270</f>
        <v>0</v>
      </c>
      <c r="CB119" s="114">
        <f>Modeloutput!K1270</f>
        <v>0</v>
      </c>
      <c r="CC119" s="114">
        <f>Modeloutput!L1270</f>
        <v>0</v>
      </c>
      <c r="CD119" s="114">
        <f>Modeloutput!M1270</f>
        <v>0</v>
      </c>
      <c r="CE119" s="114">
        <f>Modeloutput!N1270</f>
        <v>0</v>
      </c>
      <c r="CF119" s="114">
        <f>Modeloutput!O1270</f>
        <v>0</v>
      </c>
      <c r="CG119" s="114">
        <f>Modeloutput!P1270</f>
        <v>0</v>
      </c>
    </row>
    <row r="120" spans="2:85" s="7" customFormat="1" x14ac:dyDescent="0.25">
      <c r="B120" s="7" t="s">
        <v>10</v>
      </c>
      <c r="C120" s="114">
        <f>Modeloutput!B251</f>
        <v>0</v>
      </c>
      <c r="D120" s="114">
        <f>Modeloutput!C251</f>
        <v>0</v>
      </c>
      <c r="E120" s="114">
        <f>Modeloutput!D251</f>
        <v>0</v>
      </c>
      <c r="F120" s="114">
        <f>Modeloutput!E251</f>
        <v>0</v>
      </c>
      <c r="G120" s="114">
        <f>Modeloutput!F251</f>
        <v>0</v>
      </c>
      <c r="H120" s="114">
        <f>Modeloutput!G251</f>
        <v>0</v>
      </c>
      <c r="I120" s="114">
        <f>Modeloutput!H251</f>
        <v>0</v>
      </c>
      <c r="J120" s="114">
        <f>Modeloutput!I251</f>
        <v>0</v>
      </c>
      <c r="K120" s="114">
        <f>Modeloutput!J251</f>
        <v>0</v>
      </c>
      <c r="L120" s="114">
        <f>Modeloutput!K251</f>
        <v>0</v>
      </c>
      <c r="M120" s="114">
        <f>Modeloutput!L251</f>
        <v>0</v>
      </c>
      <c r="N120" s="114">
        <f>Modeloutput!M251</f>
        <v>0</v>
      </c>
      <c r="O120" s="114">
        <f>Modeloutput!N251</f>
        <v>0</v>
      </c>
      <c r="P120" s="114">
        <f>Modeloutput!O251</f>
        <v>0</v>
      </c>
      <c r="Q120" s="114">
        <f>Modeloutput!P251</f>
        <v>0</v>
      </c>
      <c r="R120" s="24"/>
      <c r="S120" s="119" t="s">
        <v>10</v>
      </c>
      <c r="T120" s="114">
        <f>Modeloutput!B506</f>
        <v>0</v>
      </c>
      <c r="U120" s="114">
        <f>Modeloutput!C506</f>
        <v>0</v>
      </c>
      <c r="V120" s="114">
        <f>Modeloutput!D506</f>
        <v>0</v>
      </c>
      <c r="W120" s="114">
        <f>Modeloutput!E506</f>
        <v>0</v>
      </c>
      <c r="X120" s="114">
        <f>Modeloutput!F506</f>
        <v>0</v>
      </c>
      <c r="Y120" s="114">
        <f>Modeloutput!G506</f>
        <v>0</v>
      </c>
      <c r="Z120" s="114">
        <f>Modeloutput!H506</f>
        <v>0</v>
      </c>
      <c r="AA120" s="114">
        <f>Modeloutput!I506</f>
        <v>0</v>
      </c>
      <c r="AB120" s="114">
        <f>Modeloutput!J506</f>
        <v>0</v>
      </c>
      <c r="AC120" s="114">
        <f>Modeloutput!K506</f>
        <v>0</v>
      </c>
      <c r="AD120" s="114">
        <f>Modeloutput!L506</f>
        <v>0</v>
      </c>
      <c r="AE120" s="114">
        <f>Modeloutput!M506</f>
        <v>0</v>
      </c>
      <c r="AF120" s="114">
        <f>Modeloutput!N506</f>
        <v>0</v>
      </c>
      <c r="AG120" s="114">
        <f>Modeloutput!O506</f>
        <v>0</v>
      </c>
      <c r="AH120" s="114">
        <f>Modeloutput!P506</f>
        <v>0</v>
      </c>
      <c r="AI120" s="24"/>
      <c r="AJ120" s="119" t="s">
        <v>10</v>
      </c>
      <c r="AK120" s="93">
        <f>Modeloutput!B761</f>
        <v>0</v>
      </c>
      <c r="AL120" s="93">
        <f>Modeloutput!C761</f>
        <v>0</v>
      </c>
      <c r="AM120" s="93">
        <f>Modeloutput!D761</f>
        <v>0</v>
      </c>
      <c r="AN120" s="93">
        <f>Modeloutput!E761</f>
        <v>0</v>
      </c>
      <c r="AO120" s="93">
        <f>Modeloutput!F761</f>
        <v>0</v>
      </c>
      <c r="AP120" s="93">
        <f>Modeloutput!G761</f>
        <v>0</v>
      </c>
      <c r="AQ120" s="93">
        <f>Modeloutput!H761</f>
        <v>0</v>
      </c>
      <c r="AR120" s="93">
        <f>Modeloutput!I761</f>
        <v>0</v>
      </c>
      <c r="AS120" s="93">
        <f>Modeloutput!J761</f>
        <v>0</v>
      </c>
      <c r="AT120" s="93">
        <f>Modeloutput!K761</f>
        <v>0</v>
      </c>
      <c r="AU120" s="93">
        <f>Modeloutput!L761</f>
        <v>0</v>
      </c>
      <c r="AV120" s="93">
        <f>Modeloutput!M761</f>
        <v>0</v>
      </c>
      <c r="AW120" s="93">
        <f>Modeloutput!N761</f>
        <v>0</v>
      </c>
      <c r="AX120" s="93">
        <f>Modeloutput!O761</f>
        <v>0</v>
      </c>
      <c r="AY120" s="93">
        <f>Modeloutput!P761</f>
        <v>0</v>
      </c>
      <c r="AZ120" s="24"/>
      <c r="BA120" s="119" t="s">
        <v>10</v>
      </c>
      <c r="BB120" s="114">
        <f>Modeloutput!B1016</f>
        <v>0</v>
      </c>
      <c r="BC120" s="114">
        <f>Modeloutput!C1016</f>
        <v>0</v>
      </c>
      <c r="BD120" s="114">
        <f>Modeloutput!D1016</f>
        <v>0</v>
      </c>
      <c r="BE120" s="114">
        <f>Modeloutput!E1016</f>
        <v>0</v>
      </c>
      <c r="BF120" s="114">
        <f>Modeloutput!F1016</f>
        <v>0</v>
      </c>
      <c r="BG120" s="114">
        <f>Modeloutput!G1016</f>
        <v>0</v>
      </c>
      <c r="BH120" s="114">
        <f>Modeloutput!H1016</f>
        <v>0</v>
      </c>
      <c r="BI120" s="114">
        <f>Modeloutput!I1016</f>
        <v>0</v>
      </c>
      <c r="BJ120" s="114">
        <f>Modeloutput!J1016</f>
        <v>0</v>
      </c>
      <c r="BK120" s="114">
        <f>Modeloutput!K1016</f>
        <v>0</v>
      </c>
      <c r="BL120" s="114">
        <f>Modeloutput!L1016</f>
        <v>0</v>
      </c>
      <c r="BM120" s="114">
        <f>Modeloutput!M1016</f>
        <v>0</v>
      </c>
      <c r="BN120" s="114">
        <f>Modeloutput!N1016</f>
        <v>0</v>
      </c>
      <c r="BO120" s="114">
        <f>Modeloutput!O1016</f>
        <v>0</v>
      </c>
      <c r="BP120" s="114">
        <f>Modeloutput!P1016</f>
        <v>0</v>
      </c>
      <c r="BQ120" s="24"/>
      <c r="BR120" s="119" t="s">
        <v>10</v>
      </c>
      <c r="BS120" s="114">
        <f>Modeloutput!B1271</f>
        <v>0</v>
      </c>
      <c r="BT120" s="114">
        <f>Modeloutput!C1271</f>
        <v>0</v>
      </c>
      <c r="BU120" s="114">
        <f>Modeloutput!D1271</f>
        <v>0</v>
      </c>
      <c r="BV120" s="114">
        <f>Modeloutput!E1271</f>
        <v>0</v>
      </c>
      <c r="BW120" s="114">
        <f>Modeloutput!F1271</f>
        <v>0</v>
      </c>
      <c r="BX120" s="114">
        <f>Modeloutput!G1271</f>
        <v>0</v>
      </c>
      <c r="BY120" s="114">
        <f>Modeloutput!H1271</f>
        <v>0</v>
      </c>
      <c r="BZ120" s="114">
        <f>Modeloutput!I1271</f>
        <v>0</v>
      </c>
      <c r="CA120" s="114">
        <f>Modeloutput!J1271</f>
        <v>0</v>
      </c>
      <c r="CB120" s="114">
        <f>Modeloutput!K1271</f>
        <v>0</v>
      </c>
      <c r="CC120" s="114">
        <f>Modeloutput!L1271</f>
        <v>0</v>
      </c>
      <c r="CD120" s="114">
        <f>Modeloutput!M1271</f>
        <v>0</v>
      </c>
      <c r="CE120" s="114">
        <f>Modeloutput!N1271</f>
        <v>0</v>
      </c>
      <c r="CF120" s="114">
        <f>Modeloutput!O1271</f>
        <v>0</v>
      </c>
      <c r="CG120" s="114">
        <f>Modeloutput!P1271</f>
        <v>0</v>
      </c>
    </row>
    <row r="121" spans="2:85" s="7" customFormat="1" x14ac:dyDescent="0.25">
      <c r="B121" s="7" t="s">
        <v>11</v>
      </c>
      <c r="C121" s="114">
        <f>Modeloutput!B252</f>
        <v>0</v>
      </c>
      <c r="D121" s="114">
        <f>Modeloutput!C252</f>
        <v>0</v>
      </c>
      <c r="E121" s="114">
        <f>Modeloutput!D252</f>
        <v>0</v>
      </c>
      <c r="F121" s="114">
        <f>Modeloutput!E252</f>
        <v>0</v>
      </c>
      <c r="G121" s="114">
        <f>Modeloutput!F252</f>
        <v>0</v>
      </c>
      <c r="H121" s="114">
        <f>Modeloutput!G252</f>
        <v>0</v>
      </c>
      <c r="I121" s="114">
        <f>Modeloutput!H252</f>
        <v>0</v>
      </c>
      <c r="J121" s="114">
        <f>Modeloutput!I252</f>
        <v>0</v>
      </c>
      <c r="K121" s="114">
        <f>Modeloutput!J252</f>
        <v>0</v>
      </c>
      <c r="L121" s="114">
        <f>Modeloutput!K252</f>
        <v>0</v>
      </c>
      <c r="M121" s="114">
        <f>Modeloutput!L252</f>
        <v>0</v>
      </c>
      <c r="N121" s="114">
        <f>Modeloutput!M252</f>
        <v>0</v>
      </c>
      <c r="O121" s="114">
        <f>Modeloutput!N252</f>
        <v>0</v>
      </c>
      <c r="P121" s="114">
        <f>Modeloutput!O252</f>
        <v>0</v>
      </c>
      <c r="Q121" s="114">
        <f>Modeloutput!P252</f>
        <v>0</v>
      </c>
      <c r="R121" s="24"/>
      <c r="S121" s="119" t="s">
        <v>11</v>
      </c>
      <c r="T121" s="114">
        <f>Modeloutput!B507</f>
        <v>0</v>
      </c>
      <c r="U121" s="114">
        <f>Modeloutput!C507</f>
        <v>0</v>
      </c>
      <c r="V121" s="114">
        <f>Modeloutput!D507</f>
        <v>0</v>
      </c>
      <c r="W121" s="114">
        <f>Modeloutput!E507</f>
        <v>0</v>
      </c>
      <c r="X121" s="114">
        <f>Modeloutput!F507</f>
        <v>0</v>
      </c>
      <c r="Y121" s="114">
        <f>Modeloutput!G507</f>
        <v>0</v>
      </c>
      <c r="Z121" s="114">
        <f>Modeloutput!H507</f>
        <v>0</v>
      </c>
      <c r="AA121" s="114">
        <f>Modeloutput!I507</f>
        <v>0</v>
      </c>
      <c r="AB121" s="114">
        <f>Modeloutput!J507</f>
        <v>0</v>
      </c>
      <c r="AC121" s="114">
        <f>Modeloutput!K507</f>
        <v>0</v>
      </c>
      <c r="AD121" s="114">
        <f>Modeloutput!L507</f>
        <v>0</v>
      </c>
      <c r="AE121" s="114">
        <f>Modeloutput!M507</f>
        <v>0</v>
      </c>
      <c r="AF121" s="114">
        <f>Modeloutput!N507</f>
        <v>0</v>
      </c>
      <c r="AG121" s="114">
        <f>Modeloutput!O507</f>
        <v>0</v>
      </c>
      <c r="AH121" s="114">
        <f>Modeloutput!P507</f>
        <v>0</v>
      </c>
      <c r="AI121" s="24"/>
      <c r="AJ121" s="119" t="s">
        <v>11</v>
      </c>
      <c r="AK121" s="93">
        <f>Modeloutput!B762</f>
        <v>0</v>
      </c>
      <c r="AL121" s="93">
        <f>Modeloutput!C762</f>
        <v>0</v>
      </c>
      <c r="AM121" s="93">
        <f>Modeloutput!D762</f>
        <v>0</v>
      </c>
      <c r="AN121" s="93">
        <f>Modeloutput!E762</f>
        <v>0</v>
      </c>
      <c r="AO121" s="93">
        <f>Modeloutput!F762</f>
        <v>0</v>
      </c>
      <c r="AP121" s="93">
        <f>Modeloutput!G762</f>
        <v>0</v>
      </c>
      <c r="AQ121" s="93">
        <f>Modeloutput!H762</f>
        <v>0</v>
      </c>
      <c r="AR121" s="93">
        <f>Modeloutput!I762</f>
        <v>0</v>
      </c>
      <c r="AS121" s="93">
        <f>Modeloutput!J762</f>
        <v>0</v>
      </c>
      <c r="AT121" s="93">
        <f>Modeloutput!K762</f>
        <v>0</v>
      </c>
      <c r="AU121" s="93">
        <f>Modeloutput!L762</f>
        <v>0</v>
      </c>
      <c r="AV121" s="93">
        <f>Modeloutput!M762</f>
        <v>0</v>
      </c>
      <c r="AW121" s="93">
        <f>Modeloutput!N762</f>
        <v>0</v>
      </c>
      <c r="AX121" s="93">
        <f>Modeloutput!O762</f>
        <v>0</v>
      </c>
      <c r="AY121" s="93">
        <f>Modeloutput!P762</f>
        <v>0</v>
      </c>
      <c r="AZ121" s="24"/>
      <c r="BA121" s="119" t="s">
        <v>11</v>
      </c>
      <c r="BB121" s="114">
        <f>Modeloutput!B1017</f>
        <v>0</v>
      </c>
      <c r="BC121" s="114">
        <f>Modeloutput!C1017</f>
        <v>0</v>
      </c>
      <c r="BD121" s="114">
        <f>Modeloutput!D1017</f>
        <v>0</v>
      </c>
      <c r="BE121" s="114">
        <f>Modeloutput!E1017</f>
        <v>0</v>
      </c>
      <c r="BF121" s="114">
        <f>Modeloutput!F1017</f>
        <v>0</v>
      </c>
      <c r="BG121" s="114">
        <f>Modeloutput!G1017</f>
        <v>0</v>
      </c>
      <c r="BH121" s="114">
        <f>Modeloutput!H1017</f>
        <v>0</v>
      </c>
      <c r="BI121" s="114">
        <f>Modeloutput!I1017</f>
        <v>0</v>
      </c>
      <c r="BJ121" s="114">
        <f>Modeloutput!J1017</f>
        <v>0</v>
      </c>
      <c r="BK121" s="114">
        <f>Modeloutput!K1017</f>
        <v>0</v>
      </c>
      <c r="BL121" s="114">
        <f>Modeloutput!L1017</f>
        <v>0</v>
      </c>
      <c r="BM121" s="114">
        <f>Modeloutput!M1017</f>
        <v>0</v>
      </c>
      <c r="BN121" s="114">
        <f>Modeloutput!N1017</f>
        <v>0</v>
      </c>
      <c r="BO121" s="114">
        <f>Modeloutput!O1017</f>
        <v>0</v>
      </c>
      <c r="BP121" s="114">
        <f>Modeloutput!P1017</f>
        <v>0</v>
      </c>
      <c r="BQ121" s="24"/>
      <c r="BR121" s="119" t="s">
        <v>11</v>
      </c>
      <c r="BS121" s="114">
        <f>Modeloutput!B1272</f>
        <v>0</v>
      </c>
      <c r="BT121" s="114">
        <f>Modeloutput!C1272</f>
        <v>0</v>
      </c>
      <c r="BU121" s="114">
        <f>Modeloutput!D1272</f>
        <v>0</v>
      </c>
      <c r="BV121" s="114">
        <f>Modeloutput!E1272</f>
        <v>0</v>
      </c>
      <c r="BW121" s="114">
        <f>Modeloutput!F1272</f>
        <v>0</v>
      </c>
      <c r="BX121" s="114">
        <f>Modeloutput!G1272</f>
        <v>0</v>
      </c>
      <c r="BY121" s="114">
        <f>Modeloutput!H1272</f>
        <v>0</v>
      </c>
      <c r="BZ121" s="114">
        <f>Modeloutput!I1272</f>
        <v>0</v>
      </c>
      <c r="CA121" s="114">
        <f>Modeloutput!J1272</f>
        <v>0</v>
      </c>
      <c r="CB121" s="114">
        <f>Modeloutput!K1272</f>
        <v>0</v>
      </c>
      <c r="CC121" s="114">
        <f>Modeloutput!L1272</f>
        <v>0</v>
      </c>
      <c r="CD121" s="114">
        <f>Modeloutput!M1272</f>
        <v>0</v>
      </c>
      <c r="CE121" s="114">
        <f>Modeloutput!N1272</f>
        <v>0</v>
      </c>
      <c r="CF121" s="114">
        <f>Modeloutput!O1272</f>
        <v>0</v>
      </c>
      <c r="CG121" s="114">
        <f>Modeloutput!P1272</f>
        <v>0</v>
      </c>
    </row>
    <row r="122" spans="2:85" s="7" customFormat="1" x14ac:dyDescent="0.25">
      <c r="B122" s="7" t="s">
        <v>12</v>
      </c>
      <c r="C122" s="114">
        <f>Modeloutput!B253</f>
        <v>0</v>
      </c>
      <c r="D122" s="114">
        <f>Modeloutput!C253</f>
        <v>0</v>
      </c>
      <c r="E122" s="114">
        <f>Modeloutput!D253</f>
        <v>0</v>
      </c>
      <c r="F122" s="114">
        <f>Modeloutput!E253</f>
        <v>0</v>
      </c>
      <c r="G122" s="114">
        <f>Modeloutput!F253</f>
        <v>0</v>
      </c>
      <c r="H122" s="114">
        <f>Modeloutput!G253</f>
        <v>0</v>
      </c>
      <c r="I122" s="114">
        <f>Modeloutput!H253</f>
        <v>0</v>
      </c>
      <c r="J122" s="114">
        <f>Modeloutput!I253</f>
        <v>0</v>
      </c>
      <c r="K122" s="114">
        <f>Modeloutput!J253</f>
        <v>0</v>
      </c>
      <c r="L122" s="114">
        <f>Modeloutput!K253</f>
        <v>0</v>
      </c>
      <c r="M122" s="114">
        <f>Modeloutput!L253</f>
        <v>0</v>
      </c>
      <c r="N122" s="114">
        <f>Modeloutput!M253</f>
        <v>0</v>
      </c>
      <c r="O122" s="114">
        <f>Modeloutput!N253</f>
        <v>0</v>
      </c>
      <c r="P122" s="114">
        <f>Modeloutput!O253</f>
        <v>0</v>
      </c>
      <c r="Q122" s="114">
        <f>Modeloutput!P253</f>
        <v>0</v>
      </c>
      <c r="R122" s="24"/>
      <c r="S122" s="119" t="s">
        <v>12</v>
      </c>
      <c r="T122" s="114">
        <f>Modeloutput!B508</f>
        <v>0</v>
      </c>
      <c r="U122" s="114">
        <f>Modeloutput!C508</f>
        <v>0</v>
      </c>
      <c r="V122" s="114">
        <f>Modeloutput!D508</f>
        <v>0</v>
      </c>
      <c r="W122" s="114">
        <f>Modeloutput!E508</f>
        <v>0</v>
      </c>
      <c r="X122" s="114">
        <f>Modeloutput!F508</f>
        <v>0</v>
      </c>
      <c r="Y122" s="114">
        <f>Modeloutput!G508</f>
        <v>0</v>
      </c>
      <c r="Z122" s="114">
        <f>Modeloutput!H508</f>
        <v>0</v>
      </c>
      <c r="AA122" s="114">
        <f>Modeloutput!I508</f>
        <v>0</v>
      </c>
      <c r="AB122" s="114">
        <f>Modeloutput!J508</f>
        <v>0</v>
      </c>
      <c r="AC122" s="114">
        <f>Modeloutput!K508</f>
        <v>0</v>
      </c>
      <c r="AD122" s="114">
        <f>Modeloutput!L508</f>
        <v>0</v>
      </c>
      <c r="AE122" s="114">
        <f>Modeloutput!M508</f>
        <v>0</v>
      </c>
      <c r="AF122" s="114">
        <f>Modeloutput!N508</f>
        <v>0</v>
      </c>
      <c r="AG122" s="114">
        <f>Modeloutput!O508</f>
        <v>0</v>
      </c>
      <c r="AH122" s="114">
        <f>Modeloutput!P508</f>
        <v>0</v>
      </c>
      <c r="AI122" s="24"/>
      <c r="AJ122" s="119" t="s">
        <v>12</v>
      </c>
      <c r="AK122" s="93">
        <f>Modeloutput!B763</f>
        <v>0</v>
      </c>
      <c r="AL122" s="93">
        <f>Modeloutput!C763</f>
        <v>0</v>
      </c>
      <c r="AM122" s="93">
        <f>Modeloutput!D763</f>
        <v>0</v>
      </c>
      <c r="AN122" s="93">
        <f>Modeloutput!E763</f>
        <v>0</v>
      </c>
      <c r="AO122" s="93">
        <f>Modeloutput!F763</f>
        <v>0</v>
      </c>
      <c r="AP122" s="93">
        <f>Modeloutput!G763</f>
        <v>0</v>
      </c>
      <c r="AQ122" s="93">
        <f>Modeloutput!H763</f>
        <v>0</v>
      </c>
      <c r="AR122" s="93">
        <f>Modeloutput!I763</f>
        <v>0</v>
      </c>
      <c r="AS122" s="93">
        <f>Modeloutput!J763</f>
        <v>0</v>
      </c>
      <c r="AT122" s="93">
        <f>Modeloutput!K763</f>
        <v>0</v>
      </c>
      <c r="AU122" s="93">
        <f>Modeloutput!L763</f>
        <v>0</v>
      </c>
      <c r="AV122" s="93">
        <f>Modeloutput!M763</f>
        <v>0</v>
      </c>
      <c r="AW122" s="93">
        <f>Modeloutput!N763</f>
        <v>0</v>
      </c>
      <c r="AX122" s="93">
        <f>Modeloutput!O763</f>
        <v>0</v>
      </c>
      <c r="AY122" s="93">
        <f>Modeloutput!P763</f>
        <v>0</v>
      </c>
      <c r="AZ122" s="24"/>
      <c r="BA122" s="119" t="s">
        <v>12</v>
      </c>
      <c r="BB122" s="114">
        <f>Modeloutput!B1018</f>
        <v>0</v>
      </c>
      <c r="BC122" s="114">
        <f>Modeloutput!C1018</f>
        <v>0</v>
      </c>
      <c r="BD122" s="114">
        <f>Modeloutput!D1018</f>
        <v>0</v>
      </c>
      <c r="BE122" s="114">
        <f>Modeloutput!E1018</f>
        <v>0</v>
      </c>
      <c r="BF122" s="114">
        <f>Modeloutput!F1018</f>
        <v>0</v>
      </c>
      <c r="BG122" s="114">
        <f>Modeloutput!G1018</f>
        <v>0</v>
      </c>
      <c r="BH122" s="114">
        <f>Modeloutput!H1018</f>
        <v>0</v>
      </c>
      <c r="BI122" s="114">
        <f>Modeloutput!I1018</f>
        <v>0</v>
      </c>
      <c r="BJ122" s="114">
        <f>Modeloutput!J1018</f>
        <v>0</v>
      </c>
      <c r="BK122" s="114">
        <f>Modeloutput!K1018</f>
        <v>0</v>
      </c>
      <c r="BL122" s="114">
        <f>Modeloutput!L1018</f>
        <v>0</v>
      </c>
      <c r="BM122" s="114">
        <f>Modeloutput!M1018</f>
        <v>0</v>
      </c>
      <c r="BN122" s="114">
        <f>Modeloutput!N1018</f>
        <v>0</v>
      </c>
      <c r="BO122" s="114">
        <f>Modeloutput!O1018</f>
        <v>0</v>
      </c>
      <c r="BP122" s="114">
        <f>Modeloutput!P1018</f>
        <v>0</v>
      </c>
      <c r="BQ122" s="24"/>
      <c r="BR122" s="119" t="s">
        <v>12</v>
      </c>
      <c r="BS122" s="114">
        <f>Modeloutput!B1273</f>
        <v>0</v>
      </c>
      <c r="BT122" s="114">
        <f>Modeloutput!C1273</f>
        <v>0</v>
      </c>
      <c r="BU122" s="114">
        <f>Modeloutput!D1273</f>
        <v>0</v>
      </c>
      <c r="BV122" s="114">
        <f>Modeloutput!E1273</f>
        <v>0</v>
      </c>
      <c r="BW122" s="114">
        <f>Modeloutput!F1273</f>
        <v>0</v>
      </c>
      <c r="BX122" s="114">
        <f>Modeloutput!G1273</f>
        <v>0</v>
      </c>
      <c r="BY122" s="114">
        <f>Modeloutput!H1273</f>
        <v>0</v>
      </c>
      <c r="BZ122" s="114">
        <f>Modeloutput!I1273</f>
        <v>0</v>
      </c>
      <c r="CA122" s="114">
        <f>Modeloutput!J1273</f>
        <v>0</v>
      </c>
      <c r="CB122" s="114">
        <f>Modeloutput!K1273</f>
        <v>0</v>
      </c>
      <c r="CC122" s="114">
        <f>Modeloutput!L1273</f>
        <v>0</v>
      </c>
      <c r="CD122" s="114">
        <f>Modeloutput!M1273</f>
        <v>0</v>
      </c>
      <c r="CE122" s="114">
        <f>Modeloutput!N1273</f>
        <v>0</v>
      </c>
      <c r="CF122" s="114">
        <f>Modeloutput!O1273</f>
        <v>0</v>
      </c>
      <c r="CG122" s="114">
        <f>Modeloutput!P1273</f>
        <v>0</v>
      </c>
    </row>
    <row r="123" spans="2:85" s="7" customFormat="1" x14ac:dyDescent="0.25">
      <c r="B123" s="7" t="s">
        <v>13</v>
      </c>
      <c r="C123" s="114">
        <f>Modeloutput!B254</f>
        <v>0</v>
      </c>
      <c r="D123" s="114">
        <f>Modeloutput!C254</f>
        <v>0</v>
      </c>
      <c r="E123" s="114">
        <f>Modeloutput!D254</f>
        <v>0</v>
      </c>
      <c r="F123" s="114">
        <f>Modeloutput!E254</f>
        <v>0</v>
      </c>
      <c r="G123" s="114">
        <f>Modeloutput!F254</f>
        <v>0</v>
      </c>
      <c r="H123" s="114">
        <f>Modeloutput!G254</f>
        <v>0</v>
      </c>
      <c r="I123" s="114">
        <f>Modeloutput!H254</f>
        <v>0</v>
      </c>
      <c r="J123" s="114">
        <f>Modeloutput!I254</f>
        <v>0</v>
      </c>
      <c r="K123" s="114">
        <f>Modeloutput!J254</f>
        <v>0</v>
      </c>
      <c r="L123" s="114">
        <f>Modeloutput!K254</f>
        <v>0</v>
      </c>
      <c r="M123" s="114">
        <f>Modeloutput!L254</f>
        <v>0</v>
      </c>
      <c r="N123" s="114">
        <f>Modeloutput!M254</f>
        <v>0</v>
      </c>
      <c r="O123" s="114">
        <f>Modeloutput!N254</f>
        <v>0</v>
      </c>
      <c r="P123" s="114">
        <f>Modeloutput!O254</f>
        <v>0</v>
      </c>
      <c r="Q123" s="114">
        <f>Modeloutput!P254</f>
        <v>0</v>
      </c>
      <c r="R123" s="24"/>
      <c r="S123" s="119" t="s">
        <v>13</v>
      </c>
      <c r="T123" s="114">
        <f>Modeloutput!B509</f>
        <v>0</v>
      </c>
      <c r="U123" s="114">
        <f>Modeloutput!C509</f>
        <v>0</v>
      </c>
      <c r="V123" s="114">
        <f>Modeloutput!D509</f>
        <v>0</v>
      </c>
      <c r="W123" s="114">
        <f>Modeloutput!E509</f>
        <v>0</v>
      </c>
      <c r="X123" s="114">
        <f>Modeloutput!F509</f>
        <v>0</v>
      </c>
      <c r="Y123" s="114">
        <f>Modeloutput!G509</f>
        <v>0</v>
      </c>
      <c r="Z123" s="114">
        <f>Modeloutput!H509</f>
        <v>0</v>
      </c>
      <c r="AA123" s="114">
        <f>Modeloutput!I509</f>
        <v>0</v>
      </c>
      <c r="AB123" s="114">
        <f>Modeloutput!J509</f>
        <v>0</v>
      </c>
      <c r="AC123" s="114">
        <f>Modeloutput!K509</f>
        <v>0</v>
      </c>
      <c r="AD123" s="114">
        <f>Modeloutput!L509</f>
        <v>0</v>
      </c>
      <c r="AE123" s="114">
        <f>Modeloutput!M509</f>
        <v>0</v>
      </c>
      <c r="AF123" s="114">
        <f>Modeloutput!N509</f>
        <v>0</v>
      </c>
      <c r="AG123" s="114">
        <f>Modeloutput!O509</f>
        <v>0</v>
      </c>
      <c r="AH123" s="114">
        <f>Modeloutput!P509</f>
        <v>0</v>
      </c>
      <c r="AI123" s="24"/>
      <c r="AJ123" s="119" t="s">
        <v>13</v>
      </c>
      <c r="AK123" s="93">
        <f>Modeloutput!B764</f>
        <v>0</v>
      </c>
      <c r="AL123" s="93">
        <f>Modeloutput!C764</f>
        <v>0</v>
      </c>
      <c r="AM123" s="93">
        <f>Modeloutput!D764</f>
        <v>0</v>
      </c>
      <c r="AN123" s="93">
        <f>Modeloutput!E764</f>
        <v>0</v>
      </c>
      <c r="AO123" s="93">
        <f>Modeloutput!F764</f>
        <v>0</v>
      </c>
      <c r="AP123" s="93">
        <f>Modeloutput!G764</f>
        <v>0</v>
      </c>
      <c r="AQ123" s="93">
        <f>Modeloutput!H764</f>
        <v>0</v>
      </c>
      <c r="AR123" s="93">
        <f>Modeloutput!I764</f>
        <v>0</v>
      </c>
      <c r="AS123" s="93">
        <f>Modeloutput!J764</f>
        <v>0</v>
      </c>
      <c r="AT123" s="93">
        <f>Modeloutput!K764</f>
        <v>0</v>
      </c>
      <c r="AU123" s="93">
        <f>Modeloutput!L764</f>
        <v>0</v>
      </c>
      <c r="AV123" s="93">
        <f>Modeloutput!M764</f>
        <v>0</v>
      </c>
      <c r="AW123" s="93">
        <f>Modeloutput!N764</f>
        <v>0</v>
      </c>
      <c r="AX123" s="93">
        <f>Modeloutput!O764</f>
        <v>0</v>
      </c>
      <c r="AY123" s="93">
        <f>Modeloutput!P764</f>
        <v>0</v>
      </c>
      <c r="AZ123" s="24"/>
      <c r="BA123" s="119" t="s">
        <v>13</v>
      </c>
      <c r="BB123" s="114">
        <f>Modeloutput!B1019</f>
        <v>0</v>
      </c>
      <c r="BC123" s="114">
        <f>Modeloutput!C1019</f>
        <v>0</v>
      </c>
      <c r="BD123" s="114">
        <f>Modeloutput!D1019</f>
        <v>0</v>
      </c>
      <c r="BE123" s="114">
        <f>Modeloutput!E1019</f>
        <v>0</v>
      </c>
      <c r="BF123" s="114">
        <f>Modeloutput!F1019</f>
        <v>0</v>
      </c>
      <c r="BG123" s="114">
        <f>Modeloutput!G1019</f>
        <v>0</v>
      </c>
      <c r="BH123" s="114">
        <f>Modeloutput!H1019</f>
        <v>0</v>
      </c>
      <c r="BI123" s="114">
        <f>Modeloutput!I1019</f>
        <v>0</v>
      </c>
      <c r="BJ123" s="114">
        <f>Modeloutput!J1019</f>
        <v>0</v>
      </c>
      <c r="BK123" s="114">
        <f>Modeloutput!K1019</f>
        <v>0</v>
      </c>
      <c r="BL123" s="114">
        <f>Modeloutput!L1019</f>
        <v>0</v>
      </c>
      <c r="BM123" s="114">
        <f>Modeloutput!M1019</f>
        <v>0</v>
      </c>
      <c r="BN123" s="114">
        <f>Modeloutput!N1019</f>
        <v>0</v>
      </c>
      <c r="BO123" s="114">
        <f>Modeloutput!O1019</f>
        <v>0</v>
      </c>
      <c r="BP123" s="114">
        <f>Modeloutput!P1019</f>
        <v>0</v>
      </c>
      <c r="BQ123" s="24"/>
      <c r="BR123" s="119" t="s">
        <v>13</v>
      </c>
      <c r="BS123" s="114">
        <f>Modeloutput!B1274</f>
        <v>0</v>
      </c>
      <c r="BT123" s="114">
        <f>Modeloutput!C1274</f>
        <v>0</v>
      </c>
      <c r="BU123" s="114">
        <f>Modeloutput!D1274</f>
        <v>0</v>
      </c>
      <c r="BV123" s="114">
        <f>Modeloutput!E1274</f>
        <v>0</v>
      </c>
      <c r="BW123" s="114">
        <f>Modeloutput!F1274</f>
        <v>0</v>
      </c>
      <c r="BX123" s="114">
        <f>Modeloutput!G1274</f>
        <v>0</v>
      </c>
      <c r="BY123" s="114">
        <f>Modeloutput!H1274</f>
        <v>0</v>
      </c>
      <c r="BZ123" s="114">
        <f>Modeloutput!I1274</f>
        <v>0</v>
      </c>
      <c r="CA123" s="114">
        <f>Modeloutput!J1274</f>
        <v>0</v>
      </c>
      <c r="CB123" s="114">
        <f>Modeloutput!K1274</f>
        <v>0</v>
      </c>
      <c r="CC123" s="114">
        <f>Modeloutput!L1274</f>
        <v>0</v>
      </c>
      <c r="CD123" s="114">
        <f>Modeloutput!M1274</f>
        <v>0</v>
      </c>
      <c r="CE123" s="114">
        <f>Modeloutput!N1274</f>
        <v>0</v>
      </c>
      <c r="CF123" s="114">
        <f>Modeloutput!O1274</f>
        <v>0</v>
      </c>
      <c r="CG123" s="114">
        <f>Modeloutput!P1274</f>
        <v>0</v>
      </c>
    </row>
    <row r="124" spans="2:85" s="7" customFormat="1" x14ac:dyDescent="0.25">
      <c r="B124" s="7" t="s">
        <v>14</v>
      </c>
      <c r="C124" s="114">
        <f>Modeloutput!B255</f>
        <v>0</v>
      </c>
      <c r="D124" s="114">
        <f>Modeloutput!C255</f>
        <v>0</v>
      </c>
      <c r="E124" s="114">
        <f>Modeloutput!D255</f>
        <v>0</v>
      </c>
      <c r="F124" s="114">
        <f>Modeloutput!E255</f>
        <v>0</v>
      </c>
      <c r="G124" s="114">
        <f>Modeloutput!F255</f>
        <v>0</v>
      </c>
      <c r="H124" s="114">
        <f>Modeloutput!G255</f>
        <v>0</v>
      </c>
      <c r="I124" s="114">
        <f>Modeloutput!H255</f>
        <v>0</v>
      </c>
      <c r="J124" s="114">
        <f>Modeloutput!I255</f>
        <v>0</v>
      </c>
      <c r="K124" s="114">
        <f>Modeloutput!J255</f>
        <v>0</v>
      </c>
      <c r="L124" s="114">
        <f>Modeloutput!K255</f>
        <v>0</v>
      </c>
      <c r="M124" s="114">
        <f>Modeloutput!L255</f>
        <v>0</v>
      </c>
      <c r="N124" s="114">
        <f>Modeloutput!M255</f>
        <v>0</v>
      </c>
      <c r="O124" s="114">
        <f>Modeloutput!N255</f>
        <v>0</v>
      </c>
      <c r="P124" s="114">
        <f>Modeloutput!O255</f>
        <v>0</v>
      </c>
      <c r="Q124" s="114">
        <f>Modeloutput!P255</f>
        <v>0</v>
      </c>
      <c r="R124" s="24"/>
      <c r="S124" s="119" t="s">
        <v>14</v>
      </c>
      <c r="T124" s="114">
        <f>Modeloutput!B510</f>
        <v>0</v>
      </c>
      <c r="U124" s="114">
        <f>Modeloutput!C510</f>
        <v>0</v>
      </c>
      <c r="V124" s="114">
        <f>Modeloutput!D510</f>
        <v>0</v>
      </c>
      <c r="W124" s="114">
        <f>Modeloutput!E510</f>
        <v>0</v>
      </c>
      <c r="X124" s="114">
        <f>Modeloutput!F510</f>
        <v>0</v>
      </c>
      <c r="Y124" s="114">
        <f>Modeloutput!G510</f>
        <v>0</v>
      </c>
      <c r="Z124" s="114">
        <f>Modeloutput!H510</f>
        <v>0</v>
      </c>
      <c r="AA124" s="114">
        <f>Modeloutput!I510</f>
        <v>0</v>
      </c>
      <c r="AB124" s="114">
        <f>Modeloutput!J510</f>
        <v>0</v>
      </c>
      <c r="AC124" s="114">
        <f>Modeloutput!K510</f>
        <v>0</v>
      </c>
      <c r="AD124" s="114">
        <f>Modeloutput!L510</f>
        <v>0</v>
      </c>
      <c r="AE124" s="114">
        <f>Modeloutput!M510</f>
        <v>0</v>
      </c>
      <c r="AF124" s="114">
        <f>Modeloutput!N510</f>
        <v>0</v>
      </c>
      <c r="AG124" s="114">
        <f>Modeloutput!O510</f>
        <v>0</v>
      </c>
      <c r="AH124" s="114">
        <f>Modeloutput!P510</f>
        <v>0</v>
      </c>
      <c r="AI124" s="24"/>
      <c r="AJ124" s="119" t="s">
        <v>14</v>
      </c>
      <c r="AK124" s="93">
        <f>Modeloutput!B765</f>
        <v>0</v>
      </c>
      <c r="AL124" s="93">
        <f>Modeloutput!C765</f>
        <v>0</v>
      </c>
      <c r="AM124" s="93">
        <f>Modeloutput!D765</f>
        <v>0</v>
      </c>
      <c r="AN124" s="93">
        <f>Modeloutput!E765</f>
        <v>0</v>
      </c>
      <c r="AO124" s="93">
        <f>Modeloutput!F765</f>
        <v>0</v>
      </c>
      <c r="AP124" s="93">
        <f>Modeloutput!G765</f>
        <v>0</v>
      </c>
      <c r="AQ124" s="93">
        <f>Modeloutput!H765</f>
        <v>0</v>
      </c>
      <c r="AR124" s="93">
        <f>Modeloutput!I765</f>
        <v>0</v>
      </c>
      <c r="AS124" s="93">
        <f>Modeloutput!J765</f>
        <v>0</v>
      </c>
      <c r="AT124" s="93">
        <f>Modeloutput!K765</f>
        <v>0</v>
      </c>
      <c r="AU124" s="93">
        <f>Modeloutput!L765</f>
        <v>0</v>
      </c>
      <c r="AV124" s="93">
        <f>Modeloutput!M765</f>
        <v>0</v>
      </c>
      <c r="AW124" s="93">
        <f>Modeloutput!N765</f>
        <v>0</v>
      </c>
      <c r="AX124" s="93">
        <f>Modeloutput!O765</f>
        <v>0</v>
      </c>
      <c r="AY124" s="93">
        <f>Modeloutput!P765</f>
        <v>0</v>
      </c>
      <c r="AZ124" s="24"/>
      <c r="BA124" s="119" t="s">
        <v>14</v>
      </c>
      <c r="BB124" s="114">
        <f>Modeloutput!B1020</f>
        <v>0</v>
      </c>
      <c r="BC124" s="114">
        <f>Modeloutput!C1020</f>
        <v>0</v>
      </c>
      <c r="BD124" s="114">
        <f>Modeloutput!D1020</f>
        <v>0</v>
      </c>
      <c r="BE124" s="114">
        <f>Modeloutput!E1020</f>
        <v>0</v>
      </c>
      <c r="BF124" s="114">
        <f>Modeloutput!F1020</f>
        <v>0</v>
      </c>
      <c r="BG124" s="114">
        <f>Modeloutput!G1020</f>
        <v>0</v>
      </c>
      <c r="BH124" s="114">
        <f>Modeloutput!H1020</f>
        <v>0</v>
      </c>
      <c r="BI124" s="114">
        <f>Modeloutput!I1020</f>
        <v>0</v>
      </c>
      <c r="BJ124" s="114">
        <f>Modeloutput!J1020</f>
        <v>0</v>
      </c>
      <c r="BK124" s="114">
        <f>Modeloutput!K1020</f>
        <v>0</v>
      </c>
      <c r="BL124" s="114">
        <f>Modeloutput!L1020</f>
        <v>0</v>
      </c>
      <c r="BM124" s="114">
        <f>Modeloutput!M1020</f>
        <v>0</v>
      </c>
      <c r="BN124" s="114">
        <f>Modeloutput!N1020</f>
        <v>0</v>
      </c>
      <c r="BO124" s="114">
        <f>Modeloutput!O1020</f>
        <v>0</v>
      </c>
      <c r="BP124" s="114">
        <f>Modeloutput!P1020</f>
        <v>0</v>
      </c>
      <c r="BQ124" s="24"/>
      <c r="BR124" s="119" t="s">
        <v>14</v>
      </c>
      <c r="BS124" s="114">
        <f>Modeloutput!B1275</f>
        <v>0</v>
      </c>
      <c r="BT124" s="114">
        <f>Modeloutput!C1275</f>
        <v>0</v>
      </c>
      <c r="BU124" s="114">
        <f>Modeloutput!D1275</f>
        <v>0</v>
      </c>
      <c r="BV124" s="114">
        <f>Modeloutput!E1275</f>
        <v>0</v>
      </c>
      <c r="BW124" s="114">
        <f>Modeloutput!F1275</f>
        <v>0</v>
      </c>
      <c r="BX124" s="114">
        <f>Modeloutput!G1275</f>
        <v>0</v>
      </c>
      <c r="BY124" s="114">
        <f>Modeloutput!H1275</f>
        <v>0</v>
      </c>
      <c r="BZ124" s="114">
        <f>Modeloutput!I1275</f>
        <v>0</v>
      </c>
      <c r="CA124" s="114">
        <f>Modeloutput!J1275</f>
        <v>0</v>
      </c>
      <c r="CB124" s="114">
        <f>Modeloutput!K1275</f>
        <v>0</v>
      </c>
      <c r="CC124" s="114">
        <f>Modeloutput!L1275</f>
        <v>0</v>
      </c>
      <c r="CD124" s="114">
        <f>Modeloutput!M1275</f>
        <v>0</v>
      </c>
      <c r="CE124" s="114">
        <f>Modeloutput!N1275</f>
        <v>0</v>
      </c>
      <c r="CF124" s="114">
        <f>Modeloutput!O1275</f>
        <v>0</v>
      </c>
      <c r="CG124" s="114">
        <f>Modeloutput!P1275</f>
        <v>0</v>
      </c>
    </row>
    <row r="125" spans="2:85" x14ac:dyDescent="0.25">
      <c r="B125" s="28" t="s">
        <v>18</v>
      </c>
      <c r="C125" s="115">
        <f>SUM(C111:C124)</f>
        <v>12.40259771</v>
      </c>
      <c r="D125" s="115">
        <f t="shared" ref="D125:Q125" si="20">SUM(D111:D124)</f>
        <v>3.2351829199000002</v>
      </c>
      <c r="E125" s="115">
        <f t="shared" si="20"/>
        <v>9.167414784</v>
      </c>
      <c r="F125" s="115">
        <f t="shared" si="20"/>
        <v>5.5156836899999995</v>
      </c>
      <c r="G125" s="115">
        <f t="shared" si="20"/>
        <v>0.56542366525999999</v>
      </c>
      <c r="H125" s="115">
        <f t="shared" si="20"/>
        <v>2.9909822052999999</v>
      </c>
      <c r="I125" s="115">
        <f t="shared" si="20"/>
        <v>9.5325225041999986E-2</v>
      </c>
      <c r="J125" s="115">
        <f t="shared" si="20"/>
        <v>0</v>
      </c>
      <c r="K125" s="115">
        <f t="shared" si="20"/>
        <v>0</v>
      </c>
      <c r="L125" s="115">
        <f t="shared" si="20"/>
        <v>3.1532653259999996</v>
      </c>
      <c r="M125" s="115">
        <f t="shared" si="20"/>
        <v>0</v>
      </c>
      <c r="N125" s="115">
        <f t="shared" si="20"/>
        <v>8.1917599899999999E-2</v>
      </c>
      <c r="O125" s="115">
        <f t="shared" si="20"/>
        <v>0</v>
      </c>
      <c r="P125" s="115">
        <f t="shared" si="20"/>
        <v>0</v>
      </c>
      <c r="Q125" s="115">
        <f t="shared" si="20"/>
        <v>0</v>
      </c>
      <c r="S125" s="120" t="s">
        <v>18</v>
      </c>
      <c r="T125" s="115">
        <f t="shared" ref="T125:AH125" si="21">SUM(T111:T124)</f>
        <v>10.143661696000001</v>
      </c>
      <c r="U125" s="115">
        <f t="shared" si="21"/>
        <v>2.3724614629999996</v>
      </c>
      <c r="V125" s="115">
        <f t="shared" si="21"/>
        <v>7.7712002299999998</v>
      </c>
      <c r="W125" s="115">
        <f t="shared" si="21"/>
        <v>4.9017107600000003</v>
      </c>
      <c r="X125" s="115">
        <f t="shared" si="21"/>
        <v>0.56556158974999993</v>
      </c>
      <c r="Y125" s="115">
        <f t="shared" si="21"/>
        <v>2.2086030146</v>
      </c>
      <c r="Z125" s="115">
        <f t="shared" si="21"/>
        <v>9.5324857962999998E-2</v>
      </c>
      <c r="AA125" s="115">
        <f t="shared" si="21"/>
        <v>0</v>
      </c>
      <c r="AB125" s="115">
        <f t="shared" si="21"/>
        <v>0</v>
      </c>
      <c r="AC125" s="115">
        <f t="shared" si="21"/>
        <v>2.292017763</v>
      </c>
      <c r="AD125" s="115">
        <f t="shared" si="21"/>
        <v>0</v>
      </c>
      <c r="AE125" s="115">
        <f t="shared" si="21"/>
        <v>8.0443703000000005E-2</v>
      </c>
      <c r="AF125" s="115">
        <f t="shared" si="21"/>
        <v>0</v>
      </c>
      <c r="AG125" s="115">
        <f t="shared" si="21"/>
        <v>0</v>
      </c>
      <c r="AH125" s="115">
        <f t="shared" si="21"/>
        <v>0</v>
      </c>
      <c r="AJ125" s="120" t="s">
        <v>18</v>
      </c>
      <c r="AK125" s="100">
        <f t="shared" ref="AK125:AY125" si="22">SUM(AK111:AK124)</f>
        <v>8.1578925350000002</v>
      </c>
      <c r="AL125" s="100">
        <f t="shared" si="22"/>
        <v>2.0553738240000001</v>
      </c>
      <c r="AM125" s="100">
        <f t="shared" si="22"/>
        <v>6.1025187119999993</v>
      </c>
      <c r="AN125" s="100">
        <f t="shared" si="22"/>
        <v>3.6319178069999998</v>
      </c>
      <c r="AO125" s="100">
        <f t="shared" si="22"/>
        <v>0.56521316661999998</v>
      </c>
      <c r="AP125" s="100">
        <f t="shared" si="22"/>
        <v>1.8103315263999999</v>
      </c>
      <c r="AQ125" s="100">
        <f t="shared" si="22"/>
        <v>9.5056217494000006E-2</v>
      </c>
      <c r="AR125" s="100">
        <f t="shared" si="22"/>
        <v>0</v>
      </c>
      <c r="AS125" s="100">
        <f t="shared" si="22"/>
        <v>0</v>
      </c>
      <c r="AT125" s="100">
        <f t="shared" si="22"/>
        <v>1.3677081050000002</v>
      </c>
      <c r="AU125" s="100">
        <f t="shared" si="22"/>
        <v>0</v>
      </c>
      <c r="AV125" s="100">
        <f t="shared" si="22"/>
        <v>0.68766571399999998</v>
      </c>
      <c r="AW125" s="100">
        <f t="shared" si="22"/>
        <v>0</v>
      </c>
      <c r="AX125" s="100">
        <f t="shared" si="22"/>
        <v>0</v>
      </c>
      <c r="AY125" s="100">
        <f t="shared" si="22"/>
        <v>0</v>
      </c>
      <c r="BA125" s="120" t="s">
        <v>18</v>
      </c>
      <c r="BB125" s="115">
        <f t="shared" ref="BB125:BP125" si="23">SUM(BB111:BB124)</f>
        <v>8.1380445960000003</v>
      </c>
      <c r="BC125" s="115">
        <f t="shared" si="23"/>
        <v>2.63395344</v>
      </c>
      <c r="BD125" s="115">
        <f t="shared" si="23"/>
        <v>5.5040911499999998</v>
      </c>
      <c r="BE125" s="115">
        <f t="shared" si="23"/>
        <v>2.8855030799999999</v>
      </c>
      <c r="BF125" s="115">
        <f t="shared" si="23"/>
        <v>0.43305835999999998</v>
      </c>
      <c r="BG125" s="115">
        <f t="shared" si="23"/>
        <v>2.0944379789999998</v>
      </c>
      <c r="BH125" s="115">
        <f t="shared" si="23"/>
        <v>9.1091736300000004E-2</v>
      </c>
      <c r="BI125" s="115">
        <f t="shared" si="23"/>
        <v>0</v>
      </c>
      <c r="BJ125" s="115">
        <f t="shared" si="23"/>
        <v>0</v>
      </c>
      <c r="BK125" s="115">
        <f t="shared" si="23"/>
        <v>2.6339534459999996</v>
      </c>
      <c r="BL125" s="115">
        <f t="shared" si="23"/>
        <v>0</v>
      </c>
      <c r="BM125" s="115">
        <f t="shared" si="23"/>
        <v>0</v>
      </c>
      <c r="BN125" s="115">
        <f t="shared" si="23"/>
        <v>0</v>
      </c>
      <c r="BO125" s="115">
        <f t="shared" si="23"/>
        <v>0</v>
      </c>
      <c r="BP125" s="115">
        <f t="shared" si="23"/>
        <v>0</v>
      </c>
      <c r="BR125" s="120" t="s">
        <v>18</v>
      </c>
      <c r="BS125" s="115">
        <f t="shared" ref="BS125:CG125" si="24">SUM(BS111:BS124)</f>
        <v>13.2791299503</v>
      </c>
      <c r="BT125" s="115">
        <f t="shared" si="24"/>
        <v>5.7085350529499994</v>
      </c>
      <c r="BU125" s="115">
        <f t="shared" si="24"/>
        <v>7.5705948863500003</v>
      </c>
      <c r="BV125" s="115">
        <f t="shared" si="24"/>
        <v>4.6730674109999999</v>
      </c>
      <c r="BW125" s="115">
        <f t="shared" si="24"/>
        <v>0.56463830502900003</v>
      </c>
      <c r="BX125" s="115">
        <f t="shared" si="24"/>
        <v>2.2290890697950001</v>
      </c>
      <c r="BY125" s="115">
        <f t="shared" si="24"/>
        <v>0.10380009754400001</v>
      </c>
      <c r="BZ125" s="115">
        <f t="shared" si="24"/>
        <v>0</v>
      </c>
      <c r="CA125" s="115">
        <f t="shared" si="24"/>
        <v>0</v>
      </c>
      <c r="CB125" s="115">
        <f t="shared" si="24"/>
        <v>3.8998840550000002</v>
      </c>
      <c r="CC125" s="115">
        <f t="shared" si="24"/>
        <v>1.807924876</v>
      </c>
      <c r="CD125" s="115">
        <f t="shared" si="24"/>
        <v>7.2613294999999999E-4</v>
      </c>
      <c r="CE125" s="115">
        <f t="shared" si="24"/>
        <v>0</v>
      </c>
      <c r="CF125" s="115">
        <f t="shared" si="24"/>
        <v>0</v>
      </c>
      <c r="CG125" s="115">
        <f t="shared" si="24"/>
        <v>0</v>
      </c>
    </row>
    <row r="126" spans="2:85" x14ac:dyDescent="0.25">
      <c r="B126" s="30"/>
      <c r="C126" s="126"/>
      <c r="D126" s="126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</row>
    <row r="127" spans="2:85" x14ac:dyDescent="0.25">
      <c r="B127" s="21" t="s">
        <v>3</v>
      </c>
      <c r="C127" s="121">
        <f>SUM(F113:K113)</f>
        <v>3.4296914419019999</v>
      </c>
      <c r="S127" s="121" t="s">
        <v>3</v>
      </c>
      <c r="T127" s="121">
        <f>SUM(W113:AB113)</f>
        <v>2.713456208213</v>
      </c>
      <c r="AJ127" s="121" t="s">
        <v>3</v>
      </c>
      <c r="AK127" s="121">
        <f>SUM(AN113:AS113)</f>
        <v>0.37433734001400004</v>
      </c>
      <c r="BA127" s="121" t="s">
        <v>3</v>
      </c>
      <c r="BB127" s="121">
        <f>SUM(BE113:BJ113)</f>
        <v>0</v>
      </c>
      <c r="BR127" s="121" t="s">
        <v>3</v>
      </c>
      <c r="BS127" s="121">
        <f>SUM(BV113:CA113)</f>
        <v>1.2061417865E-2</v>
      </c>
    </row>
    <row r="128" spans="2:85" x14ac:dyDescent="0.25">
      <c r="B128" s="12" t="s">
        <v>38</v>
      </c>
      <c r="C128" s="122">
        <f>SUM(F114:Q114)</f>
        <v>3.1307742063000004</v>
      </c>
      <c r="S128" s="122" t="s">
        <v>38</v>
      </c>
      <c r="T128" s="122">
        <f>SUM(W114:AH114)</f>
        <v>3.1307618593999997</v>
      </c>
      <c r="AJ128" s="122" t="s">
        <v>38</v>
      </c>
      <c r="AK128" s="122">
        <f>SUM(AN114:AY114)</f>
        <v>3.6918337123999998</v>
      </c>
      <c r="BA128" s="122" t="s">
        <v>38</v>
      </c>
      <c r="BB128" s="122">
        <f>SUM(BE114:BP114)</f>
        <v>3.4305533344000003</v>
      </c>
      <c r="BR128" s="122" t="s">
        <v>38</v>
      </c>
      <c r="BS128" s="122">
        <f>SUM(BV114:CG114)</f>
        <v>3.0640449293500001</v>
      </c>
    </row>
    <row r="129" spans="2:71" x14ac:dyDescent="0.25">
      <c r="B129" s="26" t="s">
        <v>39</v>
      </c>
      <c r="C129" s="123">
        <f>SUM(F115:K119)</f>
        <v>2.6888667373000001</v>
      </c>
      <c r="S129" s="123" t="s">
        <v>39</v>
      </c>
      <c r="T129" s="123">
        <f>SUM(W115:AB119)</f>
        <v>2.0074258576999999</v>
      </c>
      <c r="AJ129" s="123" t="s">
        <v>39</v>
      </c>
      <c r="AK129" s="123">
        <f>SUM(AN115:AS119)</f>
        <v>2.7240133790999992</v>
      </c>
      <c r="BA129" s="123" t="s">
        <v>39</v>
      </c>
      <c r="BB129" s="123">
        <f>SUM(BE115:BJ119)</f>
        <v>2.0735378208999999</v>
      </c>
      <c r="BR129" s="123" t="s">
        <v>39</v>
      </c>
      <c r="BS129" s="123">
        <f>SUM(BV115:CA119)</f>
        <v>4.4952146691030004</v>
      </c>
    </row>
    <row r="130" spans="2:71" x14ac:dyDescent="0.25">
      <c r="B130" s="10" t="s">
        <v>40</v>
      </c>
      <c r="C130" s="124">
        <f>SUM(F112:K112)</f>
        <v>0</v>
      </c>
      <c r="S130" s="124" t="s">
        <v>40</v>
      </c>
      <c r="T130" s="124">
        <f>SUM(W112:AB112)</f>
        <v>0</v>
      </c>
      <c r="AJ130" s="124" t="s">
        <v>40</v>
      </c>
      <c r="AK130" s="124">
        <f>SUM(AN112:AS112)</f>
        <v>0</v>
      </c>
      <c r="BA130" s="124" t="s">
        <v>40</v>
      </c>
      <c r="BB130" s="124">
        <f>SUM(BE112:BJ112)</f>
        <v>0</v>
      </c>
      <c r="BR130" s="124" t="s">
        <v>40</v>
      </c>
      <c r="BS130" s="124">
        <f>SUM(BV112:CA112)</f>
        <v>0</v>
      </c>
    </row>
    <row r="131" spans="2:71" x14ac:dyDescent="0.25">
      <c r="B131" s="20" t="s">
        <v>41</v>
      </c>
      <c r="C131" s="125">
        <f>SUM(L113:P113)</f>
        <v>0.67090751599999998</v>
      </c>
      <c r="S131" s="125" t="s">
        <v>41</v>
      </c>
      <c r="T131" s="125">
        <f>SUM(AC113:AG113)</f>
        <v>0.48766335300000002</v>
      </c>
      <c r="AJ131" s="125" t="s">
        <v>41</v>
      </c>
      <c r="AK131" s="125">
        <f>SUM(AT113:AX113)</f>
        <v>0.29100172499999999</v>
      </c>
      <c r="BA131" s="125" t="s">
        <v>41</v>
      </c>
      <c r="BB131" s="125">
        <f>SUM(BK113:BO113)</f>
        <v>0.56041562599999994</v>
      </c>
      <c r="BR131" s="125" t="s">
        <v>41</v>
      </c>
      <c r="BS131" s="125">
        <f>SUM(CB113:CF113)</f>
        <v>1.2144274310000001</v>
      </c>
    </row>
    <row r="142" spans="2:71" x14ac:dyDescent="0.25">
      <c r="S142" s="118" t="str">
        <f>"Warmtevraag woningen 1 scenario: "&amp;ReadMe!$M$14</f>
        <v>Warmtevraag woningen 1 scenario: Label_A+_eWP</v>
      </c>
    </row>
    <row r="143" spans="2:71" x14ac:dyDescent="0.25">
      <c r="B143" s="4" t="s">
        <v>55</v>
      </c>
      <c r="K143" s="118" t="s">
        <v>57</v>
      </c>
      <c r="S143" s="118" t="s">
        <v>373</v>
      </c>
      <c r="T143" s="116">
        <f>ReadMe!$K$14</f>
        <v>4</v>
      </c>
      <c r="AA143" s="118" t="s">
        <v>65</v>
      </c>
    </row>
    <row r="144" spans="2:71" x14ac:dyDescent="0.25">
      <c r="D144" s="118">
        <v>2013</v>
      </c>
      <c r="E144" s="118">
        <v>2020</v>
      </c>
      <c r="F144" s="118">
        <v>2030</v>
      </c>
      <c r="G144" s="118">
        <v>2040</v>
      </c>
      <c r="H144" s="118">
        <v>2050</v>
      </c>
      <c r="M144" s="118">
        <v>2013</v>
      </c>
      <c r="N144" s="118">
        <v>2020</v>
      </c>
      <c r="O144" s="118">
        <v>2030</v>
      </c>
      <c r="P144" s="118">
        <v>2040</v>
      </c>
      <c r="Q144" s="118">
        <v>2050</v>
      </c>
      <c r="U144" s="118">
        <v>2013</v>
      </c>
      <c r="V144" s="118">
        <v>2020</v>
      </c>
      <c r="W144" s="118">
        <v>2030</v>
      </c>
      <c r="X144" s="118">
        <v>2040</v>
      </c>
      <c r="Y144" s="118">
        <v>2050</v>
      </c>
      <c r="AC144" s="118">
        <v>2013</v>
      </c>
      <c r="AD144" s="118">
        <v>2020</v>
      </c>
      <c r="AE144" s="118">
        <v>2030</v>
      </c>
      <c r="AF144" s="118">
        <v>2040</v>
      </c>
      <c r="AG144" s="118">
        <v>2050</v>
      </c>
    </row>
    <row r="145" spans="2:85" x14ac:dyDescent="0.25">
      <c r="B145" s="42" t="str">
        <f>ReadMe!C16</f>
        <v>Referentie</v>
      </c>
      <c r="C145" s="116" t="s">
        <v>28</v>
      </c>
      <c r="D145" s="116">
        <f>F$13+G$13</f>
        <v>3.5135086100000001</v>
      </c>
      <c r="E145" s="116">
        <f>F$38+G$38</f>
        <v>3.1226826011699997</v>
      </c>
      <c r="F145" s="116">
        <f>F$63+G$63</f>
        <v>3.0565685252399999</v>
      </c>
      <c r="G145" s="116">
        <f>F$88+G$88</f>
        <v>2.95399623485</v>
      </c>
      <c r="H145" s="116">
        <f>F$113+G$113</f>
        <v>2.88842571126</v>
      </c>
      <c r="K145" s="116" t="str">
        <f>ReadMe!C16</f>
        <v>Referentie</v>
      </c>
      <c r="L145" s="116" t="s">
        <v>28</v>
      </c>
      <c r="M145" s="116">
        <f>H$13+I$13</f>
        <v>1.2021471500000001</v>
      </c>
      <c r="N145" s="116">
        <f>H$38+I$38</f>
        <v>1.04377102708</v>
      </c>
      <c r="O145" s="116">
        <f>H$63+I$63</f>
        <v>1.0143975807800001</v>
      </c>
      <c r="P145" s="116">
        <f>H$88+I$88</f>
        <v>0.57201845258000006</v>
      </c>
      <c r="Q145" s="116">
        <f>H$113+I$113</f>
        <v>0.5412657306419999</v>
      </c>
      <c r="S145" s="116" t="s">
        <v>119</v>
      </c>
      <c r="T145" s="116" t="s">
        <v>28</v>
      </c>
      <c r="U145" s="116">
        <f>IF($T$143=1,D153,IF($T$143=2,D154,IF($T$143=3,D155,IF($T$143=4,D156,IF($T$143=5,D157,0)))))</f>
        <v>1.29789595</v>
      </c>
      <c r="V145" s="116">
        <f>IF($T$143=1,E153,IF($T$143=2,E154,IF($T$143=3,E155,IF($T$143=4,E156,IF($T$143=5,E157,0)))))</f>
        <v>1.4748623940000001</v>
      </c>
      <c r="W145" s="116">
        <f>IF($T$143=1,F153,IF($T$143=2,F154,IF($T$143=3,F155,IF($T$143=4,F156,IF($T$143=5,F157,0)))))</f>
        <v>1.423879973</v>
      </c>
      <c r="X145" s="116">
        <f>IF($T$143=1,G153,IF($T$143=2,G154,IF($T$143=3,G155,IF($T$143=4,G156,IF($T$143=5,G157,0)))))</f>
        <v>1.39090918</v>
      </c>
      <c r="Y145" s="116">
        <f>IF($T$143=1,H153,IF($T$143=2,H154,IF($T$143=3,H155,IF($T$143=4,H156,IF($T$143=5,H157,0)))))</f>
        <v>1.3578824570000001</v>
      </c>
      <c r="AA145" s="116" t="str">
        <f>K145</f>
        <v>Referentie</v>
      </c>
      <c r="AB145" s="116" t="s">
        <v>28</v>
      </c>
      <c r="AC145" s="116">
        <f>F$13</f>
        <v>3.5135086100000001</v>
      </c>
      <c r="AD145" s="116">
        <f>F$38</f>
        <v>3.1137658899999998</v>
      </c>
      <c r="AE145" s="116">
        <f>F$63</f>
        <v>3.0478243699999998</v>
      </c>
      <c r="AF145" s="116">
        <f>F$88</f>
        <v>2.9455629800000001</v>
      </c>
      <c r="AG145" s="116">
        <f>F$113</f>
        <v>2.8804005799999999</v>
      </c>
    </row>
    <row r="146" spans="2:85" x14ac:dyDescent="0.25">
      <c r="B146" t="str">
        <f>ReadMe!D16</f>
        <v>Label_B</v>
      </c>
      <c r="C146" s="116" t="s">
        <v>28</v>
      </c>
      <c r="D146" s="116">
        <f>W$13+X$13</f>
        <v>3.5135086100000001</v>
      </c>
      <c r="E146" s="116">
        <f>W$38+X$38</f>
        <v>2.6145637846000001</v>
      </c>
      <c r="F146" s="116">
        <f>W$63+X$63</f>
        <v>2.5627335719</v>
      </c>
      <c r="G146" s="116">
        <f>W$88+X$88</f>
        <v>2.5110071610000002</v>
      </c>
      <c r="H146" s="116">
        <f>W$113+X$113</f>
        <v>2.4256582177500001</v>
      </c>
      <c r="K146" s="116" t="str">
        <f>ReadMe!D16</f>
        <v>Label_B</v>
      </c>
      <c r="L146" s="116" t="s">
        <v>28</v>
      </c>
      <c r="M146" s="116">
        <f>Y$13+Z$13</f>
        <v>1.2021471500000001</v>
      </c>
      <c r="N146" s="116">
        <f>Y$38+Z$38</f>
        <v>0.58959211607999995</v>
      </c>
      <c r="O146" s="116">
        <f>Y$63+Z$63</f>
        <v>0.57225538677999999</v>
      </c>
      <c r="P146" s="116">
        <f>Y$88+Z$88</f>
        <v>0.54857725191999995</v>
      </c>
      <c r="Q146" s="116">
        <f>Y$113+Z$113</f>
        <v>0.28779799046299998</v>
      </c>
      <c r="S146" s="116" t="s">
        <v>284</v>
      </c>
      <c r="T146" s="116" t="s">
        <v>28</v>
      </c>
      <c r="U146" s="116">
        <f>IF($T$143=1,0,IF($T$143=2,D179,IF($T$143=3,D180,IF($T$143=4,D181,IF($T$143=5,D182,0)))))</f>
        <v>0</v>
      </c>
      <c r="V146" s="116">
        <f>IF($T$143=1,0,IF($T$143=2,E179,IF($T$143=3,E180,IF($T$143=4,E181,IF($T$143=5,E182,0)))))</f>
        <v>1.3622840600000004</v>
      </c>
      <c r="W146" s="116">
        <f>IF($T$143=1,0,IF($T$143=2,F179,IF($T$143=3,F180,IF($T$143=4,F181,IF($T$143=5,F182,0)))))</f>
        <v>1.3284610320000008</v>
      </c>
      <c r="X146" s="116">
        <f>IF($T$143=1,0,IF($T$143=2,G179,IF($T$143=3,G180,IF($T$143=4,G181,IF($T$143=5,G182,0)))))</f>
        <v>1.2947048880000009</v>
      </c>
      <c r="Y146" s="116">
        <f>IF($T$143=1,0,IF($T$143=2,H179,IF($T$143=3,H180,IF($T$143=4,H181,IF($T$143=5,H182,0)))))</f>
        <v>1.2608818640000008</v>
      </c>
      <c r="AA146" s="116" t="str">
        <f>K146</f>
        <v>Label_B</v>
      </c>
      <c r="AB146" s="116" t="s">
        <v>28</v>
      </c>
      <c r="AC146" s="116">
        <f>W$13</f>
        <v>3.5135086100000001</v>
      </c>
      <c r="AD146" s="116">
        <f>W$38</f>
        <v>2.6041502400000001</v>
      </c>
      <c r="AE146" s="116">
        <f>W$63</f>
        <v>2.5525219099999998</v>
      </c>
      <c r="AF146" s="116">
        <f>W$88</f>
        <v>2.5009968800000002</v>
      </c>
      <c r="AG146" s="116">
        <f>W$113</f>
        <v>2.4162241600000001</v>
      </c>
    </row>
    <row r="147" spans="2:85" ht="15.75" thickBot="1" x14ac:dyDescent="0.3">
      <c r="B147" s="42" t="str">
        <f>ReadMe!E16</f>
        <v>Label_A+</v>
      </c>
      <c r="C147" s="116" t="s">
        <v>28</v>
      </c>
      <c r="D147" s="116">
        <f>AN$13+AO$13</f>
        <v>3.5135086100000001</v>
      </c>
      <c r="E147" s="116">
        <f>AN$38+AO$38</f>
        <v>0.44345248557</v>
      </c>
      <c r="F147" s="116">
        <f>AN$63+AO$63</f>
        <v>0.42430638304000001</v>
      </c>
      <c r="G147" s="116">
        <f>AN$88+AO$88</f>
        <v>0.36747252971</v>
      </c>
      <c r="H147" s="116">
        <f>AN$113+AO$113</f>
        <v>0.32412371662</v>
      </c>
      <c r="K147" s="116" t="str">
        <f>ReadMe!E16</f>
        <v>Label_A+</v>
      </c>
      <c r="L147" s="116" t="s">
        <v>28</v>
      </c>
      <c r="M147" s="116">
        <f>AP$13+AQ$13</f>
        <v>1.2021471500000001</v>
      </c>
      <c r="N147" s="116">
        <f>AP$38+AQ$38</f>
        <v>0.17438400007999999</v>
      </c>
      <c r="O147" s="116">
        <f>AP$63+AQ$63</f>
        <v>0.13119313978</v>
      </c>
      <c r="P147" s="116">
        <f>AP$88+AQ$88</f>
        <v>8.0627165520000002E-2</v>
      </c>
      <c r="Q147" s="116">
        <f>AP$113+AQ$113</f>
        <v>5.0213623393999998E-2</v>
      </c>
      <c r="S147" s="116" t="s">
        <v>3</v>
      </c>
      <c r="T147" s="116" t="s">
        <v>28</v>
      </c>
      <c r="U147" s="116">
        <f>IF($T$143=1,D145,IF($T$143=2,D146,IF($T$143=3,D147,IF($T$143=4,D148,IF($T$143=5,D149,0)))))</f>
        <v>3.5135086100000001</v>
      </c>
      <c r="V147" s="116">
        <f>IF($T$143=1,E145,IF($T$143=2,E146,IF($T$143=3,E147,IF($T$143=4,E148,IF($T$143=5,E149,0)))))</f>
        <v>0</v>
      </c>
      <c r="W147" s="116">
        <f>IF($T$143=1,F145,IF($T$143=2,F146,IF($T$143=3,F147,IF($T$143=4,F148,IF($T$143=5,F149,0)))))</f>
        <v>0</v>
      </c>
      <c r="X147" s="116">
        <f>IF($T$143=1,G145,IF($T$143=2,G146,IF($T$143=3,G147,IF($T$143=4,G148,IF($T$143=5,G149,0)))))</f>
        <v>0</v>
      </c>
      <c r="Y147" s="116">
        <f>IF($T$143=1,H145,IF($T$143=2,H146,IF($T$143=3,H147,IF($T$143=4,H148,IF($T$143=5,H149,0)))))</f>
        <v>0</v>
      </c>
      <c r="AA147" s="116" t="str">
        <f>K147</f>
        <v>Label_A+</v>
      </c>
      <c r="AB147" s="116" t="s">
        <v>28</v>
      </c>
      <c r="AC147" s="116">
        <f>AN$13</f>
        <v>3.5135086100000001</v>
      </c>
      <c r="AD147" s="116">
        <f>AN$38</f>
        <v>0.43671623999999998</v>
      </c>
      <c r="AE147" s="116">
        <f>AN$63</f>
        <v>0.41783044699999999</v>
      </c>
      <c r="AF147" s="116">
        <f>AN$88</f>
        <v>0.36126203699999998</v>
      </c>
      <c r="AG147" s="116">
        <f>AN$113</f>
        <v>0.31827578000000001</v>
      </c>
    </row>
    <row r="148" spans="2:85" x14ac:dyDescent="0.25">
      <c r="B148" s="42" t="str">
        <f>ReadMe!F16</f>
        <v>Label_A+_eWP</v>
      </c>
      <c r="C148" s="116" t="s">
        <v>28</v>
      </c>
      <c r="D148" s="116">
        <f>BE$13+BF$13</f>
        <v>3.5135086100000001</v>
      </c>
      <c r="E148" s="116">
        <f>BE$38+BF$38</f>
        <v>0</v>
      </c>
      <c r="F148" s="116">
        <f>BE$63+BF$63</f>
        <v>0</v>
      </c>
      <c r="G148" s="116">
        <f>BE$88+BF$88</f>
        <v>0</v>
      </c>
      <c r="H148" s="116">
        <f>BE$113+BF$113</f>
        <v>0</v>
      </c>
      <c r="K148" s="116" t="str">
        <f>ReadMe!F16</f>
        <v>Label_A+_eWP</v>
      </c>
      <c r="L148" s="116" t="s">
        <v>28</v>
      </c>
      <c r="M148" s="116">
        <f>BG$13+BH$13</f>
        <v>1.2021471500000001</v>
      </c>
      <c r="N148" s="116">
        <f>BG$38+BH$38</f>
        <v>0</v>
      </c>
      <c r="O148" s="116">
        <f>BG$63+BH$63</f>
        <v>0</v>
      </c>
      <c r="P148" s="116">
        <f>BG$88+BH$88</f>
        <v>0</v>
      </c>
      <c r="Q148" s="116">
        <f>BG$113+BH$113</f>
        <v>0</v>
      </c>
      <c r="S148" s="127" t="s">
        <v>18</v>
      </c>
      <c r="T148" s="127" t="s">
        <v>28</v>
      </c>
      <c r="U148" s="127">
        <f>SUM(U145:U147)</f>
        <v>4.8114045599999997</v>
      </c>
      <c r="V148" s="127">
        <f>SUM(V145:V147)</f>
        <v>2.8371464540000004</v>
      </c>
      <c r="W148" s="127">
        <f>SUM(W145:W147)</f>
        <v>2.7523410050000008</v>
      </c>
      <c r="X148" s="127">
        <f>SUM(X145:X147)</f>
        <v>2.6856140680000009</v>
      </c>
      <c r="Y148" s="127">
        <f>SUM(Y145:Y147)</f>
        <v>2.6187643210000009</v>
      </c>
      <c r="AA148" s="116" t="str">
        <f>K148</f>
        <v>Label_A+_eWP</v>
      </c>
      <c r="AB148" s="116" t="s">
        <v>28</v>
      </c>
      <c r="AC148" s="116">
        <f>BE$13</f>
        <v>3.5135086100000001</v>
      </c>
      <c r="AD148" s="116">
        <f>BE$38</f>
        <v>0</v>
      </c>
      <c r="AE148" s="116">
        <f>BE$63</f>
        <v>0</v>
      </c>
      <c r="AF148" s="116">
        <f>BE$88</f>
        <v>0</v>
      </c>
      <c r="AG148" s="116">
        <f>BE$113</f>
        <v>0</v>
      </c>
    </row>
    <row r="149" spans="2:85" x14ac:dyDescent="0.25">
      <c r="B149" s="42" t="str">
        <f>ReadMe!G16</f>
        <v>Label_B_WP2euro/m3</v>
      </c>
      <c r="C149" s="116" t="s">
        <v>28</v>
      </c>
      <c r="D149" s="116">
        <f>BV$13+BW$13</f>
        <v>3.5135086100000001</v>
      </c>
      <c r="E149" s="116">
        <f>BV$38+BW$38</f>
        <v>1.1647902567999999E-2</v>
      </c>
      <c r="F149" s="116">
        <f>BV$63+BW$63</f>
        <v>1.1404959806999999E-2</v>
      </c>
      <c r="G149" s="116">
        <f>BV$88+BW$88</f>
        <v>1.1162999497E-2</v>
      </c>
      <c r="H149" s="116">
        <f>BV$113+BW$113</f>
        <v>1.0920056714999999E-2</v>
      </c>
      <c r="K149" s="116" t="str">
        <f>ReadMe!G16</f>
        <v>Label_B_WP2euro/m3</v>
      </c>
      <c r="L149" s="116" t="s">
        <v>28</v>
      </c>
      <c r="M149" s="116">
        <f>BX$13+BY$13</f>
        <v>1.2021471500000001</v>
      </c>
      <c r="N149" s="116">
        <f>BX$38+BY$38</f>
        <v>1.2415756200000001E-3</v>
      </c>
      <c r="O149" s="116">
        <f>BX$63+BY$63</f>
        <v>1.2085992099999999E-3</v>
      </c>
      <c r="P149" s="116">
        <f>BX$88+BY$88</f>
        <v>1.1757432699999999E-3</v>
      </c>
      <c r="Q149" s="116">
        <f>BX$113+BY$113</f>
        <v>1.1413611500000001E-3</v>
      </c>
      <c r="AA149" s="116" t="str">
        <f>K149</f>
        <v>Label_B_WP2euro/m3</v>
      </c>
      <c r="AB149" s="116" t="s">
        <v>28</v>
      </c>
      <c r="AC149" s="116">
        <f>BV$13</f>
        <v>3.5135086100000001</v>
      </c>
      <c r="AD149" s="116">
        <f>BV$38</f>
        <v>1.1395166999999999E-2</v>
      </c>
      <c r="AE149" s="116">
        <f>BV$63</f>
        <v>1.1157036699999999E-2</v>
      </c>
      <c r="AF149" s="116">
        <f>BV$88</f>
        <v>1.09198713E-2</v>
      </c>
      <c r="AG149" s="116">
        <f>BV$113</f>
        <v>1.0681741E-2</v>
      </c>
    </row>
    <row r="150" spans="2:85" x14ac:dyDescent="0.25">
      <c r="S150" s="118" t="str">
        <f>"Warmtevraag woningen 1 scenario: "&amp;ReadMe!$M$15</f>
        <v>Warmtevraag woningen 1 scenario: Label_B_WP2euro/m3</v>
      </c>
    </row>
    <row r="151" spans="2:85" x14ac:dyDescent="0.25">
      <c r="B151" s="4" t="s">
        <v>56</v>
      </c>
      <c r="K151" s="118" t="s">
        <v>58</v>
      </c>
      <c r="S151" s="118" t="s">
        <v>373</v>
      </c>
      <c r="T151" s="116">
        <f>ReadMe!$K$15</f>
        <v>5</v>
      </c>
      <c r="AA151" s="118" t="s">
        <v>66</v>
      </c>
    </row>
    <row r="152" spans="2:85" x14ac:dyDescent="0.25">
      <c r="D152" s="118">
        <v>2013</v>
      </c>
      <c r="E152" s="118">
        <v>2020</v>
      </c>
      <c r="F152" s="118">
        <v>2030</v>
      </c>
      <c r="G152" s="118">
        <v>2040</v>
      </c>
      <c r="H152" s="118">
        <v>2050</v>
      </c>
      <c r="M152" s="118">
        <v>2013</v>
      </c>
      <c r="N152" s="118">
        <v>2020</v>
      </c>
      <c r="O152" s="118">
        <v>2030</v>
      </c>
      <c r="P152" s="118">
        <v>2040</v>
      </c>
      <c r="Q152" s="118">
        <v>2050</v>
      </c>
      <c r="U152" s="118">
        <v>2013</v>
      </c>
      <c r="V152" s="118">
        <v>2020</v>
      </c>
      <c r="W152" s="118">
        <v>2030</v>
      </c>
      <c r="X152" s="118">
        <v>2040</v>
      </c>
      <c r="Y152" s="118">
        <v>2050</v>
      </c>
      <c r="AC152" s="118">
        <v>2013</v>
      </c>
      <c r="AD152" s="118">
        <v>2020</v>
      </c>
      <c r="AE152" s="118">
        <v>2030</v>
      </c>
      <c r="AF152" s="118">
        <v>2040</v>
      </c>
      <c r="AG152" s="118">
        <v>2050</v>
      </c>
    </row>
    <row r="153" spans="2:85" x14ac:dyDescent="0.25">
      <c r="B153" t="str">
        <f>ReadMe!C16</f>
        <v>Referentie</v>
      </c>
      <c r="C153" s="116" t="s">
        <v>28</v>
      </c>
      <c r="D153" s="116">
        <f>SUM(F$15:F$19)+SUM(G$15:G$19)</f>
        <v>1.29789595</v>
      </c>
      <c r="E153" s="116">
        <f>SUM(F$40:F$44)+SUM(G$40:G$44)</f>
        <v>1.6243557930000001</v>
      </c>
      <c r="F153" s="116">
        <f>SUM(F$65:F$69)+SUM(G$65:G$69)</f>
        <v>1.5876485680000001</v>
      </c>
      <c r="G153" s="116">
        <f>SUM(F$90:F$94)+SUM(G$90:G$94)</f>
        <v>1.5845139029999999</v>
      </c>
      <c r="H153" s="116">
        <f>SUM(F$115:F$119)+SUM(G$115:G$119)</f>
        <v>1.5472231269999999</v>
      </c>
      <c r="K153" s="116" t="str">
        <f>ReadMe!C16</f>
        <v>Referentie</v>
      </c>
      <c r="L153" s="116" t="s">
        <v>28</v>
      </c>
      <c r="M153" s="116">
        <f>SUM(H$15:H$19)+SUM(I$15:I$19)</f>
        <v>0.80431336499999995</v>
      </c>
      <c r="N153" s="116">
        <f>SUM(H$40:H$44)+SUM(I$40:I$44)</f>
        <v>0.85690436300000006</v>
      </c>
      <c r="O153" s="116">
        <f>SUM(H$65:H$69)+SUM(I$65:I$69)</f>
        <v>0.83339644249999989</v>
      </c>
      <c r="P153" s="116">
        <f>SUM(H$90:H$94)+SUM(I$90:I$94)</f>
        <v>1.1974776735000001</v>
      </c>
      <c r="Q153" s="116">
        <f>SUM(H$115:H$119)+SUM(I$115:I$119)</f>
        <v>1.1416436103000001</v>
      </c>
      <c r="S153" s="116" t="s">
        <v>119</v>
      </c>
      <c r="T153" s="116" t="s">
        <v>28</v>
      </c>
      <c r="U153" s="116">
        <f>IF($T$151=1,D153,IF($T$151=2,D154,IF($T$151=3,D155,IF($T$151=4,D156,IF($T$151=5,D157,0)))))</f>
        <v>1.29789595</v>
      </c>
      <c r="V153" s="116">
        <f>IF($T$151=1,E153,IF($T$151=2,E154,IF($T$151=3,E155,IF($T$151=4,E156,IF($T$151=5,E157,0)))))</f>
        <v>3.8353467010499998</v>
      </c>
      <c r="W153" s="116">
        <f>IF($T$151=1,F153,IF($T$151=2,F154,IF($T$151=3,F155,IF($T$151=4,F156,IF($T$151=5,F157,0)))))</f>
        <v>3.75061946803</v>
      </c>
      <c r="X153" s="116">
        <f>IF($T$151=1,G153,IF($T$151=2,G154,IF($T$151=3,G155,IF($T$151=4,G156,IF($T$151=5,G157,0)))))</f>
        <v>3.6660543857250003</v>
      </c>
      <c r="Y153" s="116">
        <f>IF($T$151=1,H153,IF($T$151=2,H154,IF($T$151=3,H155,IF($T$151=4,H156,IF($T$151=5,H157,0)))))</f>
        <v>3.5813271423140001</v>
      </c>
      <c r="AA153" s="116" t="str">
        <f>K153</f>
        <v>Referentie</v>
      </c>
      <c r="AB153" s="116" t="s">
        <v>28</v>
      </c>
      <c r="AC153" s="116">
        <f>SUM(F$15:F$19)</f>
        <v>1.29789595</v>
      </c>
      <c r="AD153" s="116">
        <f>SUM(F$40:F$44)</f>
        <v>1.2570249200000001</v>
      </c>
      <c r="AE153" s="116">
        <f>SUM(F$65:F$69)</f>
        <v>1.2283687700000001</v>
      </c>
      <c r="AF153" s="116">
        <f>SUM(F$90:F$94)</f>
        <v>1.2331466</v>
      </c>
      <c r="AG153" s="116">
        <f>SUM(F$115:F$119)</f>
        <v>1.2036964699999999</v>
      </c>
    </row>
    <row r="154" spans="2:85" x14ac:dyDescent="0.25">
      <c r="B154" s="42" t="str">
        <f>ReadMe!D16</f>
        <v>Label_B</v>
      </c>
      <c r="C154" s="116" t="s">
        <v>28</v>
      </c>
      <c r="D154" s="116">
        <f>SUM(W$15:W$19)+SUM(X$15:X$19)</f>
        <v>1.29789595</v>
      </c>
      <c r="E154" s="116">
        <f>SUM(W$40:W$44)+SUM(X$40:X$44)</f>
        <v>1.4620997199999999</v>
      </c>
      <c r="F154" s="116">
        <f>SUM(W$65:W$69)+SUM(X$65:X$69)</f>
        <v>1.4299423609999999</v>
      </c>
      <c r="G154" s="116">
        <f>SUM(W$90:W$94)+SUM(X$90:X$94)</f>
        <v>1.3978423899999999</v>
      </c>
      <c r="H154" s="116">
        <f>SUM(W$115:W$119)+SUM(X$115:X$119)</f>
        <v>1.3961556150000001</v>
      </c>
      <c r="K154" s="116" t="str">
        <f>ReadMe!D16</f>
        <v>Label_B</v>
      </c>
      <c r="L154" s="116" t="s">
        <v>28</v>
      </c>
      <c r="M154" s="116">
        <f>SUM(Y$15:Y$19)+SUM(Z$15:Z$19)</f>
        <v>0.80431336499999995</v>
      </c>
      <c r="N154" s="116">
        <f>SUM(Y$40:Y$44)+SUM(Z$40:Z$44)</f>
        <v>0.41211953749999997</v>
      </c>
      <c r="O154" s="116">
        <f>SUM(Y$65:Y$69)+SUM(Z$65:Z$69)</f>
        <v>0.40110846130000005</v>
      </c>
      <c r="P154" s="116">
        <f>SUM(Y$90:Y$94)+SUM(Z$90:Z$94)</f>
        <v>0.39011288029999996</v>
      </c>
      <c r="Q154" s="116">
        <f>SUM(Y$115:Y$119)+SUM(Z$115:Z$119)</f>
        <v>0.61127024269999997</v>
      </c>
      <c r="S154" s="116" t="s">
        <v>284</v>
      </c>
      <c r="T154" s="116" t="s">
        <v>28</v>
      </c>
      <c r="U154" s="116">
        <f>IF($T$151=1,0,IF($T$151=2,D179,IF($T$151=3,D180,IF($T$151=4,D181,IF($T$151=5,D182,0)))))</f>
        <v>0</v>
      </c>
      <c r="V154" s="116">
        <f>IF($T$151=1,0,IF($T$151=2,E179,IF($T$151=3,E180,IF($T$151=4,E181,IF($T$151=5,E182,0)))))</f>
        <v>0</v>
      </c>
      <c r="W154" s="116">
        <f>IF($T$151=1,0,IF($T$151=2,F179,IF($T$151=3,F180,IF($T$151=4,F181,IF($T$151=5,F182,0)))))</f>
        <v>0</v>
      </c>
      <c r="X154" s="116">
        <f>IF($T$151=1,0,IF($T$151=2,G179,IF($T$151=3,G180,IF($T$151=4,G181,IF($T$151=5,G182,0)))))</f>
        <v>0</v>
      </c>
      <c r="Y154" s="116">
        <f>IF($T$151=1,0,IF($T$151=2,H179,IF($T$151=3,H180,IF($T$151=4,H181,IF($T$151=5,H182,0)))))</f>
        <v>0</v>
      </c>
      <c r="AA154" s="116" t="str">
        <f>K154</f>
        <v>Label_B</v>
      </c>
      <c r="AB154" s="116" t="s">
        <v>28</v>
      </c>
      <c r="AC154" s="116">
        <f>SUM(W$15:W$19)</f>
        <v>1.29789595</v>
      </c>
      <c r="AD154" s="116">
        <f>SUM(W$40:W$44)</f>
        <v>1.09612943</v>
      </c>
      <c r="AE154" s="116">
        <f>SUM(W$65:W$69)</f>
        <v>1.0719932599999999</v>
      </c>
      <c r="AF154" s="116">
        <f>SUM(W$90:W$94)</f>
        <v>1.0479004599999999</v>
      </c>
      <c r="AG154" s="116">
        <f>SUM(W$115:W$119)</f>
        <v>1.0538999600000001</v>
      </c>
    </row>
    <row r="155" spans="2:85" ht="15.75" thickBot="1" x14ac:dyDescent="0.3">
      <c r="B155" s="42" t="str">
        <f>ReadMe!E16</f>
        <v>Label_A+</v>
      </c>
      <c r="C155" s="116" t="s">
        <v>28</v>
      </c>
      <c r="D155" s="116">
        <f>SUM(AN$15:AN$19)+SUM(AO$15:AO$19)</f>
        <v>1.29789595</v>
      </c>
      <c r="E155" s="116">
        <f>SUM(AN$40:AN$44)+SUM(AO$40:AO$44)</f>
        <v>2.2766841160000002</v>
      </c>
      <c r="F155" s="116">
        <f>SUM(AN$65:AN$69)+SUM(AO$65:AO$69)</f>
        <v>2.2425857330000003</v>
      </c>
      <c r="G155" s="116">
        <f>SUM(AN$90:AN$94)+SUM(AO$90:AO$94)</f>
        <v>2.241016406</v>
      </c>
      <c r="H155" s="116">
        <f>SUM(AN$115:AN$119)+SUM(AO$115:AO$119)</f>
        <v>2.22754874</v>
      </c>
      <c r="K155" s="116" t="str">
        <f>ReadMe!E16</f>
        <v>Label_A+</v>
      </c>
      <c r="L155" s="116" t="s">
        <v>28</v>
      </c>
      <c r="M155" s="116">
        <f>SUM(AP$15:AP$19)+SUM(AQ$15:AQ$19)</f>
        <v>0.80431336499999995</v>
      </c>
      <c r="N155" s="116">
        <f>SUM(AP$40:AP$44)+SUM(AQ$40:AQ$44)</f>
        <v>0.46101702630000002</v>
      </c>
      <c r="O155" s="116">
        <f>SUM(AP$65:AP$69)+SUM(AQ$65:AQ$69)</f>
        <v>0.46847494510000004</v>
      </c>
      <c r="P155" s="116">
        <f>SUM(AP$90:AP$94)+SUM(AQ$90:AQ$94)</f>
        <v>0.49193487200000002</v>
      </c>
      <c r="Q155" s="116">
        <f>SUM(AP$115:AP$119)+SUM(AQ$115:AQ$119)</f>
        <v>0.49646463909999999</v>
      </c>
      <c r="S155" s="116" t="s">
        <v>3</v>
      </c>
      <c r="T155" s="116" t="s">
        <v>28</v>
      </c>
      <c r="U155" s="116">
        <f>IF($T$151=1,D145,IF($T$151=2,D146,IF($T$151=3,D147,IF($T$151=4,D148,IF($T$151=5,D149,0)))))</f>
        <v>3.5135086100000001</v>
      </c>
      <c r="V155" s="116">
        <f>IF($T$151=1,E145,IF($T$151=2,E146,IF($T$151=3,E147,IF($T$151=4,E148,IF($T$151=5,E149,0)))))</f>
        <v>1.1647902567999999E-2</v>
      </c>
      <c r="W155" s="116">
        <f>IF($T$151=1,F145,IF($T$151=2,F146,IF($T$151=3,F147,IF($T$151=4,F148,IF($T$151=5,F149,0)))))</f>
        <v>1.1404959806999999E-2</v>
      </c>
      <c r="X155" s="116">
        <f>IF($T$151=1,G145,IF($T$151=2,G146,IF($T$151=3,G147,IF($T$151=4,G148,IF($T$151=5,G149,0)))))</f>
        <v>1.1162999497E-2</v>
      </c>
      <c r="Y155" s="116">
        <f>IF($T$151=1,H145,IF($T$151=2,H146,IF($T$151=3,H147,IF($T$151=4,H148,IF($T$151=5,H149,0)))))</f>
        <v>1.0920056714999999E-2</v>
      </c>
      <c r="AA155" s="116" t="str">
        <f>K155</f>
        <v>Label_A+</v>
      </c>
      <c r="AB155" s="116" t="s">
        <v>28</v>
      </c>
      <c r="AC155" s="116">
        <f>SUM(AN$15:AN$19)</f>
        <v>1.29789595</v>
      </c>
      <c r="AD155" s="116">
        <f>SUM(AN$40:AN$44)</f>
        <v>1.907368921</v>
      </c>
      <c r="AE155" s="116">
        <f>SUM(AN$65:AN$69)</f>
        <v>1.8812464800000002</v>
      </c>
      <c r="AF155" s="116">
        <f>SUM(AN$90:AN$94)</f>
        <v>1.8876359709999999</v>
      </c>
      <c r="AG155" s="116">
        <f>SUM(AN$115:AN$119)</f>
        <v>1.8820553869999999</v>
      </c>
    </row>
    <row r="156" spans="2:85" x14ac:dyDescent="0.25">
      <c r="B156" s="42" t="str">
        <f>ReadMe!F16</f>
        <v>Label_A+_eWP</v>
      </c>
      <c r="C156" s="116" t="s">
        <v>28</v>
      </c>
      <c r="D156" s="116">
        <f>SUM(BE$15:BE$19)+SUM(BF$15:BF$19)</f>
        <v>1.29789595</v>
      </c>
      <c r="E156" s="116">
        <f>SUM(BE$40:BE$44)+SUM(BF$40:BF$44)</f>
        <v>1.4748623940000001</v>
      </c>
      <c r="F156" s="116">
        <f>SUM(BE$65:BE$69)+SUM(BF$65:BF$69)</f>
        <v>1.423879973</v>
      </c>
      <c r="G156" s="116">
        <f>SUM(BE$90:BE$94)+SUM(BF$90:BF$94)</f>
        <v>1.39090918</v>
      </c>
      <c r="H156" s="116">
        <f>SUM(BE$115:BE$119)+SUM(BF$115:BF$119)</f>
        <v>1.3578824570000001</v>
      </c>
      <c r="K156" s="116" t="str">
        <f>ReadMe!F16</f>
        <v>Label_A+_eWP</v>
      </c>
      <c r="L156" s="116" t="s">
        <v>28</v>
      </c>
      <c r="M156" s="116">
        <f>SUM(BG$15:BG$19)+SUM(BH$15:BH$19)</f>
        <v>0.80431336499999995</v>
      </c>
      <c r="N156" s="116">
        <f>SUM(BG$40:BG$44)+SUM(BH$40:BH$44)</f>
        <v>0.80609087819999992</v>
      </c>
      <c r="O156" s="116">
        <f>SUM(BG$65:BG$69)+SUM(BH$65:BH$69)</f>
        <v>0.78390144519999994</v>
      </c>
      <c r="P156" s="116">
        <f>SUM(BG$90:BG$94)+SUM(BH$90:BH$94)</f>
        <v>0.75949081890000003</v>
      </c>
      <c r="Q156" s="116">
        <f>SUM(BG$115:BG$119)+SUM(BH$115:BH$119)</f>
        <v>0.71565536389999995</v>
      </c>
      <c r="S156" s="127" t="s">
        <v>18</v>
      </c>
      <c r="T156" s="127" t="s">
        <v>28</v>
      </c>
      <c r="U156" s="127">
        <f>SUM(U153:U155)</f>
        <v>4.8114045599999997</v>
      </c>
      <c r="V156" s="127">
        <f>SUM(V153:V155)</f>
        <v>3.8469946036179996</v>
      </c>
      <c r="W156" s="127">
        <f>SUM(W153:W155)</f>
        <v>3.7620244278369999</v>
      </c>
      <c r="X156" s="127">
        <f>SUM(X153:X155)</f>
        <v>3.6772173852220003</v>
      </c>
      <c r="Y156" s="127">
        <f>SUM(Y153:Y155)</f>
        <v>3.5922471990289999</v>
      </c>
      <c r="AA156" s="116" t="str">
        <f>K156</f>
        <v>Label_A+_eWP</v>
      </c>
      <c r="AB156" s="116" t="s">
        <v>28</v>
      </c>
      <c r="AC156" s="116">
        <f>SUM(BE$15:BE$19)</f>
        <v>1.29789595</v>
      </c>
      <c r="AD156" s="116">
        <f>SUM(BE$40:BE$44)</f>
        <v>1.27546907</v>
      </c>
      <c r="AE156" s="116">
        <f>SUM(BE$65:BE$69)</f>
        <v>1.2288435</v>
      </c>
      <c r="AF156" s="116">
        <f>SUM(BE$90:BE$94)</f>
        <v>1.2002225900000001</v>
      </c>
      <c r="AG156" s="116">
        <f>SUM(BE$115:BE$119)</f>
        <v>1.17155272</v>
      </c>
    </row>
    <row r="157" spans="2:85" x14ac:dyDescent="0.25">
      <c r="B157" s="42" t="str">
        <f>ReadMe!G16</f>
        <v>Label_B_WP2euro/m3</v>
      </c>
      <c r="C157" s="116" t="s">
        <v>28</v>
      </c>
      <c r="D157" s="116">
        <f>SUM(BV$15:BV$19)+SUM(BW$15:BW$19)</f>
        <v>1.29789595</v>
      </c>
      <c r="E157" s="116">
        <f>SUM(BV$40:BV$44)+SUM(BW$40:BW$44)</f>
        <v>3.8353467010499998</v>
      </c>
      <c r="F157" s="116">
        <f>SUM(BV$65:BV$69)+SUM(BW$65:BW$69)</f>
        <v>3.75061946803</v>
      </c>
      <c r="G157" s="116">
        <f>SUM(BV$90:BV$94)+SUM(BW$90:BW$94)</f>
        <v>3.6660543857250003</v>
      </c>
      <c r="H157" s="116">
        <f>SUM(BV$115:BV$119)+SUM(BW$115:BW$119)</f>
        <v>3.5813271423140001</v>
      </c>
      <c r="K157" s="116" t="str">
        <f>ReadMe!G16</f>
        <v>Label_B_WP2euro/m3</v>
      </c>
      <c r="L157" s="116" t="s">
        <v>28</v>
      </c>
      <c r="M157" s="116">
        <f>SUM(BX$15:BX$19)+SUM(BY$15:BY$19)</f>
        <v>0.80431336499999995</v>
      </c>
      <c r="N157" s="116">
        <f>SUM(BX$40:BX$44)+SUM(BY$40:BY$44)</f>
        <v>0.99301972822599993</v>
      </c>
      <c r="O157" s="116">
        <f>SUM(BX$65:BX$69)+SUM(BY$65:BY$69)</f>
        <v>0.96662890680100011</v>
      </c>
      <c r="P157" s="116">
        <f>SUM(BX$90:BX$94)+SUM(BY$90:BY$94)</f>
        <v>0.94027834053799997</v>
      </c>
      <c r="Q157" s="116">
        <f>SUM(BX$115:BX$119)+SUM(BY$115:BY$119)</f>
        <v>0.91388752678900009</v>
      </c>
      <c r="AA157" s="116" t="str">
        <f>K157</f>
        <v>Label_B_WP2euro/m3</v>
      </c>
      <c r="AB157" s="116" t="s">
        <v>28</v>
      </c>
      <c r="AC157" s="116">
        <f>SUM(BV$15:BV$19)</f>
        <v>1.29789595</v>
      </c>
      <c r="AD157" s="116">
        <f>SUM(BV$40:BV$44)</f>
        <v>3.4601670599999999</v>
      </c>
      <c r="AE157" s="116">
        <f>SUM(BV$65:BV$69)</f>
        <v>3.3836618399999998</v>
      </c>
      <c r="AF157" s="116">
        <f>SUM(BV$90:BV$94)</f>
        <v>3.3073042600000004</v>
      </c>
      <c r="AG157" s="116">
        <f>SUM(BV$115:BV$119)</f>
        <v>3.23079903</v>
      </c>
    </row>
    <row r="159" spans="2:85" s="45" customFormat="1" x14ac:dyDescent="0.25">
      <c r="B159" s="4" t="s">
        <v>61</v>
      </c>
      <c r="C159" s="116"/>
      <c r="D159" s="116"/>
      <c r="E159" s="116"/>
      <c r="F159" s="116"/>
      <c r="G159" s="116"/>
      <c r="H159" s="116"/>
      <c r="I159" s="116"/>
      <c r="J159" s="116"/>
      <c r="K159" s="116"/>
      <c r="L159" s="116"/>
      <c r="M159" s="116"/>
      <c r="N159" s="116"/>
      <c r="O159" s="116"/>
      <c r="P159" s="116"/>
      <c r="Q159" s="116"/>
      <c r="R159" s="38"/>
      <c r="S159" s="118" t="str">
        <f>"Gebiedsopties voor invulling warmtevraag woningen 1 scenario: "&amp;ReadMe!M13</f>
        <v>Gebiedsopties voor invulling warmtevraag woningen 1 scenario: Label_B_WP2euro/m3</v>
      </c>
      <c r="T159" s="116"/>
      <c r="U159" s="116"/>
      <c r="V159" s="116"/>
      <c r="W159" s="116"/>
      <c r="X159" s="116"/>
      <c r="Y159" s="116"/>
      <c r="Z159" s="116"/>
      <c r="AA159" s="118" t="s">
        <v>70</v>
      </c>
      <c r="AB159" s="116"/>
      <c r="AC159" s="116"/>
      <c r="AD159" s="116"/>
      <c r="AE159" s="116"/>
      <c r="AF159" s="116"/>
      <c r="AG159" s="116"/>
      <c r="AH159" s="116"/>
      <c r="AI159" s="38"/>
      <c r="AJ159" s="116"/>
      <c r="AK159" s="116"/>
      <c r="AL159" s="116"/>
      <c r="AM159" s="116"/>
      <c r="AN159" s="116"/>
      <c r="AO159" s="116"/>
      <c r="AP159" s="116"/>
      <c r="AQ159" s="116"/>
      <c r="AR159" s="116"/>
      <c r="AS159" s="116"/>
      <c r="AT159" s="116"/>
      <c r="AU159" s="116"/>
      <c r="AV159" s="116"/>
      <c r="AW159" s="116"/>
      <c r="AX159" s="116"/>
      <c r="AY159" s="116"/>
      <c r="AZ159" s="38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6"/>
      <c r="BK159" s="116"/>
      <c r="BL159" s="116"/>
      <c r="BM159" s="116"/>
      <c r="BN159" s="116"/>
      <c r="BO159" s="116"/>
      <c r="BP159" s="116"/>
      <c r="BQ159" s="38"/>
      <c r="BR159" s="116"/>
      <c r="BS159" s="116"/>
      <c r="BT159" s="116"/>
      <c r="BU159" s="116"/>
      <c r="BV159" s="116"/>
      <c r="BW159" s="116"/>
      <c r="BX159" s="116"/>
      <c r="BY159" s="116"/>
      <c r="BZ159" s="116"/>
      <c r="CA159" s="116"/>
      <c r="CB159" s="116"/>
      <c r="CC159" s="116"/>
      <c r="CD159" s="116"/>
      <c r="CE159" s="116"/>
      <c r="CF159" s="116"/>
      <c r="CG159" s="116"/>
    </row>
    <row r="160" spans="2:85" s="45" customFormat="1" x14ac:dyDescent="0.25">
      <c r="C160" s="116"/>
      <c r="D160" s="118">
        <v>2013</v>
      </c>
      <c r="E160" s="118">
        <v>2020</v>
      </c>
      <c r="F160" s="118">
        <v>2030</v>
      </c>
      <c r="G160" s="118">
        <v>2040</v>
      </c>
      <c r="H160" s="118">
        <v>2050</v>
      </c>
      <c r="I160" s="116"/>
      <c r="J160" s="116"/>
      <c r="K160" s="116"/>
      <c r="L160" s="116"/>
      <c r="M160" s="116"/>
      <c r="N160" s="116"/>
      <c r="O160" s="116"/>
      <c r="P160" s="116"/>
      <c r="Q160" s="116"/>
      <c r="R160" s="38"/>
      <c r="S160" s="118" t="s">
        <v>373</v>
      </c>
      <c r="T160" s="116">
        <f>ReadMe!$K$13</f>
        <v>5</v>
      </c>
      <c r="U160" s="116"/>
      <c r="V160" s="116"/>
      <c r="W160" s="116"/>
      <c r="X160" s="116"/>
      <c r="Y160" s="116"/>
      <c r="Z160" s="116"/>
      <c r="AA160" s="116"/>
      <c r="AB160" s="116"/>
      <c r="AC160" s="118">
        <v>2013</v>
      </c>
      <c r="AD160" s="118">
        <v>2020</v>
      </c>
      <c r="AE160" s="118">
        <v>2030</v>
      </c>
      <c r="AF160" s="118">
        <v>2040</v>
      </c>
      <c r="AG160" s="118">
        <v>2050</v>
      </c>
      <c r="AH160" s="116"/>
      <c r="AI160" s="38"/>
      <c r="AJ160" s="116"/>
      <c r="AK160" s="116"/>
      <c r="AL160" s="116"/>
      <c r="AM160" s="116"/>
      <c r="AN160" s="116"/>
      <c r="AO160" s="116"/>
      <c r="AP160" s="116"/>
      <c r="AQ160" s="116"/>
      <c r="AR160" s="116"/>
      <c r="AS160" s="116"/>
      <c r="AT160" s="116"/>
      <c r="AU160" s="116"/>
      <c r="AV160" s="116"/>
      <c r="AW160" s="116"/>
      <c r="AX160" s="116"/>
      <c r="AY160" s="116"/>
      <c r="AZ160" s="38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6"/>
      <c r="BK160" s="116"/>
      <c r="BL160" s="116"/>
      <c r="BM160" s="116"/>
      <c r="BN160" s="116"/>
      <c r="BO160" s="116"/>
      <c r="BP160" s="116"/>
      <c r="BQ160" s="38"/>
      <c r="BR160" s="116"/>
      <c r="BS160" s="116"/>
      <c r="BT160" s="116"/>
      <c r="BU160" s="116"/>
      <c r="BV160" s="116"/>
      <c r="BW160" s="116"/>
      <c r="BX160" s="116"/>
      <c r="BY160" s="116"/>
      <c r="BZ160" s="116"/>
      <c r="CA160" s="116"/>
      <c r="CB160" s="116"/>
      <c r="CC160" s="116"/>
      <c r="CD160" s="116"/>
      <c r="CE160" s="116"/>
      <c r="CF160" s="116"/>
      <c r="CG160" s="116"/>
    </row>
    <row r="161" spans="2:85" s="45" customFormat="1" x14ac:dyDescent="0.25">
      <c r="B161" s="45" t="str">
        <f>ReadMe!C16</f>
        <v>Referentie</v>
      </c>
      <c r="C161" s="116" t="s">
        <v>28</v>
      </c>
      <c r="D161" s="116">
        <f>F$14+G$14</f>
        <v>1.44426169</v>
      </c>
      <c r="E161" s="116">
        <f>F$39+G$39</f>
        <v>1.6454585169999998</v>
      </c>
      <c r="F161" s="116">
        <f>F$64+G$64</f>
        <v>1.6454585169999998</v>
      </c>
      <c r="G161" s="116">
        <f>F$89+G$89</f>
        <v>1.6454585169999998</v>
      </c>
      <c r="H161" s="116">
        <f>F$114+G$114</f>
        <v>1.6454585169999998</v>
      </c>
      <c r="I161" s="116"/>
      <c r="J161" s="116"/>
      <c r="K161" s="116"/>
      <c r="L161" s="116"/>
      <c r="M161" s="116"/>
      <c r="N161" s="116"/>
      <c r="O161" s="116"/>
      <c r="P161" s="116"/>
      <c r="Q161" s="116"/>
      <c r="R161" s="38"/>
      <c r="S161" s="116"/>
      <c r="T161" s="116"/>
      <c r="U161" s="118">
        <v>2013</v>
      </c>
      <c r="V161" s="118">
        <v>2020</v>
      </c>
      <c r="W161" s="118">
        <v>2030</v>
      </c>
      <c r="X161" s="118">
        <v>2040</v>
      </c>
      <c r="Y161" s="118">
        <v>2050</v>
      </c>
      <c r="Z161" s="116"/>
      <c r="AA161" s="116" t="str">
        <f>AA153</f>
        <v>Referentie</v>
      </c>
      <c r="AB161" s="116" t="s">
        <v>28</v>
      </c>
      <c r="AC161" s="116">
        <f>AC145+AC153</f>
        <v>4.8114045599999997</v>
      </c>
      <c r="AD161" s="116">
        <f>AD145+AD153</f>
        <v>4.3707908099999999</v>
      </c>
      <c r="AE161" s="116">
        <f>AE145+AE153</f>
        <v>4.2761931400000002</v>
      </c>
      <c r="AF161" s="116">
        <f>AF145+AF153</f>
        <v>4.1787095799999996</v>
      </c>
      <c r="AG161" s="116">
        <f>AG145+AG153</f>
        <v>4.0840970499999996</v>
      </c>
      <c r="AH161" s="116"/>
      <c r="AI161" s="38"/>
      <c r="AJ161" s="116"/>
      <c r="AK161" s="116"/>
      <c r="AL161" s="116"/>
      <c r="AM161" s="116"/>
      <c r="AN161" s="116"/>
      <c r="AO161" s="116"/>
      <c r="AP161" s="116"/>
      <c r="AQ161" s="116"/>
      <c r="AR161" s="116"/>
      <c r="AS161" s="116"/>
      <c r="AT161" s="116"/>
      <c r="AU161" s="116"/>
      <c r="AV161" s="116"/>
      <c r="AW161" s="116"/>
      <c r="AX161" s="116"/>
      <c r="AY161" s="116"/>
      <c r="AZ161" s="38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6"/>
      <c r="BK161" s="116"/>
      <c r="BL161" s="116"/>
      <c r="BM161" s="116"/>
      <c r="BN161" s="116"/>
      <c r="BO161" s="116"/>
      <c r="BP161" s="116"/>
      <c r="BQ161" s="38"/>
      <c r="BR161" s="116"/>
      <c r="BS161" s="116"/>
      <c r="BT161" s="116"/>
      <c r="BU161" s="116"/>
      <c r="BV161" s="116"/>
      <c r="BW161" s="116"/>
      <c r="BX161" s="116"/>
      <c r="BY161" s="116"/>
      <c r="BZ161" s="116"/>
      <c r="CA161" s="116"/>
      <c r="CB161" s="116"/>
      <c r="CC161" s="116"/>
      <c r="CD161" s="116"/>
      <c r="CE161" s="116"/>
      <c r="CF161" s="116"/>
      <c r="CG161" s="116"/>
    </row>
    <row r="162" spans="2:85" s="45" customFormat="1" x14ac:dyDescent="0.25">
      <c r="B162" s="45" t="str">
        <f>ReadMe!D16</f>
        <v>Label_B</v>
      </c>
      <c r="C162" s="116" t="s">
        <v>28</v>
      </c>
      <c r="D162" s="116">
        <f>W$14+X$14</f>
        <v>1.44426169</v>
      </c>
      <c r="E162" s="116">
        <f>W$39+X$39</f>
        <v>1.6454585169999998</v>
      </c>
      <c r="F162" s="116">
        <f>W$64+X$64</f>
        <v>1.6454585169999998</v>
      </c>
      <c r="G162" s="116">
        <f>W$89+X$89</f>
        <v>1.6454585169999998</v>
      </c>
      <c r="H162" s="116">
        <f>W$114+X$114</f>
        <v>1.6454585169999998</v>
      </c>
      <c r="I162" s="116"/>
      <c r="J162" s="116"/>
      <c r="K162" s="116"/>
      <c r="L162" s="116"/>
      <c r="M162" s="116"/>
      <c r="N162" s="116"/>
      <c r="O162" s="116"/>
      <c r="P162" s="116"/>
      <c r="Q162" s="116"/>
      <c r="R162" s="38"/>
      <c r="S162" s="116" t="s">
        <v>9</v>
      </c>
      <c r="T162" s="116" t="s">
        <v>28</v>
      </c>
      <c r="U162" s="116">
        <f>IF($T$160=1,F19+G19,IF($T$160=2,W19+X19,IF($T$160=3,AN19+AO19,IF($T$160=4,BE19+BF19,IF($T$160=5,BV19+BW19,0)))))</f>
        <v>0</v>
      </c>
      <c r="V162" s="116">
        <f>IF($T$160=1,F44+G44,IF($T$160=2,W44+X44,IF($T$160=3,AN44+AO44,IF($T$160=4,BE44+BF44,IF($T$160=5,BV44+BW44,0)))))</f>
        <v>0</v>
      </c>
      <c r="W162" s="116">
        <f>IF($T$160=1,F69+G69,IF($T$160=2,W69+X69,IF($T$160=3,AN69+AO69,IF($T$160=4,BE69+BF69,IF($T$160=5,BV69+BW69,0)))))</f>
        <v>0</v>
      </c>
      <c r="X162" s="116">
        <f>IF($T$160=1,F94+G94,IF($T$160=2,W94+X94,IF($T$160=3,AN94+AO94,IF($T$160=4,BE94+BF94,IF($T$160=5,BV94+BW94,0)))))</f>
        <v>0</v>
      </c>
      <c r="Y162" s="116">
        <f>IF($T$160=1,F119+G119,IF($T$160=2,W119+X119,IF($T$160=3,AN119+AO119,IF($T$160=4,BE119+BF119,IF($T$160=5,BV119+BW119,0)))))</f>
        <v>0</v>
      </c>
      <c r="Z162" s="116"/>
      <c r="AA162" s="116" t="str">
        <f>AA154</f>
        <v>Label_B</v>
      </c>
      <c r="AB162" s="116" t="s">
        <v>28</v>
      </c>
      <c r="AC162" s="116">
        <f t="shared" ref="AC162:AG165" si="25">AC146+AC154</f>
        <v>4.8114045599999997</v>
      </c>
      <c r="AD162" s="116">
        <f t="shared" si="25"/>
        <v>3.70027967</v>
      </c>
      <c r="AE162" s="116">
        <f t="shared" si="25"/>
        <v>3.6245151699999996</v>
      </c>
      <c r="AF162" s="116">
        <f t="shared" si="25"/>
        <v>3.5488973399999999</v>
      </c>
      <c r="AG162" s="116">
        <f t="shared" si="25"/>
        <v>3.4701241200000004</v>
      </c>
      <c r="AH162" s="116"/>
      <c r="AI162" s="38"/>
      <c r="AJ162" s="116"/>
      <c r="AK162" s="116"/>
      <c r="AL162" s="116"/>
      <c r="AM162" s="116"/>
      <c r="AN162" s="116"/>
      <c r="AO162" s="116"/>
      <c r="AP162" s="116"/>
      <c r="AQ162" s="116"/>
      <c r="AR162" s="116"/>
      <c r="AS162" s="116"/>
      <c r="AT162" s="116"/>
      <c r="AU162" s="116"/>
      <c r="AV162" s="116"/>
      <c r="AW162" s="116"/>
      <c r="AX162" s="116"/>
      <c r="AY162" s="116"/>
      <c r="AZ162" s="38"/>
      <c r="BA162" s="116"/>
      <c r="BB162" s="116"/>
      <c r="BC162" s="116"/>
      <c r="BD162" s="116"/>
      <c r="BE162" s="116"/>
      <c r="BF162" s="116"/>
      <c r="BG162" s="116"/>
      <c r="BH162" s="116"/>
      <c r="BI162" s="116"/>
      <c r="BJ162" s="116"/>
      <c r="BK162" s="116"/>
      <c r="BL162" s="116"/>
      <c r="BM162" s="116"/>
      <c r="BN162" s="116"/>
      <c r="BO162" s="116"/>
      <c r="BP162" s="116"/>
      <c r="BQ162" s="38"/>
      <c r="BR162" s="116"/>
      <c r="BS162" s="116"/>
      <c r="BT162" s="116"/>
      <c r="BU162" s="116"/>
      <c r="BV162" s="116"/>
      <c r="BW162" s="116"/>
      <c r="BX162" s="116"/>
      <c r="BY162" s="116"/>
      <c r="BZ162" s="116"/>
      <c r="CA162" s="116"/>
      <c r="CB162" s="116"/>
      <c r="CC162" s="116"/>
      <c r="CD162" s="116"/>
      <c r="CE162" s="116"/>
      <c r="CF162" s="116"/>
      <c r="CG162" s="116"/>
    </row>
    <row r="163" spans="2:85" s="45" customFormat="1" x14ac:dyDescent="0.25">
      <c r="B163" s="45" t="str">
        <f>ReadMe!E16</f>
        <v>Label_A+</v>
      </c>
      <c r="C163" s="116" t="s">
        <v>28</v>
      </c>
      <c r="D163" s="116">
        <f>AN$14+AO$14</f>
        <v>1.44426169</v>
      </c>
      <c r="E163" s="116">
        <f>AN$39+AO$39</f>
        <v>1.6454585169999998</v>
      </c>
      <c r="F163" s="116">
        <f>AN$64+AO$64</f>
        <v>1.6454585169999998</v>
      </c>
      <c r="G163" s="116">
        <f>AN$89+AO$89</f>
        <v>1.6454585169999998</v>
      </c>
      <c r="H163" s="116">
        <f>AN$114+AO$114</f>
        <v>1.6454585169999998</v>
      </c>
      <c r="I163" s="116"/>
      <c r="J163" s="116"/>
      <c r="K163" s="116"/>
      <c r="L163" s="116"/>
      <c r="M163" s="116"/>
      <c r="N163" s="116"/>
      <c r="O163" s="116"/>
      <c r="P163" s="116"/>
      <c r="Q163" s="116"/>
      <c r="R163" s="38"/>
      <c r="S163" s="116" t="s">
        <v>6</v>
      </c>
      <c r="T163" s="116" t="s">
        <v>28</v>
      </c>
      <c r="U163" s="116">
        <f>IF($T$160=1,F16+G16,IF($T$160=2,W16+X16,IF($T$160=3,AN16+AO16,IF($T$160=4,BE16+BF16,IF($T$160=5,BV16+BW16,0)))))</f>
        <v>0</v>
      </c>
      <c r="V163" s="116">
        <f>IF($T$160=1,F41+G41,IF($T$160=2,W41+X41,IF($T$160=3,AN41+AO41,IF($T$160=4,BE41+BF41,IF($T$160=5,BV41+BW41,0)))))</f>
        <v>1.2882334539</v>
      </c>
      <c r="W163" s="116">
        <f>IF($T$160=1,F66+G66,IF($T$160=2,W66+X66,IF($T$160=3,AN66+AO66,IF($T$160=4,BE66+BF66,IF($T$160=5,BV66+BW66,0)))))</f>
        <v>1.2598225489999999</v>
      </c>
      <c r="X163" s="116">
        <f>IF($T$160=1,F91+G91,IF($T$160=2,W91+X91,IF($T$160=3,AN91+AO91,IF($T$160=4,BE91+BF91,IF($T$160=5,BV91+BW91,0)))))</f>
        <v>1.2314578430000001</v>
      </c>
      <c r="Y163" s="116">
        <f>IF($T$160=1,F116+G116,IF($T$160=2,W116+X116,IF($T$160=3,AN116+AO116,IF($T$160=4,BE116+BF116,IF($T$160=5,BV116+BW116,0)))))</f>
        <v>1.2030469405999999</v>
      </c>
      <c r="Z163" s="116"/>
      <c r="AA163" s="116" t="str">
        <f>AA155</f>
        <v>Label_A+</v>
      </c>
      <c r="AB163" s="116" t="s">
        <v>28</v>
      </c>
      <c r="AC163" s="116">
        <f t="shared" si="25"/>
        <v>4.8114045599999997</v>
      </c>
      <c r="AD163" s="116">
        <f t="shared" si="25"/>
        <v>2.3440851609999998</v>
      </c>
      <c r="AE163" s="116">
        <f t="shared" si="25"/>
        <v>2.2990769270000002</v>
      </c>
      <c r="AF163" s="116">
        <f t="shared" si="25"/>
        <v>2.2488980079999998</v>
      </c>
      <c r="AG163" s="116">
        <f t="shared" si="25"/>
        <v>2.2003311669999999</v>
      </c>
      <c r="AH163" s="116"/>
      <c r="AI163" s="38"/>
      <c r="AJ163" s="116"/>
      <c r="AK163" s="116"/>
      <c r="AL163" s="116"/>
      <c r="AM163" s="116"/>
      <c r="AN163" s="116"/>
      <c r="AO163" s="116"/>
      <c r="AP163" s="116"/>
      <c r="AQ163" s="116"/>
      <c r="AR163" s="116"/>
      <c r="AS163" s="116"/>
      <c r="AT163" s="116"/>
      <c r="AU163" s="116"/>
      <c r="AV163" s="116"/>
      <c r="AW163" s="116"/>
      <c r="AX163" s="116"/>
      <c r="AY163" s="116"/>
      <c r="AZ163" s="38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6"/>
      <c r="BK163" s="116"/>
      <c r="BL163" s="116"/>
      <c r="BM163" s="116"/>
      <c r="BN163" s="116"/>
      <c r="BO163" s="116"/>
      <c r="BP163" s="116"/>
      <c r="BQ163" s="38"/>
      <c r="BR163" s="116"/>
      <c r="BS163" s="116"/>
      <c r="BT163" s="116"/>
      <c r="BU163" s="116"/>
      <c r="BV163" s="116"/>
      <c r="BW163" s="116"/>
      <c r="BX163" s="116"/>
      <c r="BY163" s="116"/>
      <c r="BZ163" s="116"/>
      <c r="CA163" s="116"/>
      <c r="CB163" s="116"/>
      <c r="CC163" s="116"/>
      <c r="CD163" s="116"/>
      <c r="CE163" s="116"/>
      <c r="CF163" s="116"/>
      <c r="CG163" s="116"/>
    </row>
    <row r="164" spans="2:85" s="45" customFormat="1" x14ac:dyDescent="0.25">
      <c r="B164" s="45" t="str">
        <f>ReadMe!F16</f>
        <v>Label_A+_eWP</v>
      </c>
      <c r="C164" s="116" t="s">
        <v>28</v>
      </c>
      <c r="D164" s="116">
        <f>BE$14+BF$14</f>
        <v>1.44426169</v>
      </c>
      <c r="E164" s="116">
        <f>BE$39+BF$39</f>
        <v>1.9860295319999999</v>
      </c>
      <c r="F164" s="116">
        <f>BE$64+BF$64</f>
        <v>1.977573775</v>
      </c>
      <c r="G164" s="116">
        <f>BE$89+BF$89</f>
        <v>1.969134739</v>
      </c>
      <c r="H164" s="116">
        <f>BE$114+BF$114</f>
        <v>1.960678983</v>
      </c>
      <c r="I164" s="116"/>
      <c r="J164" s="116"/>
      <c r="K164" s="116"/>
      <c r="L164" s="116"/>
      <c r="M164" s="116"/>
      <c r="N164" s="116"/>
      <c r="O164" s="116"/>
      <c r="P164" s="116"/>
      <c r="Q164" s="116"/>
      <c r="R164" s="38"/>
      <c r="S164" s="116" t="s">
        <v>5</v>
      </c>
      <c r="T164" s="116" t="s">
        <v>28</v>
      </c>
      <c r="U164" s="116">
        <f>IF($T$160=1,F15+G15,IF($T$160=2,W15+X15,IF($T$160=3,AN15+AO15,IF($T$160=4,BE15+BF15,IF($T$160=5,BV15+BW15,0)))))</f>
        <v>1.29789595</v>
      </c>
      <c r="V164" s="116">
        <f>IF($T$160=1,F40+G40,IF($T$160=2,W40+X40,IF($T$160=3,AN40+AO40,IF($T$160=4,BE40+BF40,IF($T$160=5,BV40+BW40,0)))))</f>
        <v>2.546068167</v>
      </c>
      <c r="W164" s="116">
        <f>IF($T$160=1,F65+G65,IF($T$160=2,W65+X65,IF($T$160=3,AN65+AO65,IF($T$160=4,BE65+BF65,IF($T$160=5,BV65+BW65,0)))))</f>
        <v>2.4897747219999999</v>
      </c>
      <c r="X164" s="116">
        <f>IF($T$160=1,F90+G90,IF($T$160=2,W90+X90,IF($T$160=3,AN90+AO90,IF($T$160=4,BE90+BF90,IF($T$160=5,BV90+BW90,0)))))</f>
        <v>2.4335971320000001</v>
      </c>
      <c r="Y164" s="116">
        <f>IF($T$160=1,F115+G115,IF($T$160=2,W115+X115,IF($T$160=3,AN115+AO115,IF($T$160=4,BE115+BF115,IF($T$160=5,BV115+BW115,0)))))</f>
        <v>2.3773036740000002</v>
      </c>
      <c r="Z164" s="116"/>
      <c r="AA164" s="116" t="str">
        <f>AA156</f>
        <v>Label_A+_eWP</v>
      </c>
      <c r="AB164" s="116" t="s">
        <v>28</v>
      </c>
      <c r="AC164" s="116">
        <f t="shared" si="25"/>
        <v>4.8114045599999997</v>
      </c>
      <c r="AD164" s="116">
        <f t="shared" si="25"/>
        <v>1.27546907</v>
      </c>
      <c r="AE164" s="116">
        <f t="shared" si="25"/>
        <v>1.2288435</v>
      </c>
      <c r="AF164" s="116">
        <f t="shared" si="25"/>
        <v>1.2002225900000001</v>
      </c>
      <c r="AG164" s="116">
        <f t="shared" si="25"/>
        <v>1.17155272</v>
      </c>
      <c r="AH164" s="116"/>
      <c r="AI164" s="38"/>
      <c r="AJ164" s="116"/>
      <c r="AK164" s="116"/>
      <c r="AL164" s="116"/>
      <c r="AM164" s="116"/>
      <c r="AN164" s="116"/>
      <c r="AO164" s="116"/>
      <c r="AP164" s="116"/>
      <c r="AQ164" s="116"/>
      <c r="AR164" s="116"/>
      <c r="AS164" s="116"/>
      <c r="AT164" s="116"/>
      <c r="AU164" s="116"/>
      <c r="AV164" s="116"/>
      <c r="AW164" s="116"/>
      <c r="AX164" s="116"/>
      <c r="AY164" s="116"/>
      <c r="AZ164" s="38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6"/>
      <c r="BK164" s="116"/>
      <c r="BL164" s="116"/>
      <c r="BM164" s="116"/>
      <c r="BN164" s="116"/>
      <c r="BO164" s="116"/>
      <c r="BP164" s="116"/>
      <c r="BQ164" s="38"/>
      <c r="BR164" s="116"/>
      <c r="BS164" s="116"/>
      <c r="BT164" s="116"/>
      <c r="BU164" s="116"/>
      <c r="BV164" s="116"/>
      <c r="BW164" s="116"/>
      <c r="BX164" s="116"/>
      <c r="BY164" s="116"/>
      <c r="BZ164" s="116"/>
      <c r="CA164" s="116"/>
      <c r="CB164" s="116"/>
      <c r="CC164" s="116"/>
      <c r="CD164" s="116"/>
      <c r="CE164" s="116"/>
      <c r="CF164" s="116"/>
      <c r="CG164" s="116"/>
    </row>
    <row r="165" spans="2:85" ht="15.75" thickBot="1" x14ac:dyDescent="0.3">
      <c r="B165" s="45" t="str">
        <f>ReadMe!G16</f>
        <v>Label_B_WP2euro/m3</v>
      </c>
      <c r="C165" s="116" t="s">
        <v>28</v>
      </c>
      <c r="D165" s="116">
        <f>BV$14+BW$14</f>
        <v>1.44426169</v>
      </c>
      <c r="E165" s="116">
        <f>BV$39+BW$39</f>
        <v>1.6454585169999998</v>
      </c>
      <c r="F165" s="116">
        <f>BV$64+BW$64</f>
        <v>1.6454585169999998</v>
      </c>
      <c r="G165" s="116">
        <f>BV$89+BW$89</f>
        <v>1.6454585169999998</v>
      </c>
      <c r="H165" s="116">
        <f>BV$114+BW$114</f>
        <v>1.6454585169999998</v>
      </c>
      <c r="S165" s="116" t="s">
        <v>7</v>
      </c>
      <c r="T165" s="116" t="s">
        <v>28</v>
      </c>
      <c r="U165" s="116">
        <f>IF($T$160=1,F17+G17,IF($T$160=2,W17+X17,IF($T$160=3,AN17+AO17,IF($T$160=4,BE17+BF17,IF($T$160=5,BV17+BW17,0)))))</f>
        <v>0</v>
      </c>
      <c r="V165" s="116">
        <f>IF($T$160=1,F42+G42,IF($T$160=2,W42+X42,IF($T$160=3,AN42+AO42,IF($T$160=4,BE42+BF42,IF($T$160=5,BV42+BW42,0)))))</f>
        <v>1.0450801499999999E-3</v>
      </c>
      <c r="W165" s="116">
        <f>IF($T$160=1,F67+G67,IF($T$160=2,W67+X67,IF($T$160=3,AN67+AO67,IF($T$160=4,BE67+BF67,IF($T$160=5,BV67+BW67,0)))))</f>
        <v>1.02219703E-3</v>
      </c>
      <c r="X165" s="116">
        <f>IF($T$160=1,F92+G92,IF($T$160=2,W92+X92,IF($T$160=3,AN92+AO92,IF($T$160=4,BE92+BF92,IF($T$160=5,BV92+BW92,0)))))</f>
        <v>9.9941072499999998E-4</v>
      </c>
      <c r="Y165" s="116">
        <f>IF($T$160=1,F117+G117,IF($T$160=2,W117+X117,IF($T$160=3,AN117+AO117,IF($T$160=4,BE117+BF117,IF($T$160=5,BV117+BW117,0)))))</f>
        <v>9.76527714E-4</v>
      </c>
      <c r="AA165" s="116" t="str">
        <f>AA157</f>
        <v>Label_B_WP2euro/m3</v>
      </c>
      <c r="AB165" s="116" t="s">
        <v>28</v>
      </c>
      <c r="AC165" s="116">
        <f t="shared" si="25"/>
        <v>4.8114045599999997</v>
      </c>
      <c r="AD165" s="116">
        <f t="shared" si="25"/>
        <v>3.4715622269999997</v>
      </c>
      <c r="AE165" s="116">
        <f t="shared" si="25"/>
        <v>3.3948188766999996</v>
      </c>
      <c r="AF165" s="116">
        <f t="shared" si="25"/>
        <v>3.3182241313000005</v>
      </c>
      <c r="AG165" s="116">
        <f t="shared" si="25"/>
        <v>3.241480771</v>
      </c>
    </row>
    <row r="166" spans="2:85" x14ac:dyDescent="0.25">
      <c r="S166" s="127" t="s">
        <v>18</v>
      </c>
      <c r="T166" s="127" t="s">
        <v>28</v>
      </c>
      <c r="U166" s="127">
        <f>SUM(U162:U165)</f>
        <v>1.29789595</v>
      </c>
      <c r="V166" s="127">
        <f>SUM(V162:V165)</f>
        <v>3.8353467010499998</v>
      </c>
      <c r="W166" s="127">
        <f>SUM(W162:W165)</f>
        <v>3.75061946803</v>
      </c>
      <c r="X166" s="127">
        <f>SUM(X162:X165)</f>
        <v>3.6660543857250003</v>
      </c>
      <c r="Y166" s="127">
        <f>SUM(Y162:Y165)</f>
        <v>3.5813271423140005</v>
      </c>
    </row>
    <row r="167" spans="2:85" s="45" customFormat="1" x14ac:dyDescent="0.25">
      <c r="B167" s="4" t="s">
        <v>62</v>
      </c>
      <c r="C167" s="116"/>
      <c r="D167" s="116"/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38"/>
      <c r="S167" s="116"/>
      <c r="T167" s="116"/>
      <c r="U167" s="116"/>
      <c r="V167" s="116"/>
      <c r="W167" s="116"/>
      <c r="X167" s="116"/>
      <c r="Y167" s="116"/>
      <c r="Z167" s="116"/>
      <c r="AA167" s="118" t="s">
        <v>68</v>
      </c>
      <c r="AB167" s="116"/>
      <c r="AC167" s="116"/>
      <c r="AD167" s="116"/>
      <c r="AE167" s="116"/>
      <c r="AF167" s="116"/>
      <c r="AG167" s="116"/>
      <c r="AH167" s="116"/>
      <c r="AI167" s="38"/>
      <c r="AJ167" s="116"/>
      <c r="AK167" s="116"/>
      <c r="AL167" s="116"/>
      <c r="AM167" s="116"/>
      <c r="AN167" s="116"/>
      <c r="AO167" s="116"/>
      <c r="AP167" s="116"/>
      <c r="AQ167" s="116"/>
      <c r="AR167" s="116"/>
      <c r="AS167" s="116"/>
      <c r="AT167" s="116"/>
      <c r="AU167" s="116"/>
      <c r="AV167" s="116"/>
      <c r="AW167" s="116"/>
      <c r="AX167" s="116"/>
      <c r="AY167" s="116"/>
      <c r="AZ167" s="38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6"/>
      <c r="BK167" s="116"/>
      <c r="BL167" s="116"/>
      <c r="BM167" s="116"/>
      <c r="BN167" s="116"/>
      <c r="BO167" s="116"/>
      <c r="BP167" s="116"/>
      <c r="BQ167" s="38"/>
      <c r="BR167" s="116"/>
      <c r="BS167" s="116"/>
      <c r="BT167" s="116"/>
      <c r="BU167" s="116"/>
      <c r="BV167" s="116"/>
      <c r="BW167" s="116"/>
      <c r="BX167" s="116"/>
      <c r="BY167" s="116"/>
      <c r="BZ167" s="116"/>
      <c r="CA167" s="116"/>
      <c r="CB167" s="116"/>
      <c r="CC167" s="116"/>
      <c r="CD167" s="116"/>
      <c r="CE167" s="116"/>
      <c r="CF167" s="116"/>
      <c r="CG167" s="116"/>
    </row>
    <row r="168" spans="2:85" s="45" customFormat="1" x14ac:dyDescent="0.25">
      <c r="B168" s="4"/>
      <c r="C168" s="116"/>
      <c r="D168" s="118">
        <v>2013</v>
      </c>
      <c r="E168" s="118">
        <v>2020</v>
      </c>
      <c r="F168" s="118">
        <v>2030</v>
      </c>
      <c r="G168" s="118">
        <v>2040</v>
      </c>
      <c r="H168" s="118">
        <v>2050</v>
      </c>
      <c r="I168" s="116"/>
      <c r="J168" s="116"/>
      <c r="K168" s="116"/>
      <c r="L168" s="116"/>
      <c r="M168" s="116"/>
      <c r="N168" s="116"/>
      <c r="O168" s="116"/>
      <c r="P168" s="116"/>
      <c r="Q168" s="116"/>
      <c r="R168" s="38"/>
      <c r="S168" s="118" t="str">
        <f>"Gebiedsopties voor invulling warmtevraag woningen 1 scenario: "&amp;ReadMe!$M$9</f>
        <v>Gebiedsopties voor invulling warmtevraag woningen 1 scenario: Label_B_WP2euro/m3</v>
      </c>
      <c r="T168" s="116"/>
      <c r="U168" s="116"/>
      <c r="V168" s="116"/>
      <c r="W168" s="116"/>
      <c r="X168" s="116"/>
      <c r="Y168" s="116"/>
      <c r="Z168" s="116"/>
      <c r="AA168" s="116"/>
      <c r="AB168" s="116"/>
      <c r="AC168" s="118">
        <v>2013</v>
      </c>
      <c r="AD168" s="118">
        <v>2020</v>
      </c>
      <c r="AE168" s="118">
        <v>2030</v>
      </c>
      <c r="AF168" s="118">
        <v>2040</v>
      </c>
      <c r="AG168" s="118">
        <v>2050</v>
      </c>
      <c r="AH168" s="116"/>
      <c r="AI168" s="38"/>
      <c r="AJ168" s="116"/>
      <c r="AK168" s="116"/>
      <c r="AL168" s="116"/>
      <c r="AM168" s="116"/>
      <c r="AN168" s="116"/>
      <c r="AO168" s="116"/>
      <c r="AP168" s="116"/>
      <c r="AQ168" s="116"/>
      <c r="AR168" s="116"/>
      <c r="AS168" s="116"/>
      <c r="AT168" s="116"/>
      <c r="AU168" s="116"/>
      <c r="AV168" s="116"/>
      <c r="AW168" s="116"/>
      <c r="AX168" s="116"/>
      <c r="AY168" s="116"/>
      <c r="AZ168" s="38"/>
      <c r="BA168" s="116"/>
      <c r="BB168" s="116"/>
      <c r="BC168" s="116"/>
      <c r="BD168" s="116"/>
      <c r="BE168" s="116"/>
      <c r="BF168" s="116"/>
      <c r="BG168" s="116"/>
      <c r="BH168" s="116"/>
      <c r="BI168" s="116"/>
      <c r="BJ168" s="116"/>
      <c r="BK168" s="116"/>
      <c r="BL168" s="116"/>
      <c r="BM168" s="116"/>
      <c r="BN168" s="116"/>
      <c r="BO168" s="116"/>
      <c r="BP168" s="116"/>
      <c r="BQ168" s="38"/>
      <c r="BR168" s="116"/>
      <c r="BS168" s="116"/>
      <c r="BT168" s="116"/>
      <c r="BU168" s="116"/>
      <c r="BV168" s="116"/>
      <c r="BW168" s="116"/>
      <c r="BX168" s="116"/>
      <c r="BY168" s="116"/>
      <c r="BZ168" s="116"/>
      <c r="CA168" s="116"/>
      <c r="CB168" s="116"/>
      <c r="CC168" s="116"/>
      <c r="CD168" s="116"/>
      <c r="CE168" s="116"/>
      <c r="CF168" s="116"/>
      <c r="CG168" s="116"/>
    </row>
    <row r="169" spans="2:85" s="45" customFormat="1" x14ac:dyDescent="0.25">
      <c r="B169" s="45" t="str">
        <f>ReadMe!D16</f>
        <v>Label_B</v>
      </c>
      <c r="C169" s="116" t="s">
        <v>28</v>
      </c>
      <c r="D169" s="116">
        <f t="shared" ref="D169:H172" si="26">D162-D$161</f>
        <v>0</v>
      </c>
      <c r="E169" s="116">
        <f t="shared" si="26"/>
        <v>0</v>
      </c>
      <c r="F169" s="116">
        <f t="shared" si="26"/>
        <v>0</v>
      </c>
      <c r="G169" s="116">
        <f t="shared" si="26"/>
        <v>0</v>
      </c>
      <c r="H169" s="116">
        <f t="shared" si="26"/>
        <v>0</v>
      </c>
      <c r="I169" s="116"/>
      <c r="J169" s="116"/>
      <c r="K169" s="116"/>
      <c r="L169" s="116"/>
      <c r="M169" s="116"/>
      <c r="N169" s="116"/>
      <c r="O169" s="116"/>
      <c r="P169" s="116"/>
      <c r="Q169" s="116"/>
      <c r="R169" s="38"/>
      <c r="S169" s="118" t="s">
        <v>373</v>
      </c>
      <c r="T169" s="116">
        <f>ReadMe!$K$9</f>
        <v>5</v>
      </c>
      <c r="U169" s="116"/>
      <c r="V169" s="116"/>
      <c r="W169" s="116"/>
      <c r="X169" s="116"/>
      <c r="Y169" s="116"/>
      <c r="Z169" s="116"/>
      <c r="AA169" s="116" t="str">
        <f>AA161</f>
        <v>Referentie</v>
      </c>
      <c r="AB169" s="116" t="s">
        <v>28</v>
      </c>
      <c r="AC169" s="116">
        <f>F$14</f>
        <v>1.44426169</v>
      </c>
      <c r="AD169" s="116">
        <f>F$39</f>
        <v>1.4315866399999999</v>
      </c>
      <c r="AE169" s="116">
        <f>F$64</f>
        <v>1.4315866399999999</v>
      </c>
      <c r="AF169" s="116">
        <f>F$89</f>
        <v>1.4315866399999999</v>
      </c>
      <c r="AG169" s="116">
        <f>F$114</f>
        <v>1.4315866399999999</v>
      </c>
      <c r="AH169" s="116"/>
      <c r="AI169" s="38"/>
      <c r="AJ169" s="116"/>
      <c r="AK169" s="116"/>
      <c r="AL169" s="116"/>
      <c r="AM169" s="116"/>
      <c r="AN169" s="116"/>
      <c r="AO169" s="116"/>
      <c r="AP169" s="116"/>
      <c r="AQ169" s="116"/>
      <c r="AR169" s="116"/>
      <c r="AS169" s="116"/>
      <c r="AT169" s="116"/>
      <c r="AU169" s="116"/>
      <c r="AV169" s="116"/>
      <c r="AW169" s="116"/>
      <c r="AX169" s="116"/>
      <c r="AY169" s="116"/>
      <c r="AZ169" s="38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6"/>
      <c r="BK169" s="116"/>
      <c r="BL169" s="116"/>
      <c r="BM169" s="116"/>
      <c r="BN169" s="116"/>
      <c r="BO169" s="116"/>
      <c r="BP169" s="116"/>
      <c r="BQ169" s="38"/>
      <c r="BR169" s="116"/>
      <c r="BS169" s="116"/>
      <c r="BT169" s="116"/>
      <c r="BU169" s="116"/>
      <c r="BV169" s="116"/>
      <c r="BW169" s="116"/>
      <c r="BX169" s="116"/>
      <c r="BY169" s="116"/>
      <c r="BZ169" s="116"/>
      <c r="CA169" s="116"/>
      <c r="CB169" s="116"/>
      <c r="CC169" s="116"/>
      <c r="CD169" s="116"/>
      <c r="CE169" s="116"/>
      <c r="CF169" s="116"/>
      <c r="CG169" s="116"/>
    </row>
    <row r="170" spans="2:85" s="45" customFormat="1" x14ac:dyDescent="0.25">
      <c r="B170" s="45" t="str">
        <f>ReadMe!E16</f>
        <v>Label_A+</v>
      </c>
      <c r="C170" s="116" t="s">
        <v>28</v>
      </c>
      <c r="D170" s="116">
        <f t="shared" si="26"/>
        <v>0</v>
      </c>
      <c r="E170" s="116">
        <f t="shared" si="26"/>
        <v>0</v>
      </c>
      <c r="F170" s="116">
        <f t="shared" si="26"/>
        <v>0</v>
      </c>
      <c r="G170" s="116">
        <f t="shared" si="26"/>
        <v>0</v>
      </c>
      <c r="H170" s="116">
        <f t="shared" si="26"/>
        <v>0</v>
      </c>
      <c r="I170" s="116"/>
      <c r="J170" s="116"/>
      <c r="K170" s="116"/>
      <c r="L170" s="116"/>
      <c r="M170" s="116"/>
      <c r="N170" s="116"/>
      <c r="O170" s="116"/>
      <c r="P170" s="116"/>
      <c r="Q170" s="116"/>
      <c r="R170" s="38"/>
      <c r="S170" s="116"/>
      <c r="T170" s="116"/>
      <c r="U170" s="118">
        <v>2013</v>
      </c>
      <c r="V170" s="118">
        <v>2020</v>
      </c>
      <c r="W170" s="118">
        <v>2030</v>
      </c>
      <c r="X170" s="118">
        <v>2040</v>
      </c>
      <c r="Y170" s="118">
        <v>2050</v>
      </c>
      <c r="Z170" s="116"/>
      <c r="AA170" s="116" t="str">
        <f>AA162</f>
        <v>Label_B</v>
      </c>
      <c r="AB170" s="116" t="s">
        <v>28</v>
      </c>
      <c r="AC170" s="116">
        <f>W$14</f>
        <v>1.44426169</v>
      </c>
      <c r="AD170" s="116">
        <f>W$39</f>
        <v>1.4315866399999999</v>
      </c>
      <c r="AE170" s="116">
        <f>W$64</f>
        <v>1.4315866399999999</v>
      </c>
      <c r="AF170" s="116">
        <f>W$89</f>
        <v>1.4315866399999999</v>
      </c>
      <c r="AG170" s="116">
        <f>W$114</f>
        <v>1.4315866399999999</v>
      </c>
      <c r="AH170" s="116"/>
      <c r="AI170" s="38"/>
      <c r="AJ170" s="116"/>
      <c r="AK170" s="116"/>
      <c r="AL170" s="116"/>
      <c r="AM170" s="116"/>
      <c r="AN170" s="116"/>
      <c r="AO170" s="116"/>
      <c r="AP170" s="116"/>
      <c r="AQ170" s="116"/>
      <c r="AR170" s="116"/>
      <c r="AS170" s="116"/>
      <c r="AT170" s="116"/>
      <c r="AU170" s="116"/>
      <c r="AV170" s="116"/>
      <c r="AW170" s="116"/>
      <c r="AX170" s="116"/>
      <c r="AY170" s="116"/>
      <c r="AZ170" s="38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6"/>
      <c r="BK170" s="116"/>
      <c r="BL170" s="116"/>
      <c r="BM170" s="116"/>
      <c r="BN170" s="116"/>
      <c r="BO170" s="116"/>
      <c r="BP170" s="116"/>
      <c r="BQ170" s="38"/>
      <c r="BR170" s="116"/>
      <c r="BS170" s="116"/>
      <c r="BT170" s="116"/>
      <c r="BU170" s="116"/>
      <c r="BV170" s="116"/>
      <c r="BW170" s="116"/>
      <c r="BX170" s="116"/>
      <c r="BY170" s="116"/>
      <c r="BZ170" s="116"/>
      <c r="CA170" s="116"/>
      <c r="CB170" s="116"/>
      <c r="CC170" s="116"/>
      <c r="CD170" s="116"/>
      <c r="CE170" s="116"/>
      <c r="CF170" s="116"/>
      <c r="CG170" s="116"/>
    </row>
    <row r="171" spans="2:85" s="45" customFormat="1" x14ac:dyDescent="0.25">
      <c r="B171" s="45" t="str">
        <f>ReadMe!F16</f>
        <v>Label_A+_eWP</v>
      </c>
      <c r="C171" s="116" t="s">
        <v>28</v>
      </c>
      <c r="D171" s="116">
        <f t="shared" si="26"/>
        <v>0</v>
      </c>
      <c r="E171" s="116">
        <f t="shared" si="26"/>
        <v>0.34057101500000009</v>
      </c>
      <c r="F171" s="116">
        <f t="shared" si="26"/>
        <v>0.33211525800000019</v>
      </c>
      <c r="G171" s="116">
        <f t="shared" si="26"/>
        <v>0.32367622200000024</v>
      </c>
      <c r="H171" s="116">
        <f t="shared" si="26"/>
        <v>0.3152204660000002</v>
      </c>
      <c r="I171" s="116"/>
      <c r="J171" s="116"/>
      <c r="K171" s="116"/>
      <c r="L171" s="116"/>
      <c r="M171" s="116"/>
      <c r="N171" s="116"/>
      <c r="O171" s="116"/>
      <c r="P171" s="116"/>
      <c r="Q171" s="116"/>
      <c r="R171" s="38"/>
      <c r="S171" s="116" t="s">
        <v>153</v>
      </c>
      <c r="T171" s="116" t="s">
        <v>28</v>
      </c>
      <c r="U171" s="116">
        <f>IF($T$169=1,M188,IF($T$169=2,M189,IF($T$169=3,M190,IF($T$169=4,M191,IF($T$169=5,M192,0)))))</f>
        <v>4.8114045599999997</v>
      </c>
      <c r="V171" s="116">
        <f>IF($T$169=1,N188,IF($T$169=2,N189,IF($T$169=3,N190,IF($T$169=4,N191,IF($T$169=5,N192,0)))))</f>
        <v>3.8469946036179996</v>
      </c>
      <c r="W171" s="116">
        <f>IF($T$169=1,O188,IF($T$169=2,O189,IF($T$169=3,O190,IF($T$169=4,O191,IF($T$169=5,O192,0)))))</f>
        <v>3.7620244278369999</v>
      </c>
      <c r="X171" s="116">
        <f>IF($T$169=1,P188,IF($T$169=2,P189,IF($T$169=3,P190,IF($T$169=4,P191,IF($T$169=5,P192,0)))))</f>
        <v>3.6772173852220003</v>
      </c>
      <c r="Y171" s="116">
        <f>IF($T$169=1,Q188,IF($T$169=2,Q189,IF($T$169=3,Q190,IF($T$169=4,Q191,IF($T$169=5,Q192,0)))))</f>
        <v>3.5922471990289999</v>
      </c>
      <c r="Z171" s="116"/>
      <c r="AA171" s="116" t="str">
        <f>AA163</f>
        <v>Label_A+</v>
      </c>
      <c r="AB171" s="116" t="s">
        <v>28</v>
      </c>
      <c r="AC171" s="116">
        <f>AN$14</f>
        <v>1.44426169</v>
      </c>
      <c r="AD171" s="116">
        <f>AN$39</f>
        <v>1.4315866399999999</v>
      </c>
      <c r="AE171" s="116">
        <f>AN$64</f>
        <v>1.4315866399999999</v>
      </c>
      <c r="AF171" s="116">
        <f>AN$89</f>
        <v>1.4315866399999999</v>
      </c>
      <c r="AG171" s="116">
        <f>AN$114</f>
        <v>1.4315866399999999</v>
      </c>
      <c r="AH171" s="116"/>
      <c r="AI171" s="38"/>
      <c r="AJ171" s="116"/>
      <c r="AK171" s="116"/>
      <c r="AL171" s="116"/>
      <c r="AM171" s="116"/>
      <c r="AN171" s="116"/>
      <c r="AO171" s="116"/>
      <c r="AP171" s="116"/>
      <c r="AQ171" s="116"/>
      <c r="AR171" s="116"/>
      <c r="AS171" s="116"/>
      <c r="AT171" s="116"/>
      <c r="AU171" s="116"/>
      <c r="AV171" s="116"/>
      <c r="AW171" s="116"/>
      <c r="AX171" s="116"/>
      <c r="AY171" s="116"/>
      <c r="AZ171" s="38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6"/>
      <c r="BK171" s="116"/>
      <c r="BL171" s="116"/>
      <c r="BM171" s="116"/>
      <c r="BN171" s="116"/>
      <c r="BO171" s="116"/>
      <c r="BP171" s="116"/>
      <c r="BQ171" s="38"/>
      <c r="BR171" s="116"/>
      <c r="BS171" s="116"/>
      <c r="BT171" s="116"/>
      <c r="BU171" s="116"/>
      <c r="BV171" s="116"/>
      <c r="BW171" s="116"/>
      <c r="BX171" s="116"/>
      <c r="BY171" s="116"/>
      <c r="BZ171" s="116"/>
      <c r="CA171" s="116"/>
      <c r="CB171" s="116"/>
      <c r="CC171" s="116"/>
      <c r="CD171" s="116"/>
      <c r="CE171" s="116"/>
      <c r="CF171" s="116"/>
      <c r="CG171" s="116"/>
    </row>
    <row r="172" spans="2:85" s="45" customFormat="1" x14ac:dyDescent="0.25">
      <c r="B172" s="45" t="str">
        <f>ReadMe!G16</f>
        <v>Label_B_WP2euro/m3</v>
      </c>
      <c r="C172" s="116" t="s">
        <v>28</v>
      </c>
      <c r="D172" s="116">
        <f t="shared" si="26"/>
        <v>0</v>
      </c>
      <c r="E172" s="116">
        <f t="shared" si="26"/>
        <v>0</v>
      </c>
      <c r="F172" s="116">
        <f t="shared" si="26"/>
        <v>0</v>
      </c>
      <c r="G172" s="116">
        <f t="shared" si="26"/>
        <v>0</v>
      </c>
      <c r="H172" s="116">
        <f t="shared" si="26"/>
        <v>0</v>
      </c>
      <c r="I172" s="116"/>
      <c r="J172" s="116"/>
      <c r="K172" s="116"/>
      <c r="L172" s="116"/>
      <c r="M172" s="116"/>
      <c r="N172" s="116"/>
      <c r="O172" s="116"/>
      <c r="P172" s="116"/>
      <c r="Q172" s="116"/>
      <c r="R172" s="38"/>
      <c r="S172" s="116" t="s">
        <v>152</v>
      </c>
      <c r="T172" s="116" t="s">
        <v>28</v>
      </c>
      <c r="U172" s="116">
        <f>IF($T$169=1,AC192,IF($T$169=2,AC193,IF($T$169=3,AC194,IF($T$169=4,AC195,IF($T$169=5,AC196,0)))))</f>
        <v>4.8114045599999997</v>
      </c>
      <c r="V172" s="116">
        <f>IF($T$169=1,AD192,IF($T$169=2,AD193,IF($T$169=3,AD194,IF($T$169=4,AD195,IF($T$169=5,AD196,0)))))</f>
        <v>3.4715622269999997</v>
      </c>
      <c r="W172" s="116">
        <f>IF($T$169=1,AE192,IF($T$169=2,AE193,IF($T$169=3,AE194,IF($T$169=4,AE195,IF($T$169=5,AE196,0)))))</f>
        <v>3.3948188766999996</v>
      </c>
      <c r="X172" s="116">
        <f>IF($T$169=1,AF192,IF($T$169=2,AF193,IF($T$169=3,AF194,IF($T$169=4,AF195,IF($T$169=5,AF196,0)))))</f>
        <v>3.3182241313000005</v>
      </c>
      <c r="Y172" s="116">
        <f>IF($T$169=1,AG192,IF($T$169=2,AG193,IF($T$169=3,AG194,IF($T$169=4,AG195,IF($T$169=5,AG196,0)))))</f>
        <v>3.241480771</v>
      </c>
      <c r="Z172" s="116"/>
      <c r="AA172" s="116" t="str">
        <f>AA164</f>
        <v>Label_A+_eWP</v>
      </c>
      <c r="AB172" s="116" t="s">
        <v>28</v>
      </c>
      <c r="AC172" s="116">
        <f>BE$14</f>
        <v>1.44426169</v>
      </c>
      <c r="AD172" s="116">
        <f>BE$39</f>
        <v>1.73640025</v>
      </c>
      <c r="AE172" s="116">
        <f>BE$64</f>
        <v>1.7289120099999999</v>
      </c>
      <c r="AF172" s="116">
        <f>BE$89</f>
        <v>1.7214385999999999</v>
      </c>
      <c r="AG172" s="116">
        <f>BE$114</f>
        <v>1.7139503599999999</v>
      </c>
      <c r="AH172" s="116"/>
      <c r="AI172" s="38"/>
      <c r="AJ172" s="116"/>
      <c r="AK172" s="116"/>
      <c r="AL172" s="116"/>
      <c r="AM172" s="116"/>
      <c r="AN172" s="116"/>
      <c r="AO172" s="116"/>
      <c r="AP172" s="116"/>
      <c r="AQ172" s="116"/>
      <c r="AR172" s="116"/>
      <c r="AS172" s="116"/>
      <c r="AT172" s="116"/>
      <c r="AU172" s="116"/>
      <c r="AV172" s="116"/>
      <c r="AW172" s="116"/>
      <c r="AX172" s="116"/>
      <c r="AY172" s="116"/>
      <c r="AZ172" s="38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6"/>
      <c r="BK172" s="116"/>
      <c r="BL172" s="116"/>
      <c r="BM172" s="116"/>
      <c r="BN172" s="116"/>
      <c r="BO172" s="116"/>
      <c r="BP172" s="116"/>
      <c r="BQ172" s="38"/>
      <c r="BR172" s="116"/>
      <c r="BS172" s="116"/>
      <c r="BT172" s="116"/>
      <c r="BU172" s="116"/>
      <c r="BV172" s="116"/>
      <c r="BW172" s="116"/>
      <c r="BX172" s="116"/>
      <c r="BY172" s="116"/>
      <c r="BZ172" s="116"/>
      <c r="CA172" s="116"/>
      <c r="CB172" s="116"/>
      <c r="CC172" s="116"/>
      <c r="CD172" s="116"/>
      <c r="CE172" s="116"/>
      <c r="CF172" s="116"/>
      <c r="CG172" s="116"/>
    </row>
    <row r="173" spans="2:85" s="45" customFormat="1" x14ac:dyDescent="0.25">
      <c r="C173" s="116"/>
      <c r="D173" s="116"/>
      <c r="E173" s="116"/>
      <c r="F173" s="116"/>
      <c r="G173" s="116"/>
      <c r="H173" s="116"/>
      <c r="I173" s="116"/>
      <c r="J173" s="116"/>
      <c r="K173" s="116"/>
      <c r="L173" s="116"/>
      <c r="M173" s="116"/>
      <c r="N173" s="116"/>
      <c r="O173" s="116"/>
      <c r="P173" s="116"/>
      <c r="Q173" s="116"/>
      <c r="R173" s="38"/>
      <c r="S173" s="116"/>
      <c r="T173" s="116"/>
      <c r="U173" s="116"/>
      <c r="V173" s="116"/>
      <c r="W173" s="116"/>
      <c r="X173" s="116"/>
      <c r="Y173" s="116"/>
      <c r="Z173" s="116"/>
      <c r="AA173" s="116" t="str">
        <f>AA165</f>
        <v>Label_B_WP2euro/m3</v>
      </c>
      <c r="AB173" s="116" t="s">
        <v>28</v>
      </c>
      <c r="AC173" s="116">
        <f>BV$14</f>
        <v>1.44426169</v>
      </c>
      <c r="AD173" s="116">
        <f>BV$39</f>
        <v>1.4315866399999999</v>
      </c>
      <c r="AE173" s="116">
        <f>BV$64</f>
        <v>1.4315866399999999</v>
      </c>
      <c r="AF173" s="116">
        <f>BV$89</f>
        <v>1.4315866399999999</v>
      </c>
      <c r="AG173" s="116">
        <f>BV$114</f>
        <v>1.4315866399999999</v>
      </c>
      <c r="AH173" s="116"/>
      <c r="AI173" s="38"/>
      <c r="AJ173" s="116"/>
      <c r="AK173" s="116"/>
      <c r="AL173" s="116"/>
      <c r="AM173" s="116"/>
      <c r="AN173" s="116"/>
      <c r="AO173" s="116"/>
      <c r="AP173" s="116"/>
      <c r="AQ173" s="116"/>
      <c r="AR173" s="116"/>
      <c r="AS173" s="116"/>
      <c r="AT173" s="116"/>
      <c r="AU173" s="116"/>
      <c r="AV173" s="116"/>
      <c r="AW173" s="116"/>
      <c r="AX173" s="116"/>
      <c r="AY173" s="116"/>
      <c r="AZ173" s="38"/>
      <c r="BA173" s="116"/>
      <c r="BB173" s="116"/>
      <c r="BC173" s="116"/>
      <c r="BD173" s="116"/>
      <c r="BE173" s="116"/>
      <c r="BF173" s="116"/>
      <c r="BG173" s="116"/>
      <c r="BH173" s="116"/>
      <c r="BI173" s="116"/>
      <c r="BJ173" s="116"/>
      <c r="BK173" s="116"/>
      <c r="BL173" s="116"/>
      <c r="BM173" s="116"/>
      <c r="BN173" s="116"/>
      <c r="BO173" s="116"/>
      <c r="BP173" s="116"/>
      <c r="BQ173" s="38"/>
      <c r="BR173" s="116"/>
      <c r="BS173" s="116"/>
      <c r="BT173" s="116"/>
      <c r="BU173" s="116"/>
      <c r="BV173" s="116"/>
      <c r="BW173" s="116"/>
      <c r="BX173" s="116"/>
      <c r="BY173" s="116"/>
      <c r="BZ173" s="116"/>
      <c r="CA173" s="116"/>
      <c r="CB173" s="116"/>
      <c r="CC173" s="116"/>
      <c r="CD173" s="116"/>
      <c r="CE173" s="116"/>
      <c r="CF173" s="116"/>
      <c r="CG173" s="116"/>
    </row>
    <row r="174" spans="2:85" s="45" customFormat="1" x14ac:dyDescent="0.25">
      <c r="B174" s="45" t="s">
        <v>63</v>
      </c>
      <c r="C174" s="116"/>
      <c r="D174" s="116"/>
      <c r="E174" s="116"/>
      <c r="F174" s="116"/>
      <c r="G174" s="116">
        <v>4</v>
      </c>
      <c r="H174" s="116"/>
      <c r="I174" s="116"/>
      <c r="J174" s="116"/>
      <c r="K174" s="116"/>
      <c r="L174" s="116"/>
      <c r="M174" s="116"/>
      <c r="N174" s="116"/>
      <c r="O174" s="116"/>
      <c r="P174" s="116"/>
      <c r="Q174" s="116"/>
      <c r="R174" s="38"/>
      <c r="S174" s="116"/>
      <c r="T174" s="116"/>
      <c r="U174" s="116"/>
      <c r="V174" s="116"/>
      <c r="W174" s="116"/>
      <c r="X174" s="116"/>
      <c r="Y174" s="116"/>
      <c r="Z174" s="116"/>
      <c r="AA174" s="116"/>
      <c r="AB174" s="116"/>
      <c r="AC174" s="116"/>
      <c r="AD174" s="116"/>
      <c r="AE174" s="116"/>
      <c r="AF174" s="116"/>
      <c r="AG174" s="116"/>
      <c r="AH174" s="116"/>
      <c r="AI174" s="38"/>
      <c r="AJ174" s="116"/>
      <c r="AK174" s="116"/>
      <c r="AL174" s="116"/>
      <c r="AM174" s="116"/>
      <c r="AN174" s="116"/>
      <c r="AO174" s="116"/>
      <c r="AP174" s="116"/>
      <c r="AQ174" s="116"/>
      <c r="AR174" s="116"/>
      <c r="AS174" s="116"/>
      <c r="AT174" s="116"/>
      <c r="AU174" s="116"/>
      <c r="AV174" s="116"/>
      <c r="AW174" s="116"/>
      <c r="AX174" s="116"/>
      <c r="AY174" s="116"/>
      <c r="AZ174" s="38"/>
      <c r="BA174" s="116"/>
      <c r="BB174" s="116"/>
      <c r="BC174" s="116"/>
      <c r="BD174" s="116"/>
      <c r="BE174" s="116"/>
      <c r="BF174" s="116"/>
      <c r="BG174" s="116"/>
      <c r="BH174" s="116"/>
      <c r="BI174" s="116"/>
      <c r="BJ174" s="116"/>
      <c r="BK174" s="116"/>
      <c r="BL174" s="116"/>
      <c r="BM174" s="116"/>
      <c r="BN174" s="116"/>
      <c r="BO174" s="116"/>
      <c r="BP174" s="116"/>
      <c r="BQ174" s="38"/>
      <c r="BR174" s="116"/>
      <c r="BS174" s="116"/>
      <c r="BT174" s="116"/>
      <c r="BU174" s="116"/>
      <c r="BV174" s="116"/>
      <c r="BW174" s="116"/>
      <c r="BX174" s="116"/>
      <c r="BY174" s="116"/>
      <c r="BZ174" s="116"/>
      <c r="CA174" s="116"/>
      <c r="CB174" s="116"/>
      <c r="CC174" s="116"/>
      <c r="CD174" s="116"/>
      <c r="CE174" s="116"/>
      <c r="CF174" s="116"/>
      <c r="CG174" s="116"/>
    </row>
    <row r="175" spans="2:85" s="73" customFormat="1" x14ac:dyDescent="0.25">
      <c r="B175" s="73" t="s">
        <v>283</v>
      </c>
      <c r="C175" s="116"/>
      <c r="D175" s="116"/>
      <c r="E175" s="116"/>
      <c r="F175" s="116"/>
      <c r="G175" s="116">
        <v>3.5</v>
      </c>
      <c r="H175" s="116"/>
      <c r="I175" s="116"/>
      <c r="J175" s="116"/>
      <c r="K175" s="116"/>
      <c r="L175" s="116"/>
      <c r="M175" s="116"/>
      <c r="N175" s="116"/>
      <c r="O175" s="116"/>
      <c r="P175" s="116"/>
      <c r="Q175" s="116"/>
      <c r="R175" s="38"/>
      <c r="S175" s="116"/>
      <c r="T175" s="116"/>
      <c r="U175" s="116"/>
      <c r="V175" s="116"/>
      <c r="W175" s="116"/>
      <c r="X175" s="116"/>
      <c r="Y175" s="116"/>
      <c r="Z175" s="116"/>
      <c r="AA175" s="116"/>
      <c r="AB175" s="116"/>
      <c r="AC175" s="116"/>
      <c r="AD175" s="116"/>
      <c r="AE175" s="116"/>
      <c r="AF175" s="116"/>
      <c r="AG175" s="116"/>
      <c r="AH175" s="116"/>
      <c r="AI175" s="38"/>
      <c r="AJ175" s="116"/>
      <c r="AK175" s="116"/>
      <c r="AL175" s="116"/>
      <c r="AM175" s="116"/>
      <c r="AN175" s="116"/>
      <c r="AO175" s="116"/>
      <c r="AP175" s="116"/>
      <c r="AQ175" s="116"/>
      <c r="AR175" s="116"/>
      <c r="AS175" s="116"/>
      <c r="AT175" s="116"/>
      <c r="AU175" s="116"/>
      <c r="AV175" s="116"/>
      <c r="AW175" s="116"/>
      <c r="AX175" s="116"/>
      <c r="AY175" s="116"/>
      <c r="AZ175" s="38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6"/>
      <c r="BK175" s="116"/>
      <c r="BL175" s="116"/>
      <c r="BM175" s="116"/>
      <c r="BN175" s="116"/>
      <c r="BO175" s="116"/>
      <c r="BP175" s="116"/>
      <c r="BQ175" s="38"/>
      <c r="BR175" s="116"/>
      <c r="BS175" s="116"/>
      <c r="BT175" s="116"/>
      <c r="BU175" s="116"/>
      <c r="BV175" s="116"/>
      <c r="BW175" s="116"/>
      <c r="BX175" s="116"/>
      <c r="BY175" s="116"/>
      <c r="BZ175" s="116"/>
      <c r="CA175" s="116"/>
      <c r="CB175" s="116"/>
      <c r="CC175" s="116"/>
      <c r="CD175" s="116"/>
      <c r="CE175" s="116"/>
      <c r="CF175" s="116"/>
      <c r="CG175" s="116"/>
    </row>
    <row r="176" spans="2:85" s="45" customFormat="1" x14ac:dyDescent="0.25">
      <c r="C176" s="116"/>
      <c r="D176" s="116"/>
      <c r="E176" s="116"/>
      <c r="F176" s="116"/>
      <c r="G176" s="116"/>
      <c r="H176" s="116"/>
      <c r="I176" s="116"/>
      <c r="J176" s="116"/>
      <c r="K176" s="116"/>
      <c r="L176" s="116"/>
      <c r="M176" s="116"/>
      <c r="N176" s="116"/>
      <c r="O176" s="116"/>
      <c r="P176" s="116"/>
      <c r="Q176" s="116"/>
      <c r="R176" s="38"/>
      <c r="S176" s="116"/>
      <c r="T176" s="116"/>
      <c r="U176" s="116"/>
      <c r="V176" s="116"/>
      <c r="W176" s="116"/>
      <c r="X176" s="116"/>
      <c r="Y176" s="116"/>
      <c r="Z176" s="116"/>
      <c r="AA176" s="118" t="s">
        <v>68</v>
      </c>
      <c r="AB176" s="116"/>
      <c r="AC176" s="116"/>
      <c r="AD176" s="116"/>
      <c r="AE176" s="116"/>
      <c r="AF176" s="116"/>
      <c r="AG176" s="116"/>
      <c r="AH176" s="116"/>
      <c r="AI176" s="38"/>
      <c r="AJ176" s="116"/>
      <c r="AK176" s="116"/>
      <c r="AL176" s="116"/>
      <c r="AM176" s="116"/>
      <c r="AN176" s="116"/>
      <c r="AO176" s="116"/>
      <c r="AP176" s="116"/>
      <c r="AQ176" s="116"/>
      <c r="AR176" s="116"/>
      <c r="AS176" s="116"/>
      <c r="AT176" s="116"/>
      <c r="AU176" s="116"/>
      <c r="AV176" s="116"/>
      <c r="AW176" s="116"/>
      <c r="AX176" s="116"/>
      <c r="AY176" s="116"/>
      <c r="AZ176" s="38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6"/>
      <c r="BK176" s="116"/>
      <c r="BL176" s="116"/>
      <c r="BM176" s="116"/>
      <c r="BN176" s="116"/>
      <c r="BO176" s="116"/>
      <c r="BP176" s="116"/>
      <c r="BQ176" s="38"/>
      <c r="BR176" s="116"/>
      <c r="BS176" s="116"/>
      <c r="BT176" s="116"/>
      <c r="BU176" s="116"/>
      <c r="BV176" s="116"/>
      <c r="BW176" s="116"/>
      <c r="BX176" s="116"/>
      <c r="BY176" s="116"/>
      <c r="BZ176" s="116"/>
      <c r="CA176" s="116"/>
      <c r="CB176" s="116"/>
      <c r="CC176" s="116"/>
      <c r="CD176" s="116"/>
      <c r="CE176" s="116"/>
      <c r="CF176" s="116"/>
      <c r="CG176" s="116"/>
    </row>
    <row r="177" spans="2:85" s="45" customFormat="1" x14ac:dyDescent="0.25">
      <c r="B177" s="4" t="s">
        <v>64</v>
      </c>
      <c r="C177" s="116"/>
      <c r="D177" s="116"/>
      <c r="E177" s="116"/>
      <c r="F177" s="116"/>
      <c r="G177" s="116"/>
      <c r="H177" s="116"/>
      <c r="I177" s="116"/>
      <c r="J177" s="116"/>
      <c r="K177" s="116"/>
      <c r="L177" s="116"/>
      <c r="M177" s="116"/>
      <c r="N177" s="116"/>
      <c r="O177" s="116"/>
      <c r="P177" s="116"/>
      <c r="Q177" s="116"/>
      <c r="R177" s="38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8">
        <v>2013</v>
      </c>
      <c r="AD177" s="118">
        <v>2020</v>
      </c>
      <c r="AE177" s="118">
        <v>2030</v>
      </c>
      <c r="AF177" s="118">
        <v>2040</v>
      </c>
      <c r="AG177" s="118">
        <v>2050</v>
      </c>
      <c r="AH177" s="116"/>
      <c r="AI177" s="38"/>
      <c r="AJ177" s="116"/>
      <c r="AK177" s="116"/>
      <c r="AL177" s="116"/>
      <c r="AM177" s="116"/>
      <c r="AN177" s="116"/>
      <c r="AO177" s="116"/>
      <c r="AP177" s="116"/>
      <c r="AQ177" s="116"/>
      <c r="AR177" s="116"/>
      <c r="AS177" s="116"/>
      <c r="AT177" s="116"/>
      <c r="AU177" s="116"/>
      <c r="AV177" s="116"/>
      <c r="AW177" s="116"/>
      <c r="AX177" s="116"/>
      <c r="AY177" s="116"/>
      <c r="AZ177" s="38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6"/>
      <c r="BK177" s="116"/>
      <c r="BL177" s="116"/>
      <c r="BM177" s="116"/>
      <c r="BN177" s="116"/>
      <c r="BO177" s="116"/>
      <c r="BP177" s="116"/>
      <c r="BQ177" s="38"/>
      <c r="BR177" s="116"/>
      <c r="BS177" s="116"/>
      <c r="BT177" s="116"/>
      <c r="BU177" s="116"/>
      <c r="BV177" s="116"/>
      <c r="BW177" s="116"/>
      <c r="BX177" s="116"/>
      <c r="BY177" s="116"/>
      <c r="BZ177" s="116"/>
      <c r="CA177" s="116"/>
      <c r="CB177" s="116"/>
      <c r="CC177" s="116"/>
      <c r="CD177" s="116"/>
      <c r="CE177" s="116"/>
      <c r="CF177" s="116"/>
      <c r="CG177" s="116"/>
    </row>
    <row r="178" spans="2:85" s="45" customFormat="1" x14ac:dyDescent="0.25">
      <c r="C178" s="116"/>
      <c r="D178" s="118">
        <v>2013</v>
      </c>
      <c r="E178" s="118">
        <v>2020</v>
      </c>
      <c r="F178" s="118">
        <v>2030</v>
      </c>
      <c r="G178" s="118">
        <v>2040</v>
      </c>
      <c r="H178" s="118">
        <v>2050</v>
      </c>
      <c r="I178" s="116"/>
      <c r="J178" s="116"/>
      <c r="K178" s="116"/>
      <c r="L178" s="116"/>
      <c r="M178" s="116"/>
      <c r="N178" s="116"/>
      <c r="O178" s="116"/>
      <c r="P178" s="116"/>
      <c r="Q178" s="116"/>
      <c r="R178" s="38"/>
      <c r="S178" s="116"/>
      <c r="T178" s="116"/>
      <c r="U178" s="116"/>
      <c r="V178" s="116"/>
      <c r="W178" s="116"/>
      <c r="X178" s="116"/>
      <c r="Y178" s="116"/>
      <c r="Z178" s="116"/>
      <c r="AA178" s="116" t="str">
        <f>AA170</f>
        <v>Label_B</v>
      </c>
      <c r="AB178" s="116" t="s">
        <v>28</v>
      </c>
      <c r="AC178" s="116">
        <f t="shared" ref="AC178:AG181" si="27">AC170-AC$169</f>
        <v>0</v>
      </c>
      <c r="AD178" s="116">
        <f t="shared" si="27"/>
        <v>0</v>
      </c>
      <c r="AE178" s="116">
        <f t="shared" si="27"/>
        <v>0</v>
      </c>
      <c r="AF178" s="116">
        <f t="shared" si="27"/>
        <v>0</v>
      </c>
      <c r="AG178" s="116">
        <f t="shared" si="27"/>
        <v>0</v>
      </c>
      <c r="AH178" s="116"/>
      <c r="AI178" s="38"/>
      <c r="AJ178" s="116"/>
      <c r="AK178" s="116"/>
      <c r="AL178" s="116"/>
      <c r="AM178" s="116"/>
      <c r="AN178" s="116"/>
      <c r="AO178" s="116"/>
      <c r="AP178" s="116"/>
      <c r="AQ178" s="116"/>
      <c r="AR178" s="116"/>
      <c r="AS178" s="116"/>
      <c r="AT178" s="116"/>
      <c r="AU178" s="116"/>
      <c r="AV178" s="116"/>
      <c r="AW178" s="116"/>
      <c r="AX178" s="116"/>
      <c r="AY178" s="116"/>
      <c r="AZ178" s="38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6"/>
      <c r="BK178" s="116"/>
      <c r="BL178" s="116"/>
      <c r="BM178" s="116"/>
      <c r="BN178" s="116"/>
      <c r="BO178" s="116"/>
      <c r="BP178" s="116"/>
      <c r="BQ178" s="38"/>
      <c r="BR178" s="116"/>
      <c r="BS178" s="116"/>
      <c r="BT178" s="116"/>
      <c r="BU178" s="116"/>
      <c r="BV178" s="116"/>
      <c r="BW178" s="116"/>
      <c r="BX178" s="116"/>
      <c r="BY178" s="116"/>
      <c r="BZ178" s="116"/>
      <c r="CA178" s="116"/>
      <c r="CB178" s="116"/>
      <c r="CC178" s="116"/>
      <c r="CD178" s="116"/>
      <c r="CE178" s="116"/>
      <c r="CF178" s="116"/>
      <c r="CG178" s="116"/>
    </row>
    <row r="179" spans="2:85" s="45" customFormat="1" x14ac:dyDescent="0.25">
      <c r="B179" s="45" t="str">
        <f>ReadMe!D16</f>
        <v>Label_B</v>
      </c>
      <c r="C179" s="116" t="s">
        <v>28</v>
      </c>
      <c r="D179" s="116">
        <f t="shared" ref="D179:H182" si="28">IF(D169&gt;0,D169*$G$174,0)</f>
        <v>0</v>
      </c>
      <c r="E179" s="116">
        <f t="shared" si="28"/>
        <v>0</v>
      </c>
      <c r="F179" s="116">
        <f t="shared" si="28"/>
        <v>0</v>
      </c>
      <c r="G179" s="116">
        <f t="shared" si="28"/>
        <v>0</v>
      </c>
      <c r="H179" s="116">
        <f t="shared" si="28"/>
        <v>0</v>
      </c>
      <c r="I179" s="116"/>
      <c r="J179" s="116"/>
      <c r="K179" s="116"/>
      <c r="L179" s="116"/>
      <c r="M179" s="116"/>
      <c r="N179" s="116"/>
      <c r="O179" s="116"/>
      <c r="P179" s="116"/>
      <c r="Q179" s="116"/>
      <c r="R179" s="38"/>
      <c r="S179" s="116"/>
      <c r="T179" s="116"/>
      <c r="U179" s="116"/>
      <c r="V179" s="116"/>
      <c r="W179" s="116"/>
      <c r="X179" s="116"/>
      <c r="Y179" s="116"/>
      <c r="Z179" s="116"/>
      <c r="AA179" s="116" t="str">
        <f>AA171</f>
        <v>Label_A+</v>
      </c>
      <c r="AB179" s="116" t="s">
        <v>28</v>
      </c>
      <c r="AC179" s="116">
        <f t="shared" si="27"/>
        <v>0</v>
      </c>
      <c r="AD179" s="116">
        <f t="shared" si="27"/>
        <v>0</v>
      </c>
      <c r="AE179" s="116">
        <f t="shared" si="27"/>
        <v>0</v>
      </c>
      <c r="AF179" s="116">
        <f t="shared" si="27"/>
        <v>0</v>
      </c>
      <c r="AG179" s="116">
        <f t="shared" si="27"/>
        <v>0</v>
      </c>
      <c r="AH179" s="116"/>
      <c r="AI179" s="38"/>
      <c r="AJ179" s="116"/>
      <c r="AK179" s="116"/>
      <c r="AL179" s="116"/>
      <c r="AM179" s="116"/>
      <c r="AN179" s="116"/>
      <c r="AO179" s="116"/>
      <c r="AP179" s="116"/>
      <c r="AQ179" s="116"/>
      <c r="AR179" s="116"/>
      <c r="AS179" s="116"/>
      <c r="AT179" s="116"/>
      <c r="AU179" s="116"/>
      <c r="AV179" s="116"/>
      <c r="AW179" s="116"/>
      <c r="AX179" s="116"/>
      <c r="AY179" s="116"/>
      <c r="AZ179" s="38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6"/>
      <c r="BK179" s="116"/>
      <c r="BL179" s="116"/>
      <c r="BM179" s="116"/>
      <c r="BN179" s="116"/>
      <c r="BO179" s="116"/>
      <c r="BP179" s="116"/>
      <c r="BQ179" s="38"/>
      <c r="BR179" s="116"/>
      <c r="BS179" s="116"/>
      <c r="BT179" s="116"/>
      <c r="BU179" s="116"/>
      <c r="BV179" s="116"/>
      <c r="BW179" s="116"/>
      <c r="BX179" s="116"/>
      <c r="BY179" s="116"/>
      <c r="BZ179" s="116"/>
      <c r="CA179" s="116"/>
      <c r="CB179" s="116"/>
      <c r="CC179" s="116"/>
      <c r="CD179" s="116"/>
      <c r="CE179" s="116"/>
      <c r="CF179" s="116"/>
      <c r="CG179" s="116"/>
    </row>
    <row r="180" spans="2:85" s="45" customFormat="1" x14ac:dyDescent="0.25">
      <c r="B180" s="45" t="str">
        <f>ReadMe!E16</f>
        <v>Label_A+</v>
      </c>
      <c r="C180" s="116" t="s">
        <v>28</v>
      </c>
      <c r="D180" s="116">
        <f t="shared" si="28"/>
        <v>0</v>
      </c>
      <c r="E180" s="116">
        <f t="shared" si="28"/>
        <v>0</v>
      </c>
      <c r="F180" s="116">
        <f t="shared" si="28"/>
        <v>0</v>
      </c>
      <c r="G180" s="116">
        <f t="shared" si="28"/>
        <v>0</v>
      </c>
      <c r="H180" s="116">
        <f t="shared" si="28"/>
        <v>0</v>
      </c>
      <c r="I180" s="116"/>
      <c r="J180" s="116"/>
      <c r="K180" s="116"/>
      <c r="L180" s="116"/>
      <c r="M180" s="116"/>
      <c r="N180" s="116"/>
      <c r="O180" s="116"/>
      <c r="P180" s="116"/>
      <c r="Q180" s="116"/>
      <c r="R180" s="38"/>
      <c r="S180" s="116"/>
      <c r="T180" s="116"/>
      <c r="U180" s="116"/>
      <c r="V180" s="116"/>
      <c r="W180" s="116"/>
      <c r="X180" s="116"/>
      <c r="Y180" s="116"/>
      <c r="Z180" s="116"/>
      <c r="AA180" s="116" t="str">
        <f>AA172</f>
        <v>Label_A+_eWP</v>
      </c>
      <c r="AB180" s="116" t="s">
        <v>28</v>
      </c>
      <c r="AC180" s="116">
        <f t="shared" si="27"/>
        <v>0</v>
      </c>
      <c r="AD180" s="116">
        <f t="shared" si="27"/>
        <v>0.30481361000000007</v>
      </c>
      <c r="AE180" s="116">
        <f t="shared" si="27"/>
        <v>0.29732537000000003</v>
      </c>
      <c r="AF180" s="116">
        <f t="shared" si="27"/>
        <v>0.28985196000000002</v>
      </c>
      <c r="AG180" s="116">
        <f t="shared" si="27"/>
        <v>0.28236371999999998</v>
      </c>
      <c r="AH180" s="116"/>
      <c r="AI180" s="38"/>
      <c r="AJ180" s="116"/>
      <c r="AK180" s="116"/>
      <c r="AL180" s="116"/>
      <c r="AM180" s="116"/>
      <c r="AN180" s="116"/>
      <c r="AO180" s="116"/>
      <c r="AP180" s="116"/>
      <c r="AQ180" s="116"/>
      <c r="AR180" s="116"/>
      <c r="AS180" s="116"/>
      <c r="AT180" s="116"/>
      <c r="AU180" s="116"/>
      <c r="AV180" s="116"/>
      <c r="AW180" s="116"/>
      <c r="AX180" s="116"/>
      <c r="AY180" s="116"/>
      <c r="AZ180" s="38"/>
      <c r="BA180" s="116"/>
      <c r="BB180" s="116"/>
      <c r="BC180" s="116"/>
      <c r="BD180" s="116"/>
      <c r="BE180" s="116"/>
      <c r="BF180" s="116"/>
      <c r="BG180" s="116"/>
      <c r="BH180" s="116"/>
      <c r="BI180" s="116"/>
      <c r="BJ180" s="116"/>
      <c r="BK180" s="116"/>
      <c r="BL180" s="116"/>
      <c r="BM180" s="116"/>
      <c r="BN180" s="116"/>
      <c r="BO180" s="116"/>
      <c r="BP180" s="116"/>
      <c r="BQ180" s="38"/>
      <c r="BR180" s="116"/>
      <c r="BS180" s="116"/>
      <c r="BT180" s="116"/>
      <c r="BU180" s="116"/>
      <c r="BV180" s="116"/>
      <c r="BW180" s="116"/>
      <c r="BX180" s="116"/>
      <c r="BY180" s="116"/>
      <c r="BZ180" s="116"/>
      <c r="CA180" s="116"/>
      <c r="CB180" s="116"/>
      <c r="CC180" s="116"/>
      <c r="CD180" s="116"/>
      <c r="CE180" s="116"/>
      <c r="CF180" s="116"/>
      <c r="CG180" s="116"/>
    </row>
    <row r="181" spans="2:85" s="45" customFormat="1" x14ac:dyDescent="0.25">
      <c r="B181" s="45" t="str">
        <f>ReadMe!F16</f>
        <v>Label_A+_eWP</v>
      </c>
      <c r="C181" s="116" t="s">
        <v>28</v>
      </c>
      <c r="D181" s="116">
        <f t="shared" si="28"/>
        <v>0</v>
      </c>
      <c r="E181" s="116">
        <f t="shared" si="28"/>
        <v>1.3622840600000004</v>
      </c>
      <c r="F181" s="116">
        <f t="shared" si="28"/>
        <v>1.3284610320000008</v>
      </c>
      <c r="G181" s="116">
        <f t="shared" si="28"/>
        <v>1.2947048880000009</v>
      </c>
      <c r="H181" s="116">
        <f t="shared" si="28"/>
        <v>1.2608818640000008</v>
      </c>
      <c r="I181" s="116"/>
      <c r="J181" s="116"/>
      <c r="K181" s="116"/>
      <c r="L181" s="116"/>
      <c r="M181" s="116"/>
      <c r="N181" s="116"/>
      <c r="O181" s="116"/>
      <c r="P181" s="116"/>
      <c r="Q181" s="116"/>
      <c r="R181" s="38"/>
      <c r="S181" s="116"/>
      <c r="T181" s="116"/>
      <c r="U181" s="116"/>
      <c r="V181" s="116"/>
      <c r="W181" s="116"/>
      <c r="X181" s="116"/>
      <c r="Y181" s="116"/>
      <c r="Z181" s="116"/>
      <c r="AA181" s="116" t="str">
        <f>AA173</f>
        <v>Label_B_WP2euro/m3</v>
      </c>
      <c r="AB181" s="116" t="s">
        <v>28</v>
      </c>
      <c r="AC181" s="116">
        <f t="shared" si="27"/>
        <v>0</v>
      </c>
      <c r="AD181" s="116">
        <f t="shared" si="27"/>
        <v>0</v>
      </c>
      <c r="AE181" s="116">
        <f t="shared" si="27"/>
        <v>0</v>
      </c>
      <c r="AF181" s="116">
        <f t="shared" si="27"/>
        <v>0</v>
      </c>
      <c r="AG181" s="116">
        <f t="shared" si="27"/>
        <v>0</v>
      </c>
      <c r="AH181" s="116"/>
      <c r="AI181" s="38"/>
      <c r="AJ181" s="116"/>
      <c r="AK181" s="116"/>
      <c r="AL181" s="116"/>
      <c r="AM181" s="116"/>
      <c r="AN181" s="116"/>
      <c r="AO181" s="116"/>
      <c r="AP181" s="116"/>
      <c r="AQ181" s="116"/>
      <c r="AR181" s="116"/>
      <c r="AS181" s="116"/>
      <c r="AT181" s="116"/>
      <c r="AU181" s="116"/>
      <c r="AV181" s="116"/>
      <c r="AW181" s="116"/>
      <c r="AX181" s="116"/>
      <c r="AY181" s="116"/>
      <c r="AZ181" s="38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6"/>
      <c r="BK181" s="116"/>
      <c r="BL181" s="116"/>
      <c r="BM181" s="116"/>
      <c r="BN181" s="116"/>
      <c r="BO181" s="116"/>
      <c r="BP181" s="116"/>
      <c r="BQ181" s="38"/>
      <c r="BR181" s="116"/>
      <c r="BS181" s="116"/>
      <c r="BT181" s="116"/>
      <c r="BU181" s="116"/>
      <c r="BV181" s="116"/>
      <c r="BW181" s="116"/>
      <c r="BX181" s="116"/>
      <c r="BY181" s="116"/>
      <c r="BZ181" s="116"/>
      <c r="CA181" s="116"/>
      <c r="CB181" s="116"/>
      <c r="CC181" s="116"/>
      <c r="CD181" s="116"/>
      <c r="CE181" s="116"/>
      <c r="CF181" s="116"/>
      <c r="CG181" s="116"/>
    </row>
    <row r="182" spans="2:85" s="45" customFormat="1" x14ac:dyDescent="0.25">
      <c r="B182" s="45" t="str">
        <f>ReadMe!G16</f>
        <v>Label_B_WP2euro/m3</v>
      </c>
      <c r="C182" s="116" t="s">
        <v>28</v>
      </c>
      <c r="D182" s="116">
        <f t="shared" si="28"/>
        <v>0</v>
      </c>
      <c r="E182" s="116">
        <f t="shared" si="28"/>
        <v>0</v>
      </c>
      <c r="F182" s="116">
        <f t="shared" si="28"/>
        <v>0</v>
      </c>
      <c r="G182" s="116">
        <f t="shared" si="28"/>
        <v>0</v>
      </c>
      <c r="H182" s="116">
        <f t="shared" si="28"/>
        <v>0</v>
      </c>
      <c r="I182" s="116"/>
      <c r="J182" s="116"/>
      <c r="K182" s="116"/>
      <c r="L182" s="116"/>
      <c r="M182" s="116"/>
      <c r="N182" s="116"/>
      <c r="O182" s="116"/>
      <c r="P182" s="116"/>
      <c r="Q182" s="116"/>
      <c r="R182" s="38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16"/>
      <c r="AF182" s="116"/>
      <c r="AG182" s="116"/>
      <c r="AH182" s="116"/>
      <c r="AI182" s="38"/>
      <c r="AJ182" s="116"/>
      <c r="AK182" s="116"/>
      <c r="AL182" s="116"/>
      <c r="AM182" s="116"/>
      <c r="AN182" s="116"/>
      <c r="AO182" s="116"/>
      <c r="AP182" s="116"/>
      <c r="AQ182" s="116"/>
      <c r="AR182" s="116"/>
      <c r="AS182" s="116"/>
      <c r="AT182" s="116"/>
      <c r="AU182" s="116"/>
      <c r="AV182" s="116"/>
      <c r="AW182" s="116"/>
      <c r="AX182" s="116"/>
      <c r="AY182" s="116"/>
      <c r="AZ182" s="38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6"/>
      <c r="BK182" s="116"/>
      <c r="BL182" s="116"/>
      <c r="BM182" s="116"/>
      <c r="BN182" s="116"/>
      <c r="BO182" s="116"/>
      <c r="BP182" s="116"/>
      <c r="BQ182" s="38"/>
      <c r="BR182" s="116"/>
      <c r="BS182" s="116"/>
      <c r="BT182" s="116"/>
      <c r="BU182" s="116"/>
      <c r="BV182" s="116"/>
      <c r="BW182" s="116"/>
      <c r="BX182" s="116"/>
      <c r="BY182" s="116"/>
      <c r="BZ182" s="116"/>
      <c r="CA182" s="116"/>
      <c r="CB182" s="116"/>
      <c r="CC182" s="116"/>
      <c r="CD182" s="116"/>
      <c r="CE182" s="116"/>
      <c r="CF182" s="116"/>
      <c r="CG182" s="116"/>
    </row>
    <row r="183" spans="2:85" s="45" customFormat="1" x14ac:dyDescent="0.25">
      <c r="C183" s="116"/>
      <c r="D183" s="116"/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116"/>
      <c r="P183" s="116"/>
      <c r="Q183" s="116"/>
      <c r="R183" s="38"/>
      <c r="S183" s="116"/>
      <c r="T183" s="116"/>
      <c r="U183" s="116"/>
      <c r="V183" s="116"/>
      <c r="W183" s="116"/>
      <c r="X183" s="116"/>
      <c r="Y183" s="116"/>
      <c r="Z183" s="116"/>
      <c r="AA183" s="118" t="s">
        <v>69</v>
      </c>
      <c r="AB183" s="116"/>
      <c r="AC183" s="116"/>
      <c r="AD183" s="116"/>
      <c r="AE183" s="116"/>
      <c r="AF183" s="116"/>
      <c r="AG183" s="116"/>
      <c r="AH183" s="116"/>
      <c r="AI183" s="38"/>
      <c r="AJ183" s="116"/>
      <c r="AK183" s="116"/>
      <c r="AL183" s="116"/>
      <c r="AM183" s="116"/>
      <c r="AN183" s="116"/>
      <c r="AO183" s="116"/>
      <c r="AP183" s="116"/>
      <c r="AQ183" s="116"/>
      <c r="AR183" s="116"/>
      <c r="AS183" s="116"/>
      <c r="AT183" s="116"/>
      <c r="AU183" s="116"/>
      <c r="AV183" s="116"/>
      <c r="AW183" s="116"/>
      <c r="AX183" s="116"/>
      <c r="AY183" s="116"/>
      <c r="AZ183" s="38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6"/>
      <c r="BK183" s="116"/>
      <c r="BL183" s="116"/>
      <c r="BM183" s="116"/>
      <c r="BN183" s="116"/>
      <c r="BO183" s="116"/>
      <c r="BP183" s="116"/>
      <c r="BQ183" s="38"/>
      <c r="BR183" s="116"/>
      <c r="BS183" s="116"/>
      <c r="BT183" s="116"/>
      <c r="BU183" s="116"/>
      <c r="BV183" s="116"/>
      <c r="BW183" s="116"/>
      <c r="BX183" s="116"/>
      <c r="BY183" s="116"/>
      <c r="BZ183" s="116"/>
      <c r="CA183" s="116"/>
      <c r="CB183" s="116"/>
      <c r="CC183" s="116"/>
      <c r="CD183" s="116"/>
      <c r="CE183" s="116"/>
      <c r="CF183" s="116"/>
      <c r="CG183" s="116"/>
    </row>
    <row r="184" spans="2:85" s="45" customFormat="1" x14ac:dyDescent="0.25">
      <c r="C184" s="116"/>
      <c r="D184" s="116"/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116"/>
      <c r="P184" s="116"/>
      <c r="Q184" s="116"/>
      <c r="R184" s="38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8">
        <v>2013</v>
      </c>
      <c r="AD184" s="118">
        <v>2020</v>
      </c>
      <c r="AE184" s="118">
        <v>2030</v>
      </c>
      <c r="AF184" s="118">
        <v>2040</v>
      </c>
      <c r="AG184" s="118">
        <v>2050</v>
      </c>
      <c r="AH184" s="116"/>
      <c r="AI184" s="38"/>
      <c r="AJ184" s="116"/>
      <c r="AK184" s="116"/>
      <c r="AL184" s="116"/>
      <c r="AM184" s="116"/>
      <c r="AN184" s="116"/>
      <c r="AO184" s="116"/>
      <c r="AP184" s="116"/>
      <c r="AQ184" s="116"/>
      <c r="AR184" s="116"/>
      <c r="AS184" s="116"/>
      <c r="AT184" s="116"/>
      <c r="AU184" s="116"/>
      <c r="AV184" s="116"/>
      <c r="AW184" s="116"/>
      <c r="AX184" s="116"/>
      <c r="AY184" s="116"/>
      <c r="AZ184" s="38"/>
      <c r="BA184" s="116"/>
      <c r="BB184" s="116"/>
      <c r="BC184" s="116"/>
      <c r="BD184" s="116"/>
      <c r="BE184" s="116"/>
      <c r="BF184" s="116"/>
      <c r="BG184" s="116"/>
      <c r="BH184" s="116"/>
      <c r="BI184" s="116"/>
      <c r="BJ184" s="116"/>
      <c r="BK184" s="116"/>
      <c r="BL184" s="116"/>
      <c r="BM184" s="116"/>
      <c r="BN184" s="116"/>
      <c r="BO184" s="116"/>
      <c r="BP184" s="116"/>
      <c r="BQ184" s="38"/>
      <c r="BR184" s="116"/>
      <c r="BS184" s="116"/>
      <c r="BT184" s="116"/>
      <c r="BU184" s="116"/>
      <c r="BV184" s="116"/>
      <c r="BW184" s="116"/>
      <c r="BX184" s="116"/>
      <c r="BY184" s="116"/>
      <c r="BZ184" s="116"/>
      <c r="CA184" s="116"/>
      <c r="CB184" s="116"/>
      <c r="CC184" s="116"/>
      <c r="CD184" s="116"/>
      <c r="CE184" s="116"/>
      <c r="CF184" s="116"/>
      <c r="CG184" s="116"/>
    </row>
    <row r="185" spans="2:85" x14ac:dyDescent="0.25">
      <c r="AA185" s="116" t="str">
        <f>AA178</f>
        <v>Label_B</v>
      </c>
      <c r="AB185" s="116" t="s">
        <v>28</v>
      </c>
      <c r="AC185" s="116">
        <f t="shared" ref="AC185:AG186" si="29">IF(AC178&gt;0,AC178*$G$174,0)</f>
        <v>0</v>
      </c>
      <c r="AD185" s="116">
        <f t="shared" si="29"/>
        <v>0</v>
      </c>
      <c r="AE185" s="116">
        <f t="shared" si="29"/>
        <v>0</v>
      </c>
      <c r="AF185" s="116">
        <f t="shared" si="29"/>
        <v>0</v>
      </c>
      <c r="AG185" s="116">
        <f t="shared" si="29"/>
        <v>0</v>
      </c>
    </row>
    <row r="186" spans="2:85" x14ac:dyDescent="0.25">
      <c r="B186" s="44" t="s">
        <v>60</v>
      </c>
      <c r="AA186" s="116" t="str">
        <f>AA179</f>
        <v>Label_A+</v>
      </c>
      <c r="AB186" s="116" t="s">
        <v>28</v>
      </c>
      <c r="AC186" s="116">
        <f t="shared" si="29"/>
        <v>0</v>
      </c>
      <c r="AD186" s="116">
        <f t="shared" si="29"/>
        <v>0</v>
      </c>
      <c r="AE186" s="116">
        <f t="shared" si="29"/>
        <v>0</v>
      </c>
      <c r="AF186" s="116">
        <f t="shared" si="29"/>
        <v>0</v>
      </c>
      <c r="AG186" s="116">
        <f t="shared" si="29"/>
        <v>0</v>
      </c>
    </row>
    <row r="187" spans="2:85" x14ac:dyDescent="0.25">
      <c r="D187" s="118">
        <v>2013</v>
      </c>
      <c r="E187" s="118">
        <v>2020</v>
      </c>
      <c r="F187" s="118">
        <v>2030</v>
      </c>
      <c r="G187" s="118">
        <v>2040</v>
      </c>
      <c r="H187" s="118">
        <v>2050</v>
      </c>
      <c r="M187" s="118">
        <v>2013</v>
      </c>
      <c r="N187" s="118">
        <v>2020</v>
      </c>
      <c r="O187" s="118">
        <v>2030</v>
      </c>
      <c r="P187" s="118">
        <v>2040</v>
      </c>
      <c r="Q187" s="118">
        <v>2050</v>
      </c>
      <c r="AA187" s="116" t="str">
        <f>AA180</f>
        <v>Label_A+_eWP</v>
      </c>
      <c r="AB187" s="116" t="s">
        <v>28</v>
      </c>
      <c r="AC187" s="116">
        <f t="shared" ref="AC187:AG188" si="30">IF(AC180&gt;0,AC180*$G$174,0)</f>
        <v>0</v>
      </c>
      <c r="AD187" s="116">
        <f t="shared" si="30"/>
        <v>1.2192544400000003</v>
      </c>
      <c r="AE187" s="116">
        <f t="shared" si="30"/>
        <v>1.1893014800000001</v>
      </c>
      <c r="AF187" s="116">
        <f t="shared" si="30"/>
        <v>1.1594078400000001</v>
      </c>
      <c r="AG187" s="116">
        <f t="shared" si="30"/>
        <v>1.1294548799999999</v>
      </c>
    </row>
    <row r="188" spans="2:85" x14ac:dyDescent="0.25">
      <c r="B188" t="str">
        <f>""&amp; B145</f>
        <v>Referentie</v>
      </c>
      <c r="C188" s="116" t="s">
        <v>28</v>
      </c>
      <c r="D188" s="116">
        <f t="shared" ref="D188:H192" si="31">D145</f>
        <v>3.5135086100000001</v>
      </c>
      <c r="E188" s="116">
        <f t="shared" si="31"/>
        <v>3.1226826011699997</v>
      </c>
      <c r="F188" s="116">
        <f t="shared" si="31"/>
        <v>3.0565685252399999</v>
      </c>
      <c r="G188" s="116">
        <f t="shared" si="31"/>
        <v>2.95399623485</v>
      </c>
      <c r="H188" s="116">
        <f t="shared" si="31"/>
        <v>2.88842571126</v>
      </c>
      <c r="K188" s="116" t="str">
        <f>K145</f>
        <v>Referentie</v>
      </c>
      <c r="L188" s="116" t="s">
        <v>28</v>
      </c>
      <c r="M188" s="116">
        <f>D188+D193</f>
        <v>4.8114045599999997</v>
      </c>
      <c r="N188" s="116">
        <f>E188+E193</f>
        <v>4.7470383941699996</v>
      </c>
      <c r="O188" s="116">
        <f>F188+F193</f>
        <v>4.64421709324</v>
      </c>
      <c r="P188" s="116">
        <f>G188+G193</f>
        <v>4.5385101378500003</v>
      </c>
      <c r="Q188" s="116">
        <f>H188+H193</f>
        <v>4.4356488382599997</v>
      </c>
      <c r="AA188" s="116" t="str">
        <f>AA181</f>
        <v>Label_B_WP2euro/m3</v>
      </c>
      <c r="AB188" s="116" t="s">
        <v>28</v>
      </c>
      <c r="AC188" s="116">
        <f t="shared" si="30"/>
        <v>0</v>
      </c>
      <c r="AD188" s="116">
        <f t="shared" si="30"/>
        <v>0</v>
      </c>
      <c r="AE188" s="116">
        <f t="shared" si="30"/>
        <v>0</v>
      </c>
      <c r="AF188" s="116">
        <f t="shared" si="30"/>
        <v>0</v>
      </c>
      <c r="AG188" s="116">
        <f t="shared" si="30"/>
        <v>0</v>
      </c>
    </row>
    <row r="189" spans="2:85" x14ac:dyDescent="0.25">
      <c r="B189" s="42" t="str">
        <f>""&amp; B146</f>
        <v>Label_B</v>
      </c>
      <c r="C189" s="116" t="s">
        <v>28</v>
      </c>
      <c r="D189" s="116">
        <f t="shared" si="31"/>
        <v>3.5135086100000001</v>
      </c>
      <c r="E189" s="116">
        <f t="shared" si="31"/>
        <v>2.6145637846000001</v>
      </c>
      <c r="F189" s="116">
        <f t="shared" si="31"/>
        <v>2.5627335719</v>
      </c>
      <c r="G189" s="116">
        <f t="shared" si="31"/>
        <v>2.5110071610000002</v>
      </c>
      <c r="H189" s="116">
        <f t="shared" si="31"/>
        <v>2.4256582177500001</v>
      </c>
      <c r="K189" s="116" t="str">
        <f>K146</f>
        <v>Label_B</v>
      </c>
      <c r="L189" s="116" t="s">
        <v>28</v>
      </c>
      <c r="M189" s="116">
        <f t="shared" ref="M189:Q192" si="32">D189+D194+D179</f>
        <v>4.8114045599999997</v>
      </c>
      <c r="N189" s="116">
        <f t="shared" si="32"/>
        <v>4.0766635045999999</v>
      </c>
      <c r="O189" s="116">
        <f t="shared" si="32"/>
        <v>3.9926759329000001</v>
      </c>
      <c r="P189" s="116">
        <f t="shared" si="32"/>
        <v>3.9088495510000003</v>
      </c>
      <c r="Q189" s="116">
        <f t="shared" si="32"/>
        <v>3.8218138327500002</v>
      </c>
    </row>
    <row r="190" spans="2:85" x14ac:dyDescent="0.25">
      <c r="B190" s="42" t="str">
        <f>""&amp; B147</f>
        <v>Label_A+</v>
      </c>
      <c r="C190" s="116" t="s">
        <v>28</v>
      </c>
      <c r="D190" s="116">
        <f t="shared" si="31"/>
        <v>3.5135086100000001</v>
      </c>
      <c r="E190" s="116">
        <f t="shared" si="31"/>
        <v>0.44345248557</v>
      </c>
      <c r="F190" s="116">
        <f t="shared" si="31"/>
        <v>0.42430638304000001</v>
      </c>
      <c r="G190" s="116">
        <f t="shared" si="31"/>
        <v>0.36747252971</v>
      </c>
      <c r="H190" s="116">
        <f t="shared" si="31"/>
        <v>0.32412371662</v>
      </c>
      <c r="K190" s="116" t="str">
        <f>K147</f>
        <v>Label_A+</v>
      </c>
      <c r="L190" s="116" t="s">
        <v>28</v>
      </c>
      <c r="M190" s="116">
        <f t="shared" si="32"/>
        <v>4.8114045599999997</v>
      </c>
      <c r="N190" s="116">
        <f t="shared" si="32"/>
        <v>2.7201366015700001</v>
      </c>
      <c r="O190" s="116">
        <f t="shared" si="32"/>
        <v>2.6668921160400005</v>
      </c>
      <c r="P190" s="116">
        <f t="shared" si="32"/>
        <v>2.6084889357100001</v>
      </c>
      <c r="Q190" s="116">
        <f t="shared" si="32"/>
        <v>2.55167245662</v>
      </c>
      <c r="AA190" s="118" t="s">
        <v>67</v>
      </c>
    </row>
    <row r="191" spans="2:85" x14ac:dyDescent="0.25">
      <c r="B191" s="42" t="str">
        <f>""&amp; B148</f>
        <v>Label_A+_eWP</v>
      </c>
      <c r="C191" s="116" t="s">
        <v>28</v>
      </c>
      <c r="D191" s="116">
        <f t="shared" si="31"/>
        <v>3.5135086100000001</v>
      </c>
      <c r="E191" s="116">
        <f t="shared" si="31"/>
        <v>0</v>
      </c>
      <c r="F191" s="116">
        <f t="shared" si="31"/>
        <v>0</v>
      </c>
      <c r="G191" s="116">
        <f t="shared" si="31"/>
        <v>0</v>
      </c>
      <c r="H191" s="116">
        <f t="shared" si="31"/>
        <v>0</v>
      </c>
      <c r="K191" s="116" t="str">
        <f>K148</f>
        <v>Label_A+_eWP</v>
      </c>
      <c r="L191" s="116" t="s">
        <v>28</v>
      </c>
      <c r="M191" s="116">
        <f t="shared" si="32"/>
        <v>4.8114045599999997</v>
      </c>
      <c r="N191" s="116">
        <f t="shared" si="32"/>
        <v>2.8371464540000004</v>
      </c>
      <c r="O191" s="116">
        <f t="shared" si="32"/>
        <v>2.7523410050000008</v>
      </c>
      <c r="P191" s="116">
        <f t="shared" si="32"/>
        <v>2.6856140680000009</v>
      </c>
      <c r="Q191" s="116">
        <f t="shared" si="32"/>
        <v>2.6187643210000009</v>
      </c>
      <c r="AC191" s="118">
        <v>2013</v>
      </c>
      <c r="AD191" s="118">
        <v>2020</v>
      </c>
      <c r="AE191" s="118">
        <v>2030</v>
      </c>
      <c r="AF191" s="118">
        <v>2040</v>
      </c>
      <c r="AG191" s="118">
        <v>2050</v>
      </c>
    </row>
    <row r="192" spans="2:85" x14ac:dyDescent="0.25">
      <c r="B192" s="42" t="str">
        <f>""&amp; B149</f>
        <v>Label_B_WP2euro/m3</v>
      </c>
      <c r="C192" s="116" t="s">
        <v>28</v>
      </c>
      <c r="D192" s="116">
        <f t="shared" si="31"/>
        <v>3.5135086100000001</v>
      </c>
      <c r="E192" s="116">
        <f t="shared" si="31"/>
        <v>1.1647902567999999E-2</v>
      </c>
      <c r="F192" s="116">
        <f t="shared" si="31"/>
        <v>1.1404959806999999E-2</v>
      </c>
      <c r="G192" s="116">
        <f t="shared" si="31"/>
        <v>1.1162999497E-2</v>
      </c>
      <c r="H192" s="116">
        <f t="shared" si="31"/>
        <v>1.0920056714999999E-2</v>
      </c>
      <c r="K192" s="116" t="str">
        <f>K149</f>
        <v>Label_B_WP2euro/m3</v>
      </c>
      <c r="L192" s="116" t="s">
        <v>28</v>
      </c>
      <c r="M192" s="116">
        <f t="shared" si="32"/>
        <v>4.8114045599999997</v>
      </c>
      <c r="N192" s="116">
        <f t="shared" si="32"/>
        <v>3.8469946036179996</v>
      </c>
      <c r="O192" s="116">
        <f t="shared" si="32"/>
        <v>3.7620244278369999</v>
      </c>
      <c r="P192" s="116">
        <f t="shared" si="32"/>
        <v>3.6772173852220003</v>
      </c>
      <c r="Q192" s="116">
        <f t="shared" si="32"/>
        <v>3.5922471990289999</v>
      </c>
      <c r="AA192" s="116" t="str">
        <f>AA161</f>
        <v>Referentie</v>
      </c>
      <c r="AB192" s="116" t="s">
        <v>28</v>
      </c>
      <c r="AC192" s="116">
        <f>AC161</f>
        <v>4.8114045599999997</v>
      </c>
      <c r="AD192" s="116">
        <f>AD161</f>
        <v>4.3707908099999999</v>
      </c>
      <c r="AE192" s="116">
        <f>AE161</f>
        <v>4.2761931400000002</v>
      </c>
      <c r="AF192" s="116">
        <f>AF161</f>
        <v>4.1787095799999996</v>
      </c>
      <c r="AG192" s="116">
        <f>AG161</f>
        <v>4.0840970499999996</v>
      </c>
    </row>
    <row r="193" spans="2:33" x14ac:dyDescent="0.25">
      <c r="B193" t="str">
        <f>""&amp; B145</f>
        <v>Referentie</v>
      </c>
      <c r="C193" s="116" t="s">
        <v>28</v>
      </c>
      <c r="D193" s="116">
        <f t="shared" ref="D193:H197" si="33">D153</f>
        <v>1.29789595</v>
      </c>
      <c r="E193" s="116">
        <f t="shared" si="33"/>
        <v>1.6243557930000001</v>
      </c>
      <c r="F193" s="116">
        <f t="shared" si="33"/>
        <v>1.5876485680000001</v>
      </c>
      <c r="G193" s="116">
        <f t="shared" si="33"/>
        <v>1.5845139029999999</v>
      </c>
      <c r="H193" s="116">
        <f t="shared" si="33"/>
        <v>1.5472231269999999</v>
      </c>
      <c r="AA193" s="116" t="str">
        <f>AA162</f>
        <v>Label_B</v>
      </c>
      <c r="AB193" s="116" t="s">
        <v>28</v>
      </c>
      <c r="AC193" s="116">
        <f>AC162+AC185</f>
        <v>4.8114045599999997</v>
      </c>
      <c r="AD193" s="116">
        <f>AD162+AD185</f>
        <v>3.70027967</v>
      </c>
      <c r="AE193" s="116">
        <f>AE162+AE185</f>
        <v>3.6245151699999996</v>
      </c>
      <c r="AF193" s="116">
        <f>AF162+AF185</f>
        <v>3.5488973399999999</v>
      </c>
      <c r="AG193" s="116">
        <f>AG162+AG185</f>
        <v>3.4701241200000004</v>
      </c>
    </row>
    <row r="194" spans="2:33" x14ac:dyDescent="0.25">
      <c r="B194" s="42" t="str">
        <f>""&amp; B146</f>
        <v>Label_B</v>
      </c>
      <c r="C194" s="116" t="s">
        <v>28</v>
      </c>
      <c r="D194" s="116">
        <f t="shared" si="33"/>
        <v>1.29789595</v>
      </c>
      <c r="E194" s="116">
        <f t="shared" si="33"/>
        <v>1.4620997199999999</v>
      </c>
      <c r="F194" s="116">
        <f t="shared" si="33"/>
        <v>1.4299423609999999</v>
      </c>
      <c r="G194" s="116">
        <f t="shared" si="33"/>
        <v>1.3978423899999999</v>
      </c>
      <c r="H194" s="116">
        <f t="shared" si="33"/>
        <v>1.3961556150000001</v>
      </c>
      <c r="AA194" s="116" t="str">
        <f>AA163</f>
        <v>Label_A+</v>
      </c>
      <c r="AB194" s="116" t="s">
        <v>28</v>
      </c>
      <c r="AC194" s="116">
        <f>AC163+AC186</f>
        <v>4.8114045599999997</v>
      </c>
      <c r="AD194" s="116">
        <f t="shared" ref="AD194:AF196" si="34">AD163+AD186</f>
        <v>2.3440851609999998</v>
      </c>
      <c r="AE194" s="116">
        <f t="shared" si="34"/>
        <v>2.2990769270000002</v>
      </c>
      <c r="AF194" s="116">
        <f t="shared" si="34"/>
        <v>2.2488980079999998</v>
      </c>
      <c r="AG194" s="116">
        <f>AG163+AG186</f>
        <v>2.2003311669999999</v>
      </c>
    </row>
    <row r="195" spans="2:33" x14ac:dyDescent="0.25">
      <c r="B195" s="42" t="str">
        <f>""&amp; B147</f>
        <v>Label_A+</v>
      </c>
      <c r="C195" s="116" t="s">
        <v>28</v>
      </c>
      <c r="D195" s="116">
        <f t="shared" si="33"/>
        <v>1.29789595</v>
      </c>
      <c r="E195" s="116">
        <f t="shared" si="33"/>
        <v>2.2766841160000002</v>
      </c>
      <c r="F195" s="116">
        <f t="shared" si="33"/>
        <v>2.2425857330000003</v>
      </c>
      <c r="G195" s="116">
        <f t="shared" si="33"/>
        <v>2.241016406</v>
      </c>
      <c r="H195" s="116">
        <f t="shared" si="33"/>
        <v>2.22754874</v>
      </c>
      <c r="AA195" s="116" t="str">
        <f>AA164</f>
        <v>Label_A+_eWP</v>
      </c>
      <c r="AB195" s="116" t="s">
        <v>28</v>
      </c>
      <c r="AC195" s="116">
        <f>AC164+AC187</f>
        <v>4.8114045599999997</v>
      </c>
      <c r="AD195" s="116">
        <f t="shared" si="34"/>
        <v>2.49472351</v>
      </c>
      <c r="AE195" s="116">
        <f t="shared" si="34"/>
        <v>2.4181449800000001</v>
      </c>
      <c r="AF195" s="116">
        <f t="shared" si="34"/>
        <v>2.3596304300000002</v>
      </c>
      <c r="AG195" s="116">
        <f>AG164+AG187</f>
        <v>2.3010076000000002</v>
      </c>
    </row>
    <row r="196" spans="2:33" x14ac:dyDescent="0.25">
      <c r="B196" s="42" t="str">
        <f>""&amp; B148</f>
        <v>Label_A+_eWP</v>
      </c>
      <c r="C196" s="116" t="s">
        <v>28</v>
      </c>
      <c r="D196" s="116">
        <f t="shared" si="33"/>
        <v>1.29789595</v>
      </c>
      <c r="E196" s="116">
        <f t="shared" si="33"/>
        <v>1.4748623940000001</v>
      </c>
      <c r="F196" s="116">
        <f t="shared" si="33"/>
        <v>1.423879973</v>
      </c>
      <c r="G196" s="116">
        <f t="shared" si="33"/>
        <v>1.39090918</v>
      </c>
      <c r="H196" s="116">
        <f t="shared" si="33"/>
        <v>1.3578824570000001</v>
      </c>
      <c r="AA196" s="116" t="str">
        <f>AA165</f>
        <v>Label_B_WP2euro/m3</v>
      </c>
      <c r="AB196" s="116" t="s">
        <v>28</v>
      </c>
      <c r="AC196" s="116">
        <f>AC165+AC188</f>
        <v>4.8114045599999997</v>
      </c>
      <c r="AD196" s="116">
        <f t="shared" si="34"/>
        <v>3.4715622269999997</v>
      </c>
      <c r="AE196" s="116">
        <f t="shared" si="34"/>
        <v>3.3948188766999996</v>
      </c>
      <c r="AF196" s="116">
        <f t="shared" si="34"/>
        <v>3.3182241313000005</v>
      </c>
      <c r="AG196" s="116">
        <f>AG165+AG188</f>
        <v>3.241480771</v>
      </c>
    </row>
    <row r="197" spans="2:33" x14ac:dyDescent="0.25">
      <c r="B197" s="42" t="str">
        <f>""&amp; B149</f>
        <v>Label_B_WP2euro/m3</v>
      </c>
      <c r="C197" s="116" t="s">
        <v>28</v>
      </c>
      <c r="D197" s="116">
        <f t="shared" si="33"/>
        <v>1.29789595</v>
      </c>
      <c r="E197" s="116">
        <f t="shared" si="33"/>
        <v>3.8353467010499998</v>
      </c>
      <c r="F197" s="116">
        <f t="shared" si="33"/>
        <v>3.75061946803</v>
      </c>
      <c r="G197" s="116">
        <f t="shared" si="33"/>
        <v>3.6660543857250003</v>
      </c>
      <c r="H197" s="116">
        <f t="shared" si="33"/>
        <v>3.5813271423140001</v>
      </c>
    </row>
    <row r="199" spans="2:33" x14ac:dyDescent="0.25">
      <c r="B199" s="44" t="s">
        <v>59</v>
      </c>
    </row>
    <row r="200" spans="2:33" x14ac:dyDescent="0.25">
      <c r="B200" s="42"/>
      <c r="D200" s="118">
        <v>2013</v>
      </c>
      <c r="E200" s="118">
        <v>2020</v>
      </c>
      <c r="F200" s="118">
        <v>2030</v>
      </c>
      <c r="G200" s="118">
        <v>2040</v>
      </c>
      <c r="H200" s="118">
        <v>2050</v>
      </c>
      <c r="M200" s="118">
        <v>2010</v>
      </c>
      <c r="N200" s="118">
        <v>2020</v>
      </c>
      <c r="O200" s="118">
        <v>2030</v>
      </c>
      <c r="P200" s="118">
        <v>2040</v>
      </c>
      <c r="Q200" s="118">
        <v>2050</v>
      </c>
    </row>
    <row r="201" spans="2:33" x14ac:dyDescent="0.25">
      <c r="B201" s="42" t="str">
        <f>"Gas,"&amp; K145</f>
        <v>Gas,Referentie</v>
      </c>
      <c r="C201" s="116" t="s">
        <v>28</v>
      </c>
      <c r="D201" s="116">
        <f t="shared" ref="D201:H205" si="35">M145</f>
        <v>1.2021471500000001</v>
      </c>
      <c r="E201" s="116">
        <f t="shared" si="35"/>
        <v>1.04377102708</v>
      </c>
      <c r="F201" s="116">
        <f t="shared" si="35"/>
        <v>1.0143975807800001</v>
      </c>
      <c r="G201" s="116">
        <f t="shared" si="35"/>
        <v>0.57201845258000006</v>
      </c>
      <c r="H201" s="116">
        <f t="shared" si="35"/>
        <v>0.5412657306419999</v>
      </c>
      <c r="K201" s="116" t="str">
        <f>K145</f>
        <v>Referentie</v>
      </c>
      <c r="L201" s="116" t="s">
        <v>28</v>
      </c>
      <c r="M201" s="116">
        <f t="shared" ref="M201:Q205" si="36">D201+D206</f>
        <v>2.0064605150000001</v>
      </c>
      <c r="N201" s="116">
        <f t="shared" si="36"/>
        <v>1.90067539008</v>
      </c>
      <c r="O201" s="116">
        <f t="shared" si="36"/>
        <v>1.8477940232800001</v>
      </c>
      <c r="P201" s="116">
        <f t="shared" si="36"/>
        <v>1.7694961260800002</v>
      </c>
      <c r="Q201" s="116">
        <f t="shared" si="36"/>
        <v>1.682909340942</v>
      </c>
    </row>
    <row r="202" spans="2:33" x14ac:dyDescent="0.25">
      <c r="B202" s="42" t="str">
        <f>"Gas,"&amp; K146</f>
        <v>Gas,Label_B</v>
      </c>
      <c r="C202" s="116" t="s">
        <v>28</v>
      </c>
      <c r="D202" s="116">
        <f t="shared" si="35"/>
        <v>1.2021471500000001</v>
      </c>
      <c r="E202" s="116">
        <f t="shared" si="35"/>
        <v>0.58959211607999995</v>
      </c>
      <c r="F202" s="116">
        <f t="shared" si="35"/>
        <v>0.57225538677999999</v>
      </c>
      <c r="G202" s="116">
        <f t="shared" si="35"/>
        <v>0.54857725191999995</v>
      </c>
      <c r="H202" s="116">
        <f t="shared" si="35"/>
        <v>0.28779799046299998</v>
      </c>
      <c r="K202" s="116" t="str">
        <f>K146</f>
        <v>Label_B</v>
      </c>
      <c r="L202" s="116" t="s">
        <v>28</v>
      </c>
      <c r="M202" s="116">
        <f t="shared" si="36"/>
        <v>2.0064605150000001</v>
      </c>
      <c r="N202" s="116">
        <f t="shared" si="36"/>
        <v>1.0017116535799999</v>
      </c>
      <c r="O202" s="116">
        <f t="shared" si="36"/>
        <v>0.97336384807999998</v>
      </c>
      <c r="P202" s="116">
        <f t="shared" si="36"/>
        <v>0.93869013221999986</v>
      </c>
      <c r="Q202" s="116">
        <f t="shared" si="36"/>
        <v>0.899068233163</v>
      </c>
    </row>
    <row r="203" spans="2:33" x14ac:dyDescent="0.25">
      <c r="B203" s="42" t="str">
        <f>"Gas,"&amp; K147</f>
        <v>Gas,Label_A+</v>
      </c>
      <c r="C203" s="116" t="s">
        <v>28</v>
      </c>
      <c r="D203" s="116">
        <f t="shared" si="35"/>
        <v>1.2021471500000001</v>
      </c>
      <c r="E203" s="116">
        <f t="shared" si="35"/>
        <v>0.17438400007999999</v>
      </c>
      <c r="F203" s="116">
        <f t="shared" si="35"/>
        <v>0.13119313978</v>
      </c>
      <c r="G203" s="116">
        <f t="shared" si="35"/>
        <v>8.0627165520000002E-2</v>
      </c>
      <c r="H203" s="116">
        <f t="shared" si="35"/>
        <v>5.0213623393999998E-2</v>
      </c>
      <c r="K203" s="116" t="str">
        <f>K147</f>
        <v>Label_A+</v>
      </c>
      <c r="L203" s="116" t="s">
        <v>28</v>
      </c>
      <c r="M203" s="116">
        <f t="shared" si="36"/>
        <v>2.0064605150000001</v>
      </c>
      <c r="N203" s="116">
        <f t="shared" si="36"/>
        <v>0.63540102638000007</v>
      </c>
      <c r="O203" s="116">
        <f t="shared" si="36"/>
        <v>0.59966808488000001</v>
      </c>
      <c r="P203" s="116">
        <f t="shared" si="36"/>
        <v>0.57256203752000001</v>
      </c>
      <c r="Q203" s="116">
        <f t="shared" si="36"/>
        <v>0.54667826249399998</v>
      </c>
    </row>
    <row r="204" spans="2:33" x14ac:dyDescent="0.25">
      <c r="B204" s="42" t="str">
        <f>"Gas,"&amp; K148</f>
        <v>Gas,Label_A+_eWP</v>
      </c>
      <c r="C204" s="116" t="s">
        <v>28</v>
      </c>
      <c r="D204" s="116">
        <f t="shared" si="35"/>
        <v>1.2021471500000001</v>
      </c>
      <c r="E204" s="116">
        <f t="shared" si="35"/>
        <v>0</v>
      </c>
      <c r="F204" s="116">
        <f t="shared" si="35"/>
        <v>0</v>
      </c>
      <c r="G204" s="116">
        <f t="shared" si="35"/>
        <v>0</v>
      </c>
      <c r="H204" s="116">
        <f t="shared" si="35"/>
        <v>0</v>
      </c>
      <c r="K204" s="116" t="str">
        <f>K148</f>
        <v>Label_A+_eWP</v>
      </c>
      <c r="L204" s="116" t="s">
        <v>28</v>
      </c>
      <c r="M204" s="116">
        <f t="shared" si="36"/>
        <v>2.0064605150000001</v>
      </c>
      <c r="N204" s="116">
        <f t="shared" si="36"/>
        <v>0.80609087819999992</v>
      </c>
      <c r="O204" s="116">
        <f t="shared" si="36"/>
        <v>0.78390144519999994</v>
      </c>
      <c r="P204" s="116">
        <f t="shared" si="36"/>
        <v>0.75949081890000003</v>
      </c>
      <c r="Q204" s="116">
        <f t="shared" si="36"/>
        <v>0.71565536389999995</v>
      </c>
    </row>
    <row r="205" spans="2:33" x14ac:dyDescent="0.25">
      <c r="B205" s="42" t="str">
        <f>"Gas,"&amp; K149</f>
        <v>Gas,Label_B_WP2euro/m3</v>
      </c>
      <c r="C205" s="116" t="s">
        <v>28</v>
      </c>
      <c r="D205" s="116">
        <f t="shared" si="35"/>
        <v>1.2021471500000001</v>
      </c>
      <c r="E205" s="116">
        <f t="shared" si="35"/>
        <v>1.2415756200000001E-3</v>
      </c>
      <c r="F205" s="116">
        <f t="shared" si="35"/>
        <v>1.2085992099999999E-3</v>
      </c>
      <c r="G205" s="116">
        <f t="shared" si="35"/>
        <v>1.1757432699999999E-3</v>
      </c>
      <c r="H205" s="116">
        <f t="shared" si="35"/>
        <v>1.1413611500000001E-3</v>
      </c>
      <c r="K205" s="116" t="str">
        <f>K149</f>
        <v>Label_B_WP2euro/m3</v>
      </c>
      <c r="L205" s="116" t="s">
        <v>28</v>
      </c>
      <c r="M205" s="116">
        <f t="shared" si="36"/>
        <v>2.0064605150000001</v>
      </c>
      <c r="N205" s="116">
        <f t="shared" si="36"/>
        <v>0.99426130384599998</v>
      </c>
      <c r="O205" s="116">
        <f t="shared" si="36"/>
        <v>0.96783750601100016</v>
      </c>
      <c r="P205" s="116">
        <f t="shared" si="36"/>
        <v>0.941454083808</v>
      </c>
      <c r="Q205" s="116">
        <f t="shared" si="36"/>
        <v>0.91502888793900006</v>
      </c>
    </row>
    <row r="206" spans="2:33" x14ac:dyDescent="0.25">
      <c r="B206" s="42" t="str">
        <f>"Warmte,"&amp; K145</f>
        <v>Warmte,Referentie</v>
      </c>
      <c r="C206" s="116" t="s">
        <v>28</v>
      </c>
      <c r="D206" s="116">
        <f t="shared" ref="D206:H210" si="37">M153</f>
        <v>0.80431336499999995</v>
      </c>
      <c r="E206" s="116">
        <f t="shared" si="37"/>
        <v>0.85690436300000006</v>
      </c>
      <c r="F206" s="116">
        <f t="shared" si="37"/>
        <v>0.83339644249999989</v>
      </c>
      <c r="G206" s="116">
        <f t="shared" si="37"/>
        <v>1.1974776735000001</v>
      </c>
      <c r="H206" s="116">
        <f t="shared" si="37"/>
        <v>1.1416436103000001</v>
      </c>
    </row>
    <row r="207" spans="2:33" x14ac:dyDescent="0.25">
      <c r="B207" s="42" t="str">
        <f>"Warmte,"&amp; K146</f>
        <v>Warmte,Label_B</v>
      </c>
      <c r="C207" s="116" t="s">
        <v>28</v>
      </c>
      <c r="D207" s="116">
        <f t="shared" si="37"/>
        <v>0.80431336499999995</v>
      </c>
      <c r="E207" s="116">
        <f t="shared" si="37"/>
        <v>0.41211953749999997</v>
      </c>
      <c r="F207" s="116">
        <f t="shared" si="37"/>
        <v>0.40110846130000005</v>
      </c>
      <c r="G207" s="116">
        <f t="shared" si="37"/>
        <v>0.39011288029999996</v>
      </c>
      <c r="H207" s="116">
        <f t="shared" si="37"/>
        <v>0.61127024269999997</v>
      </c>
    </row>
    <row r="208" spans="2:33" x14ac:dyDescent="0.25">
      <c r="B208" s="42" t="str">
        <f>"Warmte,"&amp; K147</f>
        <v>Warmte,Label_A+</v>
      </c>
      <c r="C208" s="116" t="s">
        <v>28</v>
      </c>
      <c r="D208" s="116">
        <f t="shared" si="37"/>
        <v>0.80431336499999995</v>
      </c>
      <c r="E208" s="116">
        <f t="shared" si="37"/>
        <v>0.46101702630000002</v>
      </c>
      <c r="F208" s="116">
        <f t="shared" si="37"/>
        <v>0.46847494510000004</v>
      </c>
      <c r="G208" s="116">
        <f t="shared" si="37"/>
        <v>0.49193487200000002</v>
      </c>
      <c r="H208" s="116">
        <f t="shared" si="37"/>
        <v>0.49646463909999999</v>
      </c>
    </row>
    <row r="209" spans="2:8" x14ac:dyDescent="0.25">
      <c r="B209" s="42" t="str">
        <f>"Warmte,"&amp; K148</f>
        <v>Warmte,Label_A+_eWP</v>
      </c>
      <c r="C209" s="116" t="s">
        <v>28</v>
      </c>
      <c r="D209" s="116">
        <f t="shared" si="37"/>
        <v>0.80431336499999995</v>
      </c>
      <c r="E209" s="116">
        <f t="shared" si="37"/>
        <v>0.80609087819999992</v>
      </c>
      <c r="F209" s="116">
        <f t="shared" si="37"/>
        <v>0.78390144519999994</v>
      </c>
      <c r="G209" s="116">
        <f t="shared" si="37"/>
        <v>0.75949081890000003</v>
      </c>
      <c r="H209" s="116">
        <f t="shared" si="37"/>
        <v>0.71565536389999995</v>
      </c>
    </row>
    <row r="210" spans="2:8" x14ac:dyDescent="0.25">
      <c r="B210" s="42" t="str">
        <f>"Warmte,"&amp; K149</f>
        <v>Warmte,Label_B_WP2euro/m3</v>
      </c>
      <c r="C210" s="116" t="s">
        <v>28</v>
      </c>
      <c r="D210" s="116">
        <f t="shared" si="37"/>
        <v>0.80431336499999995</v>
      </c>
      <c r="E210" s="116">
        <f t="shared" si="37"/>
        <v>0.99301972822599993</v>
      </c>
      <c r="F210" s="116">
        <f t="shared" si="37"/>
        <v>0.96662890680100011</v>
      </c>
      <c r="G210" s="116">
        <f t="shared" si="37"/>
        <v>0.94027834053799997</v>
      </c>
      <c r="H210" s="116">
        <f t="shared" si="37"/>
        <v>0.91388752678900009</v>
      </c>
    </row>
  </sheetData>
  <customSheetViews>
    <customSheetView guid="{FE9E7DEF-61E7-497F-AA37-E5D7A2E31674}" scale="60" topLeftCell="AY73">
      <selection activeCell="CF128" sqref="CF128"/>
    </customSheetView>
  </customSheetView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2:CG131"/>
  <sheetViews>
    <sheetView zoomScale="60" zoomScaleNormal="60" workbookViewId="0">
      <selection activeCell="Y89" sqref="Y89"/>
    </sheetView>
  </sheetViews>
  <sheetFormatPr defaultRowHeight="15" x14ac:dyDescent="0.25"/>
  <cols>
    <col min="2" max="2" width="26.140625" customWidth="1"/>
    <col min="3" max="5" width="8.7109375" bestFit="1" customWidth="1"/>
    <col min="6" max="6" width="9" bestFit="1" customWidth="1"/>
    <col min="7" max="7" width="14.42578125" customWidth="1"/>
    <col min="8" max="8" width="8.7109375" bestFit="1" customWidth="1"/>
    <col min="9" max="9" width="9.85546875" bestFit="1" customWidth="1"/>
    <col min="10" max="10" width="14.85546875" bestFit="1" customWidth="1"/>
    <col min="11" max="11" width="11.85546875" bestFit="1" customWidth="1"/>
    <col min="12" max="13" width="14" bestFit="1" customWidth="1"/>
    <col min="14" max="14" width="8.7109375" bestFit="1" customWidth="1"/>
    <col min="15" max="15" width="10.42578125" bestFit="1" customWidth="1"/>
    <col min="16" max="16" width="9.85546875" bestFit="1" customWidth="1"/>
    <col min="17" max="17" width="9.7109375" bestFit="1" customWidth="1"/>
    <col min="19" max="19" width="26.140625" customWidth="1"/>
    <col min="20" max="22" width="8.7109375" bestFit="1" customWidth="1"/>
    <col min="23" max="23" width="9" bestFit="1" customWidth="1"/>
    <col min="24" max="24" width="14.42578125" customWidth="1"/>
    <col min="25" max="25" width="8.7109375" bestFit="1" customWidth="1"/>
    <col min="26" max="26" width="9.85546875" bestFit="1" customWidth="1"/>
    <col min="27" max="27" width="14.85546875" bestFit="1" customWidth="1"/>
    <col min="28" max="28" width="11.85546875" bestFit="1" customWidth="1"/>
    <col min="29" max="30" width="14" bestFit="1" customWidth="1"/>
    <col min="31" max="31" width="8.7109375" bestFit="1" customWidth="1"/>
    <col min="32" max="32" width="10.42578125" bestFit="1" customWidth="1"/>
    <col min="33" max="33" width="9.85546875" bestFit="1" customWidth="1"/>
    <col min="34" max="34" width="9.7109375" bestFit="1" customWidth="1"/>
    <col min="35" max="35" width="9.7109375" customWidth="1"/>
    <col min="36" max="36" width="26.140625" customWidth="1"/>
    <col min="37" max="39" width="8.7109375" bestFit="1" customWidth="1"/>
    <col min="40" max="40" width="9" bestFit="1" customWidth="1"/>
    <col min="41" max="41" width="14.42578125" customWidth="1"/>
    <col min="42" max="42" width="8.7109375" bestFit="1" customWidth="1"/>
    <col min="43" max="43" width="9.85546875" bestFit="1" customWidth="1"/>
    <col min="44" max="44" width="14.85546875" bestFit="1" customWidth="1"/>
    <col min="45" max="45" width="11.85546875" bestFit="1" customWidth="1"/>
    <col min="46" max="47" width="14" bestFit="1" customWidth="1"/>
    <col min="48" max="48" width="8.7109375" bestFit="1" customWidth="1"/>
    <col min="49" max="49" width="10.42578125" bestFit="1" customWidth="1"/>
    <col min="50" max="50" width="9.85546875" bestFit="1" customWidth="1"/>
    <col min="51" max="51" width="9.7109375" bestFit="1" customWidth="1"/>
    <col min="52" max="52" width="9.7109375" customWidth="1"/>
    <col min="53" max="53" width="26.140625" customWidth="1"/>
    <col min="54" max="56" width="8.7109375" bestFit="1" customWidth="1"/>
    <col min="57" max="57" width="9" bestFit="1" customWidth="1"/>
    <col min="58" max="58" width="14.42578125" customWidth="1"/>
    <col min="59" max="59" width="8.7109375" bestFit="1" customWidth="1"/>
    <col min="60" max="60" width="9.85546875" bestFit="1" customWidth="1"/>
    <col min="61" max="61" width="14.85546875" bestFit="1" customWidth="1"/>
    <col min="62" max="62" width="11.85546875" bestFit="1" customWidth="1"/>
    <col min="63" max="64" width="14" bestFit="1" customWidth="1"/>
    <col min="65" max="65" width="8.7109375" bestFit="1" customWidth="1"/>
    <col min="66" max="66" width="10.42578125" bestFit="1" customWidth="1"/>
    <col min="67" max="67" width="9.85546875" bestFit="1" customWidth="1"/>
    <col min="68" max="68" width="9.7109375" bestFit="1" customWidth="1"/>
    <col min="69" max="69" width="9.7109375" customWidth="1"/>
    <col min="70" max="70" width="26.140625" customWidth="1"/>
    <col min="71" max="73" width="8.7109375" bestFit="1" customWidth="1"/>
    <col min="74" max="74" width="9" bestFit="1" customWidth="1"/>
    <col min="75" max="75" width="14.42578125" customWidth="1"/>
    <col min="76" max="76" width="8.7109375" bestFit="1" customWidth="1"/>
    <col min="77" max="77" width="9.85546875" bestFit="1" customWidth="1"/>
    <col min="78" max="78" width="14.85546875" bestFit="1" customWidth="1"/>
    <col min="79" max="79" width="11.85546875" bestFit="1" customWidth="1"/>
    <col min="80" max="81" width="14" bestFit="1" customWidth="1"/>
    <col min="82" max="82" width="8.7109375" bestFit="1" customWidth="1"/>
    <col min="83" max="83" width="10.42578125" bestFit="1" customWidth="1"/>
    <col min="84" max="84" width="9.85546875" bestFit="1" customWidth="1"/>
    <col min="85" max="85" width="9.7109375" bestFit="1" customWidth="1"/>
  </cols>
  <sheetData>
    <row r="2" spans="1:85" x14ac:dyDescent="0.25">
      <c r="B2" t="s">
        <v>0</v>
      </c>
      <c r="T2">
        <f>Modeloutput!B259/1000</f>
        <v>0</v>
      </c>
      <c r="AK2">
        <f>Modeloutput!B514/1000</f>
        <v>0</v>
      </c>
      <c r="BS2">
        <f>Modeloutput!B1024/1000</f>
        <v>0</v>
      </c>
    </row>
    <row r="3" spans="1:85" x14ac:dyDescent="0.25">
      <c r="B3" s="2" t="s">
        <v>17</v>
      </c>
      <c r="T3">
        <f>Modeloutput!B310/1000</f>
        <v>0</v>
      </c>
      <c r="AK3">
        <f>Modeloutput!B565/1000</f>
        <v>0</v>
      </c>
      <c r="BB3">
        <f>Modeloutput!B769/1000</f>
        <v>0</v>
      </c>
      <c r="BS3">
        <f>Modeloutput!B1075/1000</f>
        <v>0</v>
      </c>
    </row>
    <row r="4" spans="1:85" x14ac:dyDescent="0.25">
      <c r="B4" s="3" t="s">
        <v>17</v>
      </c>
      <c r="T4">
        <f>Modeloutput!B361/1000</f>
        <v>0</v>
      </c>
      <c r="AK4">
        <f>Modeloutput!B616/1000</f>
        <v>0</v>
      </c>
      <c r="BB4">
        <f>Modeloutput!B820/1000</f>
        <v>0</v>
      </c>
      <c r="BS4">
        <f>Modeloutput!B1126/1000</f>
        <v>0</v>
      </c>
    </row>
    <row r="5" spans="1:85" x14ac:dyDescent="0.25">
      <c r="T5">
        <f>Modeloutput!B412/1000</f>
        <v>0</v>
      </c>
      <c r="AK5">
        <f>Modeloutput!B667/1000</f>
        <v>0</v>
      </c>
      <c r="BB5">
        <f>Modeloutput!B871/1000</f>
        <v>0</v>
      </c>
      <c r="BS5">
        <f>Modeloutput!B1177/1000</f>
        <v>0</v>
      </c>
    </row>
    <row r="6" spans="1:85" ht="26.25" x14ac:dyDescent="0.4">
      <c r="B6" s="6" t="str">
        <f>Cost_Flow!B6</f>
        <v>ReferentieUtrecht</v>
      </c>
      <c r="S6" s="6" t="str">
        <f>Cost_Flow!S6</f>
        <v>Utrecht_Label B</v>
      </c>
      <c r="T6">
        <f>Modeloutput!B463/1000</f>
        <v>0</v>
      </c>
      <c r="AJ6" s="6" t="str">
        <f>Cost_Flow!AJ6</f>
        <v>Utrecht_Label Aplus</v>
      </c>
      <c r="AK6">
        <f>Modeloutput!B718/1000</f>
        <v>0</v>
      </c>
      <c r="BA6" s="6" t="str">
        <f>Cost_Flow!BA6</f>
        <v>Utrecht_Label Aplus, met eWP</v>
      </c>
      <c r="BB6">
        <f>Modeloutput!B922/1000</f>
        <v>0</v>
      </c>
      <c r="BR6" s="6" t="str">
        <f>Cost_Flow!BR6</f>
        <v>Utrecht_Label B_Warmtenetten</v>
      </c>
      <c r="BS6">
        <f>Modeloutput!B1228/1000</f>
        <v>0</v>
      </c>
    </row>
    <row r="7" spans="1:85" ht="21" x14ac:dyDescent="0.35">
      <c r="A7" s="5">
        <v>2010</v>
      </c>
      <c r="R7" s="5">
        <v>2010</v>
      </c>
      <c r="AI7" s="5">
        <v>2010</v>
      </c>
      <c r="AZ7" s="5">
        <v>2010</v>
      </c>
      <c r="BB7">
        <f>Modeloutput!B973/1000</f>
        <v>0</v>
      </c>
      <c r="BQ7" s="5">
        <v>2010</v>
      </c>
    </row>
    <row r="8" spans="1:85" x14ac:dyDescent="0.25">
      <c r="B8" s="4" t="str">
        <f>$B$6</f>
        <v>ReferentieUtrecht</v>
      </c>
      <c r="S8" s="4" t="str">
        <f>$S$6</f>
        <v>Utrecht_Label B</v>
      </c>
      <c r="T8" s="4"/>
      <c r="AJ8" s="4" t="str">
        <f>AJ$6</f>
        <v>Utrecht_Label Aplus</v>
      </c>
      <c r="BA8" s="4" t="str">
        <f>BA$6</f>
        <v>Utrecht_Label Aplus, met eWP</v>
      </c>
      <c r="BR8" s="4" t="str">
        <f>BR$6</f>
        <v>Utrecht_Label B_Warmtenetten</v>
      </c>
    </row>
    <row r="9" spans="1:85" x14ac:dyDescent="0.25">
      <c r="C9" s="1" t="s">
        <v>18</v>
      </c>
      <c r="D9" s="1" t="s">
        <v>19</v>
      </c>
      <c r="E9" s="1" t="s">
        <v>20</v>
      </c>
      <c r="F9" s="1" t="s">
        <v>21</v>
      </c>
      <c r="G9" s="1" t="s">
        <v>22</v>
      </c>
      <c r="H9" s="1" t="s">
        <v>23</v>
      </c>
      <c r="I9" s="1" t="s">
        <v>24</v>
      </c>
      <c r="J9" s="1" t="s">
        <v>25</v>
      </c>
      <c r="K9" s="1" t="s">
        <v>26</v>
      </c>
      <c r="L9" s="1" t="s">
        <v>5</v>
      </c>
      <c r="M9" s="1" t="s">
        <v>6</v>
      </c>
      <c r="N9" s="1" t="s">
        <v>7</v>
      </c>
      <c r="O9" s="1" t="s">
        <v>8</v>
      </c>
      <c r="P9" s="1" t="s">
        <v>9</v>
      </c>
      <c r="Q9" s="1" t="s">
        <v>27</v>
      </c>
      <c r="T9" s="1" t="s">
        <v>18</v>
      </c>
      <c r="U9" s="1" t="s">
        <v>19</v>
      </c>
      <c r="V9" s="1" t="s">
        <v>20</v>
      </c>
      <c r="W9" s="1" t="s">
        <v>21</v>
      </c>
      <c r="X9" s="1" t="s">
        <v>22</v>
      </c>
      <c r="Y9" s="1" t="s">
        <v>23</v>
      </c>
      <c r="Z9" s="1" t="s">
        <v>24</v>
      </c>
      <c r="AA9" s="1" t="s">
        <v>25</v>
      </c>
      <c r="AB9" s="1" t="s">
        <v>26</v>
      </c>
      <c r="AC9" s="1" t="s">
        <v>5</v>
      </c>
      <c r="AD9" s="1" t="s">
        <v>6</v>
      </c>
      <c r="AE9" s="1" t="s">
        <v>7</v>
      </c>
      <c r="AF9" s="1" t="s">
        <v>8</v>
      </c>
      <c r="AG9" s="1" t="s">
        <v>9</v>
      </c>
      <c r="AH9" s="1" t="s">
        <v>27</v>
      </c>
      <c r="AK9" s="1" t="s">
        <v>18</v>
      </c>
      <c r="AL9" s="1" t="s">
        <v>19</v>
      </c>
      <c r="AM9" s="1" t="s">
        <v>20</v>
      </c>
      <c r="AN9" s="1" t="s">
        <v>21</v>
      </c>
      <c r="AO9" s="1" t="s">
        <v>22</v>
      </c>
      <c r="AP9" s="1" t="s">
        <v>23</v>
      </c>
      <c r="AQ9" s="1" t="s">
        <v>24</v>
      </c>
      <c r="AR9" s="1" t="s">
        <v>25</v>
      </c>
      <c r="AS9" s="1" t="s">
        <v>26</v>
      </c>
      <c r="AT9" s="1" t="s">
        <v>5</v>
      </c>
      <c r="AU9" s="1" t="s">
        <v>6</v>
      </c>
      <c r="AV9" s="1" t="s">
        <v>7</v>
      </c>
      <c r="AW9" s="1" t="s">
        <v>8</v>
      </c>
      <c r="AX9" s="1" t="s">
        <v>9</v>
      </c>
      <c r="AY9" s="1" t="s">
        <v>27</v>
      </c>
      <c r="BB9" s="1" t="s">
        <v>18</v>
      </c>
      <c r="BC9" s="1" t="s">
        <v>19</v>
      </c>
      <c r="BD9" s="1" t="s">
        <v>20</v>
      </c>
      <c r="BE9" s="1" t="s">
        <v>21</v>
      </c>
      <c r="BF9" s="1" t="s">
        <v>22</v>
      </c>
      <c r="BG9" s="1" t="s">
        <v>23</v>
      </c>
      <c r="BH9" s="1" t="s">
        <v>24</v>
      </c>
      <c r="BI9" s="1" t="s">
        <v>25</v>
      </c>
      <c r="BJ9" s="1" t="s">
        <v>26</v>
      </c>
      <c r="BK9" s="1" t="s">
        <v>5</v>
      </c>
      <c r="BL9" s="1" t="s">
        <v>6</v>
      </c>
      <c r="BM9" s="1" t="s">
        <v>7</v>
      </c>
      <c r="BN9" s="1" t="s">
        <v>8</v>
      </c>
      <c r="BO9" s="1" t="s">
        <v>9</v>
      </c>
      <c r="BP9" s="1" t="s">
        <v>27</v>
      </c>
      <c r="BS9" s="1" t="s">
        <v>18</v>
      </c>
      <c r="BT9" s="1" t="s">
        <v>19</v>
      </c>
      <c r="BU9" s="1" t="s">
        <v>20</v>
      </c>
      <c r="BV9" s="1" t="s">
        <v>21</v>
      </c>
      <c r="BW9" s="1" t="s">
        <v>22</v>
      </c>
      <c r="BX9" s="1" t="s">
        <v>23</v>
      </c>
      <c r="BY9" s="1" t="s">
        <v>24</v>
      </c>
      <c r="BZ9" s="1" t="s">
        <v>25</v>
      </c>
      <c r="CA9" s="1" t="s">
        <v>26</v>
      </c>
      <c r="CB9" s="1" t="s">
        <v>5</v>
      </c>
      <c r="CC9" s="1" t="s">
        <v>6</v>
      </c>
      <c r="CD9" s="1" t="s">
        <v>7</v>
      </c>
      <c r="CE9" s="1" t="s">
        <v>8</v>
      </c>
      <c r="CF9" s="1" t="s">
        <v>9</v>
      </c>
      <c r="CG9" s="1" t="s">
        <v>27</v>
      </c>
    </row>
    <row r="10" spans="1:85" x14ac:dyDescent="0.25">
      <c r="C10" s="1" t="s">
        <v>30</v>
      </c>
      <c r="D10" s="1" t="s">
        <v>30</v>
      </c>
      <c r="E10" s="1" t="s">
        <v>30</v>
      </c>
      <c r="F10" s="1" t="s">
        <v>30</v>
      </c>
      <c r="G10" s="1" t="s">
        <v>30</v>
      </c>
      <c r="H10" s="1" t="s">
        <v>30</v>
      </c>
      <c r="I10" s="1" t="s">
        <v>30</v>
      </c>
      <c r="J10" s="1" t="s">
        <v>30</v>
      </c>
      <c r="K10" s="1" t="s">
        <v>30</v>
      </c>
      <c r="L10" s="1" t="s">
        <v>30</v>
      </c>
      <c r="M10" s="1" t="s">
        <v>30</v>
      </c>
      <c r="N10" s="1" t="s">
        <v>30</v>
      </c>
      <c r="O10" s="1" t="s">
        <v>30</v>
      </c>
      <c r="P10" s="1" t="s">
        <v>30</v>
      </c>
      <c r="Q10" s="1" t="s">
        <v>30</v>
      </c>
      <c r="T10" s="1" t="s">
        <v>30</v>
      </c>
      <c r="U10" s="1" t="s">
        <v>30</v>
      </c>
      <c r="V10" s="1" t="s">
        <v>30</v>
      </c>
      <c r="W10" s="1" t="s">
        <v>30</v>
      </c>
      <c r="X10" s="1" t="s">
        <v>30</v>
      </c>
      <c r="Y10" s="1" t="s">
        <v>30</v>
      </c>
      <c r="Z10" s="1" t="s">
        <v>30</v>
      </c>
      <c r="AA10" s="1" t="s">
        <v>30</v>
      </c>
      <c r="AB10" s="1" t="s">
        <v>30</v>
      </c>
      <c r="AC10" s="1" t="s">
        <v>30</v>
      </c>
      <c r="AD10" s="1" t="s">
        <v>30</v>
      </c>
      <c r="AE10" s="1" t="s">
        <v>30</v>
      </c>
      <c r="AF10" s="1" t="s">
        <v>30</v>
      </c>
      <c r="AG10" s="1" t="s">
        <v>30</v>
      </c>
      <c r="AH10" s="1" t="s">
        <v>30</v>
      </c>
      <c r="AK10" s="1" t="s">
        <v>30</v>
      </c>
      <c r="AL10" s="1" t="s">
        <v>30</v>
      </c>
      <c r="AM10" s="1" t="s">
        <v>30</v>
      </c>
      <c r="AN10" s="1" t="s">
        <v>30</v>
      </c>
      <c r="AO10" s="1" t="s">
        <v>30</v>
      </c>
      <c r="AP10" s="1" t="s">
        <v>30</v>
      </c>
      <c r="AQ10" s="1" t="s">
        <v>30</v>
      </c>
      <c r="AR10" s="1" t="s">
        <v>30</v>
      </c>
      <c r="AS10" s="1" t="s">
        <v>30</v>
      </c>
      <c r="AT10" s="1" t="s">
        <v>30</v>
      </c>
      <c r="AU10" s="1" t="s">
        <v>30</v>
      </c>
      <c r="AV10" s="1" t="s">
        <v>30</v>
      </c>
      <c r="AW10" s="1" t="s">
        <v>30</v>
      </c>
      <c r="AX10" s="1" t="s">
        <v>30</v>
      </c>
      <c r="AY10" s="1" t="s">
        <v>30</v>
      </c>
      <c r="BB10" s="1" t="s">
        <v>30</v>
      </c>
      <c r="BC10" s="1" t="s">
        <v>30</v>
      </c>
      <c r="BD10" s="1" t="s">
        <v>30</v>
      </c>
      <c r="BE10" s="1" t="s">
        <v>30</v>
      </c>
      <c r="BF10" s="1" t="s">
        <v>30</v>
      </c>
      <c r="BG10" s="1" t="s">
        <v>30</v>
      </c>
      <c r="BH10" s="1" t="s">
        <v>30</v>
      </c>
      <c r="BI10" s="1" t="s">
        <v>30</v>
      </c>
      <c r="BJ10" s="1" t="s">
        <v>30</v>
      </c>
      <c r="BK10" s="1" t="s">
        <v>30</v>
      </c>
      <c r="BL10" s="1" t="s">
        <v>30</v>
      </c>
      <c r="BM10" s="1" t="s">
        <v>30</v>
      </c>
      <c r="BN10" s="1" t="s">
        <v>30</v>
      </c>
      <c r="BO10" s="1" t="s">
        <v>30</v>
      </c>
      <c r="BP10" s="1" t="s">
        <v>30</v>
      </c>
      <c r="BS10" s="1" t="s">
        <v>30</v>
      </c>
      <c r="BT10" s="1" t="s">
        <v>30</v>
      </c>
      <c r="BU10" s="1" t="s">
        <v>30</v>
      </c>
      <c r="BV10" s="1" t="s">
        <v>30</v>
      </c>
      <c r="BW10" s="1" t="s">
        <v>30</v>
      </c>
      <c r="BX10" s="1" t="s">
        <v>30</v>
      </c>
      <c r="BY10" s="1" t="s">
        <v>30</v>
      </c>
      <c r="BZ10" s="1" t="s">
        <v>30</v>
      </c>
      <c r="CA10" s="1" t="s">
        <v>30</v>
      </c>
      <c r="CB10" s="1" t="s">
        <v>30</v>
      </c>
      <c r="CC10" s="1" t="s">
        <v>30</v>
      </c>
      <c r="CD10" s="1" t="s">
        <v>30</v>
      </c>
      <c r="CE10" s="1" t="s">
        <v>30</v>
      </c>
      <c r="CF10" s="1" t="s">
        <v>30</v>
      </c>
      <c r="CG10" s="1" t="s">
        <v>30</v>
      </c>
    </row>
    <row r="11" spans="1:85" s="7" customFormat="1" x14ac:dyDescent="0.25">
      <c r="B11" s="7" t="s">
        <v>1</v>
      </c>
      <c r="C11" s="93">
        <f>Modeloutput!B4/1000</f>
        <v>0</v>
      </c>
      <c r="D11" s="93">
        <f>Modeloutput!C4/1000</f>
        <v>0</v>
      </c>
      <c r="E11" s="93">
        <f>Modeloutput!D4/1000</f>
        <v>0</v>
      </c>
      <c r="F11" s="93">
        <f>Modeloutput!E4/1000</f>
        <v>0</v>
      </c>
      <c r="G11" s="93">
        <f>Modeloutput!F4/1000</f>
        <v>0</v>
      </c>
      <c r="H11" s="93">
        <f>Modeloutput!G4/1000</f>
        <v>0</v>
      </c>
      <c r="I11" s="93">
        <f>Modeloutput!H4/1000</f>
        <v>0</v>
      </c>
      <c r="J11" s="93">
        <f>Modeloutput!I4/1000</f>
        <v>0</v>
      </c>
      <c r="K11" s="93">
        <f>Modeloutput!J4/1000</f>
        <v>0</v>
      </c>
      <c r="L11" s="93">
        <f>Modeloutput!K4/1000</f>
        <v>0</v>
      </c>
      <c r="M11" s="93">
        <f>Modeloutput!L4/1000</f>
        <v>0</v>
      </c>
      <c r="N11" s="93">
        <f>Modeloutput!M4/1000</f>
        <v>0</v>
      </c>
      <c r="O11" s="93">
        <f>Modeloutput!N4/1000</f>
        <v>0</v>
      </c>
      <c r="P11" s="93">
        <f>Modeloutput!O4/1000</f>
        <v>0</v>
      </c>
      <c r="Q11" s="93">
        <f>Modeloutput!P4/1000</f>
        <v>0</v>
      </c>
      <c r="S11" s="7" t="s">
        <v>1</v>
      </c>
      <c r="T11" s="93">
        <f>Modeloutput!B259/1000</f>
        <v>0</v>
      </c>
      <c r="U11" s="93">
        <f>Modeloutput!C259/1000</f>
        <v>0</v>
      </c>
      <c r="V11" s="93">
        <f>Modeloutput!D259/1000</f>
        <v>0</v>
      </c>
      <c r="W11" s="93">
        <f>Modeloutput!E259/1000</f>
        <v>0</v>
      </c>
      <c r="X11" s="93">
        <f>Modeloutput!F259/1000</f>
        <v>0</v>
      </c>
      <c r="Y11" s="93">
        <f>Modeloutput!G259/1000</f>
        <v>0</v>
      </c>
      <c r="Z11" s="93">
        <f>Modeloutput!H259/1000</f>
        <v>0</v>
      </c>
      <c r="AA11" s="93">
        <f>Modeloutput!I259/1000</f>
        <v>0</v>
      </c>
      <c r="AB11" s="93">
        <f>Modeloutput!J259/1000</f>
        <v>0</v>
      </c>
      <c r="AC11" s="93">
        <f>Modeloutput!K259/1000</f>
        <v>0</v>
      </c>
      <c r="AD11" s="93">
        <f>Modeloutput!L259/1000</f>
        <v>0</v>
      </c>
      <c r="AE11" s="93">
        <f>Modeloutput!M259/1000</f>
        <v>0</v>
      </c>
      <c r="AF11" s="93">
        <f>Modeloutput!N259/1000</f>
        <v>0</v>
      </c>
      <c r="AG11" s="93">
        <f>Modeloutput!O259/1000</f>
        <v>0</v>
      </c>
      <c r="AH11" s="93">
        <f>Modeloutput!P259/1000</f>
        <v>0</v>
      </c>
      <c r="AJ11" s="7" t="s">
        <v>1</v>
      </c>
      <c r="AK11" s="93">
        <f>Modeloutput!B514/1000</f>
        <v>0</v>
      </c>
      <c r="AL11" s="93">
        <f>Modeloutput!C514/1000</f>
        <v>0</v>
      </c>
      <c r="AM11" s="93">
        <f>Modeloutput!D514/1000</f>
        <v>0</v>
      </c>
      <c r="AN11" s="93">
        <f>Modeloutput!E514/1000</f>
        <v>0</v>
      </c>
      <c r="AO11" s="93">
        <f>Modeloutput!F514/1000</f>
        <v>0</v>
      </c>
      <c r="AP11" s="93">
        <f>Modeloutput!G514/1000</f>
        <v>0</v>
      </c>
      <c r="AQ11" s="93">
        <f>Modeloutput!H514/1000</f>
        <v>0</v>
      </c>
      <c r="AR11" s="93">
        <f>Modeloutput!I514/1000</f>
        <v>0</v>
      </c>
      <c r="AS11" s="93">
        <f>Modeloutput!J514/1000</f>
        <v>0</v>
      </c>
      <c r="AT11" s="93">
        <f>Modeloutput!K514/1000</f>
        <v>0</v>
      </c>
      <c r="AU11" s="93">
        <f>Modeloutput!L514/1000</f>
        <v>0</v>
      </c>
      <c r="AV11" s="93">
        <f>Modeloutput!M514/1000</f>
        <v>0</v>
      </c>
      <c r="AW11" s="93">
        <f>Modeloutput!N514/1000</f>
        <v>0</v>
      </c>
      <c r="AX11" s="93">
        <f>Modeloutput!O514/1000</f>
        <v>0</v>
      </c>
      <c r="AY11" s="93">
        <f>Modeloutput!P514/1000</f>
        <v>0</v>
      </c>
      <c r="BA11" s="7" t="s">
        <v>1</v>
      </c>
      <c r="BB11" s="93">
        <f>Modeloutput!B769/1000</f>
        <v>0</v>
      </c>
      <c r="BC11" s="93">
        <f>Modeloutput!C769/1000</f>
        <v>0</v>
      </c>
      <c r="BD11" s="93">
        <f>Modeloutput!D769/1000</f>
        <v>0</v>
      </c>
      <c r="BE11" s="93">
        <f>Modeloutput!E769/1000</f>
        <v>0</v>
      </c>
      <c r="BF11" s="93">
        <f>Modeloutput!F769/1000</f>
        <v>0</v>
      </c>
      <c r="BG11" s="93">
        <f>Modeloutput!G769/1000</f>
        <v>0</v>
      </c>
      <c r="BH11" s="93">
        <f>Modeloutput!H769/1000</f>
        <v>0</v>
      </c>
      <c r="BI11" s="93">
        <f>Modeloutput!I769/1000</f>
        <v>0</v>
      </c>
      <c r="BJ11" s="93">
        <f>Modeloutput!J769/1000</f>
        <v>0</v>
      </c>
      <c r="BK11" s="93">
        <f>Modeloutput!K769/1000</f>
        <v>0</v>
      </c>
      <c r="BL11" s="93">
        <f>Modeloutput!L769/1000</f>
        <v>0</v>
      </c>
      <c r="BM11" s="93">
        <f>Modeloutput!M769/1000</f>
        <v>0</v>
      </c>
      <c r="BN11" s="93">
        <f>Modeloutput!N769/1000</f>
        <v>0</v>
      </c>
      <c r="BO11" s="93">
        <f>Modeloutput!O769/1000</f>
        <v>0</v>
      </c>
      <c r="BP11" s="93">
        <f>Modeloutput!P769/1000</f>
        <v>0</v>
      </c>
      <c r="BR11" s="7" t="s">
        <v>1</v>
      </c>
      <c r="BS11" s="93">
        <f>Modeloutput!B1024/1000</f>
        <v>0</v>
      </c>
      <c r="BT11" s="93">
        <f>Modeloutput!C1024/1000</f>
        <v>0</v>
      </c>
      <c r="BU11" s="93">
        <f>Modeloutput!D1024/1000</f>
        <v>0</v>
      </c>
      <c r="BV11" s="93">
        <f>Modeloutput!E1024/1000</f>
        <v>0</v>
      </c>
      <c r="BW11" s="93">
        <f>Modeloutput!F1024/1000</f>
        <v>0</v>
      </c>
      <c r="BX11" s="93">
        <f>Modeloutput!G1024/1000</f>
        <v>0</v>
      </c>
      <c r="BY11" s="93">
        <f>Modeloutput!H1024/1000</f>
        <v>0</v>
      </c>
      <c r="BZ11" s="93">
        <f>Modeloutput!I1024/1000</f>
        <v>0</v>
      </c>
      <c r="CA11" s="93">
        <f>Modeloutput!J1024/1000</f>
        <v>0</v>
      </c>
      <c r="CB11" s="93">
        <f>Modeloutput!K1024/1000</f>
        <v>0</v>
      </c>
      <c r="CC11" s="93">
        <f>Modeloutput!L1024/1000</f>
        <v>0</v>
      </c>
      <c r="CD11" s="93">
        <f>Modeloutput!M1024/1000</f>
        <v>0</v>
      </c>
      <c r="CE11" s="93">
        <f>Modeloutput!N1024/1000</f>
        <v>0</v>
      </c>
      <c r="CF11" s="93">
        <f>Modeloutput!O1024/1000</f>
        <v>0</v>
      </c>
      <c r="CG11" s="93">
        <f>Modeloutput!P1024/1000</f>
        <v>0</v>
      </c>
    </row>
    <row r="12" spans="1:85" s="7" customFormat="1" x14ac:dyDescent="0.25">
      <c r="B12" s="7" t="s">
        <v>2</v>
      </c>
      <c r="C12" s="93">
        <f>Modeloutput!B5/1000</f>
        <v>0</v>
      </c>
      <c r="D12" s="93">
        <f>Modeloutput!C5/1000</f>
        <v>0</v>
      </c>
      <c r="E12" s="93">
        <f>Modeloutput!D5/1000</f>
        <v>0</v>
      </c>
      <c r="F12" s="94">
        <f>Modeloutput!E5/1000</f>
        <v>0</v>
      </c>
      <c r="G12" s="94">
        <f>Modeloutput!F5/1000</f>
        <v>0</v>
      </c>
      <c r="H12" s="94">
        <f>Modeloutput!G5/1000</f>
        <v>0</v>
      </c>
      <c r="I12" s="94">
        <f>Modeloutput!H5/1000</f>
        <v>0</v>
      </c>
      <c r="J12" s="94">
        <f>Modeloutput!I5/1000</f>
        <v>0</v>
      </c>
      <c r="K12" s="94">
        <f>Modeloutput!J5/1000</f>
        <v>0</v>
      </c>
      <c r="L12" s="95">
        <f>Modeloutput!K5/1000</f>
        <v>0</v>
      </c>
      <c r="M12" s="95">
        <f>Modeloutput!L5/1000</f>
        <v>0</v>
      </c>
      <c r="N12" s="95">
        <f>Modeloutput!M5/1000</f>
        <v>0</v>
      </c>
      <c r="O12" s="95">
        <f>Modeloutput!N5/1000</f>
        <v>0</v>
      </c>
      <c r="P12" s="95">
        <f>Modeloutput!O5/1000</f>
        <v>0</v>
      </c>
      <c r="Q12" s="93">
        <f>Modeloutput!P5/1000</f>
        <v>0</v>
      </c>
      <c r="S12" s="7" t="s">
        <v>2</v>
      </c>
      <c r="T12" s="93">
        <f>Modeloutput!B260/1000</f>
        <v>0</v>
      </c>
      <c r="U12" s="93">
        <f>Modeloutput!C260/1000</f>
        <v>0</v>
      </c>
      <c r="V12" s="93">
        <f>Modeloutput!D260/1000</f>
        <v>0</v>
      </c>
      <c r="W12" s="94">
        <f>Modeloutput!E260/1000</f>
        <v>0</v>
      </c>
      <c r="X12" s="94">
        <f>Modeloutput!F260/1000</f>
        <v>0</v>
      </c>
      <c r="Y12" s="94">
        <f>Modeloutput!G260/1000</f>
        <v>0</v>
      </c>
      <c r="Z12" s="94">
        <f>Modeloutput!H260/1000</f>
        <v>0</v>
      </c>
      <c r="AA12" s="94">
        <f>Modeloutput!I260/1000</f>
        <v>0</v>
      </c>
      <c r="AB12" s="94">
        <f>Modeloutput!J260/1000</f>
        <v>0</v>
      </c>
      <c r="AC12" s="95">
        <f>Modeloutput!K260/1000</f>
        <v>0</v>
      </c>
      <c r="AD12" s="95">
        <f>Modeloutput!L260/1000</f>
        <v>0</v>
      </c>
      <c r="AE12" s="95">
        <f>Modeloutput!M260/1000</f>
        <v>0</v>
      </c>
      <c r="AF12" s="95">
        <f>Modeloutput!N260/1000</f>
        <v>0</v>
      </c>
      <c r="AG12" s="95">
        <f>Modeloutput!O260/1000</f>
        <v>0</v>
      </c>
      <c r="AH12" s="93">
        <f>Modeloutput!P260/1000</f>
        <v>0</v>
      </c>
      <c r="AJ12" s="7" t="s">
        <v>2</v>
      </c>
      <c r="AK12" s="93">
        <f>Modeloutput!B515/1000</f>
        <v>0</v>
      </c>
      <c r="AL12" s="93">
        <f>Modeloutput!C515/1000</f>
        <v>0</v>
      </c>
      <c r="AM12" s="93">
        <f>Modeloutput!D515/1000</f>
        <v>0</v>
      </c>
      <c r="AN12" s="94">
        <f>Modeloutput!E515/1000</f>
        <v>0</v>
      </c>
      <c r="AO12" s="94">
        <f>Modeloutput!F515/1000</f>
        <v>0</v>
      </c>
      <c r="AP12" s="94">
        <f>Modeloutput!G515/1000</f>
        <v>0</v>
      </c>
      <c r="AQ12" s="94">
        <f>Modeloutput!H515/1000</f>
        <v>0</v>
      </c>
      <c r="AR12" s="94">
        <f>Modeloutput!I515/1000</f>
        <v>0</v>
      </c>
      <c r="AS12" s="94">
        <f>Modeloutput!J515/1000</f>
        <v>0</v>
      </c>
      <c r="AT12" s="95">
        <f>Modeloutput!K515/1000</f>
        <v>0</v>
      </c>
      <c r="AU12" s="95">
        <f>Modeloutput!L515/1000</f>
        <v>0</v>
      </c>
      <c r="AV12" s="95">
        <f>Modeloutput!M515/1000</f>
        <v>0</v>
      </c>
      <c r="AW12" s="95">
        <f>Modeloutput!N515/1000</f>
        <v>0</v>
      </c>
      <c r="AX12" s="95">
        <f>Modeloutput!O515/1000</f>
        <v>0</v>
      </c>
      <c r="AY12" s="93">
        <f>Modeloutput!P515/1000</f>
        <v>0</v>
      </c>
      <c r="BA12" s="7" t="s">
        <v>2</v>
      </c>
      <c r="BB12" s="93">
        <f>Modeloutput!B770/1000</f>
        <v>0</v>
      </c>
      <c r="BC12" s="93">
        <f>Modeloutput!C770/1000</f>
        <v>0</v>
      </c>
      <c r="BD12" s="93">
        <f>Modeloutput!D770/1000</f>
        <v>0</v>
      </c>
      <c r="BE12" s="94">
        <f>Modeloutput!E770/1000</f>
        <v>0</v>
      </c>
      <c r="BF12" s="94">
        <f>Modeloutput!F770/1000</f>
        <v>0</v>
      </c>
      <c r="BG12" s="94">
        <f>Modeloutput!G770/1000</f>
        <v>0</v>
      </c>
      <c r="BH12" s="94">
        <f>Modeloutput!H770/1000</f>
        <v>0</v>
      </c>
      <c r="BI12" s="94">
        <f>Modeloutput!I770/1000</f>
        <v>0</v>
      </c>
      <c r="BJ12" s="94">
        <f>Modeloutput!J770/1000</f>
        <v>0</v>
      </c>
      <c r="BK12" s="95">
        <f>Modeloutput!K770/1000</f>
        <v>0</v>
      </c>
      <c r="BL12" s="95">
        <f>Modeloutput!L770/1000</f>
        <v>0</v>
      </c>
      <c r="BM12" s="95">
        <f>Modeloutput!M770/1000</f>
        <v>0</v>
      </c>
      <c r="BN12" s="95">
        <f>Modeloutput!N770/1000</f>
        <v>0</v>
      </c>
      <c r="BO12" s="95">
        <f>Modeloutput!O770/1000</f>
        <v>0</v>
      </c>
      <c r="BP12" s="93">
        <f>Modeloutput!P770/1000</f>
        <v>0</v>
      </c>
      <c r="BR12" s="7" t="s">
        <v>2</v>
      </c>
      <c r="BS12" s="93">
        <f>Modeloutput!B1025/1000</f>
        <v>0</v>
      </c>
      <c r="BT12" s="93">
        <f>Modeloutput!C1025/1000</f>
        <v>0</v>
      </c>
      <c r="BU12" s="93">
        <f>Modeloutput!D1025/1000</f>
        <v>0</v>
      </c>
      <c r="BV12" s="94">
        <f>Modeloutput!E1025/1000</f>
        <v>0</v>
      </c>
      <c r="BW12" s="94">
        <f>Modeloutput!F1025/1000</f>
        <v>0</v>
      </c>
      <c r="BX12" s="94">
        <f>Modeloutput!G1025/1000</f>
        <v>0</v>
      </c>
      <c r="BY12" s="94">
        <f>Modeloutput!H1025/1000</f>
        <v>0</v>
      </c>
      <c r="BZ12" s="94">
        <f>Modeloutput!I1025/1000</f>
        <v>0</v>
      </c>
      <c r="CA12" s="94">
        <f>Modeloutput!J1025/1000</f>
        <v>0</v>
      </c>
      <c r="CB12" s="95">
        <f>Modeloutput!K1025/1000</f>
        <v>0</v>
      </c>
      <c r="CC12" s="95">
        <f>Modeloutput!L1025/1000</f>
        <v>0</v>
      </c>
      <c r="CD12" s="95">
        <f>Modeloutput!M1025/1000</f>
        <v>0</v>
      </c>
      <c r="CE12" s="95">
        <f>Modeloutput!N1025/1000</f>
        <v>0</v>
      </c>
      <c r="CF12" s="95">
        <f>Modeloutput!O1025/1000</f>
        <v>0</v>
      </c>
      <c r="CG12" s="93">
        <f>Modeloutput!P1025/1000</f>
        <v>0</v>
      </c>
    </row>
    <row r="13" spans="1:85" s="7" customFormat="1" x14ac:dyDescent="0.25">
      <c r="B13" s="7" t="s">
        <v>3</v>
      </c>
      <c r="C13" s="93">
        <f>Modeloutput!B6/1000</f>
        <v>0.267446456</v>
      </c>
      <c r="D13" s="93">
        <f>Modeloutput!C6/1000</f>
        <v>0</v>
      </c>
      <c r="E13" s="93">
        <f>Modeloutput!D6/1000</f>
        <v>0.267446456</v>
      </c>
      <c r="F13" s="96">
        <f>Modeloutput!E6/1000</f>
        <v>0.177840151</v>
      </c>
      <c r="G13" s="96">
        <f>Modeloutput!F6/1000</f>
        <v>0</v>
      </c>
      <c r="H13" s="96">
        <f>Modeloutput!G6/1000</f>
        <v>6.0848016800000002E-2</v>
      </c>
      <c r="I13" s="96">
        <f>Modeloutput!H6/1000</f>
        <v>0</v>
      </c>
      <c r="J13" s="96">
        <f>Modeloutput!I6/1000</f>
        <v>0</v>
      </c>
      <c r="K13" s="96">
        <f>Modeloutput!J6/1000</f>
        <v>0</v>
      </c>
      <c r="L13" s="97">
        <f>Modeloutput!K6/1000</f>
        <v>2.8758288E-2</v>
      </c>
      <c r="M13" s="97">
        <f>Modeloutput!L6/1000</f>
        <v>0</v>
      </c>
      <c r="N13" s="97">
        <f>Modeloutput!M6/1000</f>
        <v>0</v>
      </c>
      <c r="O13" s="97">
        <f>Modeloutput!N6/1000</f>
        <v>0</v>
      </c>
      <c r="P13" s="97">
        <f>Modeloutput!O6/1000</f>
        <v>0</v>
      </c>
      <c r="Q13" s="93">
        <f>Modeloutput!P6/1000</f>
        <v>0</v>
      </c>
      <c r="S13" s="7" t="s">
        <v>3</v>
      </c>
      <c r="T13" s="93">
        <f>Modeloutput!B261/1000</f>
        <v>0.267446456</v>
      </c>
      <c r="U13" s="93">
        <f>Modeloutput!C261/1000</f>
        <v>0</v>
      </c>
      <c r="V13" s="93">
        <f>Modeloutput!D261/1000</f>
        <v>0.267446456</v>
      </c>
      <c r="W13" s="96">
        <f>Modeloutput!E261/1000</f>
        <v>0.177840151</v>
      </c>
      <c r="X13" s="96">
        <f>Modeloutput!F261/1000</f>
        <v>0</v>
      </c>
      <c r="Y13" s="96">
        <f>Modeloutput!G261/1000</f>
        <v>6.0848016800000002E-2</v>
      </c>
      <c r="Z13" s="96">
        <f>Modeloutput!H261/1000</f>
        <v>0</v>
      </c>
      <c r="AA13" s="96">
        <f>Modeloutput!I261/1000</f>
        <v>0</v>
      </c>
      <c r="AB13" s="96">
        <f>Modeloutput!J261/1000</f>
        <v>0</v>
      </c>
      <c r="AC13" s="97">
        <f>Modeloutput!K261/1000</f>
        <v>2.8758288E-2</v>
      </c>
      <c r="AD13" s="97">
        <f>Modeloutput!L261/1000</f>
        <v>0</v>
      </c>
      <c r="AE13" s="97">
        <f>Modeloutput!M261/1000</f>
        <v>0</v>
      </c>
      <c r="AF13" s="97">
        <f>Modeloutput!N261/1000</f>
        <v>0</v>
      </c>
      <c r="AG13" s="97">
        <f>Modeloutput!O261/1000</f>
        <v>0</v>
      </c>
      <c r="AH13" s="93">
        <f>Modeloutput!P261/1000</f>
        <v>0</v>
      </c>
      <c r="AJ13" s="7" t="s">
        <v>3</v>
      </c>
      <c r="AK13" s="93">
        <f>Modeloutput!B516/1000</f>
        <v>0.267446456</v>
      </c>
      <c r="AL13" s="93">
        <f>Modeloutput!C516/1000</f>
        <v>0</v>
      </c>
      <c r="AM13" s="93">
        <f>Modeloutput!D516/1000</f>
        <v>0.267446456</v>
      </c>
      <c r="AN13" s="96">
        <f>Modeloutput!E516/1000</f>
        <v>0.177840151</v>
      </c>
      <c r="AO13" s="96">
        <f>Modeloutput!F516/1000</f>
        <v>0</v>
      </c>
      <c r="AP13" s="96">
        <f>Modeloutput!G516/1000</f>
        <v>6.0848016800000002E-2</v>
      </c>
      <c r="AQ13" s="96">
        <f>Modeloutput!H516/1000</f>
        <v>0</v>
      </c>
      <c r="AR13" s="96">
        <f>Modeloutput!I516/1000</f>
        <v>0</v>
      </c>
      <c r="AS13" s="96">
        <f>Modeloutput!J516/1000</f>
        <v>0</v>
      </c>
      <c r="AT13" s="97">
        <f>Modeloutput!K516/1000</f>
        <v>2.8758288E-2</v>
      </c>
      <c r="AU13" s="97">
        <f>Modeloutput!L516/1000</f>
        <v>0</v>
      </c>
      <c r="AV13" s="97">
        <f>Modeloutput!M516/1000</f>
        <v>0</v>
      </c>
      <c r="AW13" s="97">
        <f>Modeloutput!N516/1000</f>
        <v>0</v>
      </c>
      <c r="AX13" s="97">
        <f>Modeloutput!O516/1000</f>
        <v>0</v>
      </c>
      <c r="AY13" s="93">
        <f>Modeloutput!P516/1000</f>
        <v>0</v>
      </c>
      <c r="BA13" s="7" t="s">
        <v>3</v>
      </c>
      <c r="BB13" s="93">
        <f>Modeloutput!B771/1000</f>
        <v>0.267446456</v>
      </c>
      <c r="BC13" s="93">
        <f>Modeloutput!C771/1000</f>
        <v>0</v>
      </c>
      <c r="BD13" s="93">
        <f>Modeloutput!D771/1000</f>
        <v>0.267446456</v>
      </c>
      <c r="BE13" s="96">
        <f>Modeloutput!E771/1000</f>
        <v>0.177840151</v>
      </c>
      <c r="BF13" s="96">
        <f>Modeloutput!F771/1000</f>
        <v>0</v>
      </c>
      <c r="BG13" s="96">
        <f>Modeloutput!G771/1000</f>
        <v>6.0848016800000002E-2</v>
      </c>
      <c r="BH13" s="96">
        <f>Modeloutput!H771/1000</f>
        <v>0</v>
      </c>
      <c r="BI13" s="96">
        <f>Modeloutput!I771/1000</f>
        <v>0</v>
      </c>
      <c r="BJ13" s="96">
        <f>Modeloutput!J771/1000</f>
        <v>0</v>
      </c>
      <c r="BK13" s="97">
        <f>Modeloutput!K771/1000</f>
        <v>2.8758288E-2</v>
      </c>
      <c r="BL13" s="97">
        <f>Modeloutput!L771/1000</f>
        <v>0</v>
      </c>
      <c r="BM13" s="97">
        <f>Modeloutput!M771/1000</f>
        <v>0</v>
      </c>
      <c r="BN13" s="97">
        <f>Modeloutput!N771/1000</f>
        <v>0</v>
      </c>
      <c r="BO13" s="97">
        <f>Modeloutput!O771/1000</f>
        <v>0</v>
      </c>
      <c r="BP13" s="93">
        <f>Modeloutput!P771/1000</f>
        <v>0</v>
      </c>
      <c r="BR13" s="7" t="s">
        <v>3</v>
      </c>
      <c r="BS13" s="93">
        <f>Modeloutput!B1026/1000</f>
        <v>0.267446456</v>
      </c>
      <c r="BT13" s="93">
        <f>Modeloutput!C1026/1000</f>
        <v>0</v>
      </c>
      <c r="BU13" s="93">
        <f>Modeloutput!D1026/1000</f>
        <v>0.267446456</v>
      </c>
      <c r="BV13" s="96">
        <f>Modeloutput!E1026/1000</f>
        <v>0.177840151</v>
      </c>
      <c r="BW13" s="96">
        <f>Modeloutput!F1026/1000</f>
        <v>0</v>
      </c>
      <c r="BX13" s="96">
        <f>Modeloutput!G1026/1000</f>
        <v>6.0848016800000002E-2</v>
      </c>
      <c r="BY13" s="96">
        <f>Modeloutput!H1026/1000</f>
        <v>0</v>
      </c>
      <c r="BZ13" s="96">
        <f>Modeloutput!I1026/1000</f>
        <v>0</v>
      </c>
      <c r="CA13" s="96">
        <f>Modeloutput!J1026/1000</f>
        <v>0</v>
      </c>
      <c r="CB13" s="97">
        <f>Modeloutput!K1026/1000</f>
        <v>2.8758288E-2</v>
      </c>
      <c r="CC13" s="97">
        <f>Modeloutput!L1026/1000</f>
        <v>0</v>
      </c>
      <c r="CD13" s="97">
        <f>Modeloutput!M1026/1000</f>
        <v>0</v>
      </c>
      <c r="CE13" s="97">
        <f>Modeloutput!N1026/1000</f>
        <v>0</v>
      </c>
      <c r="CF13" s="97">
        <f>Modeloutput!O1026/1000</f>
        <v>0</v>
      </c>
      <c r="CG13" s="93">
        <f>Modeloutput!P1026/1000</f>
        <v>0</v>
      </c>
    </row>
    <row r="14" spans="1:85" s="7" customFormat="1" x14ac:dyDescent="0.25">
      <c r="B14" s="7" t="s">
        <v>4</v>
      </c>
      <c r="C14" s="93">
        <f>Modeloutput!B7/1000</f>
        <v>0.35192242800000001</v>
      </c>
      <c r="D14" s="93">
        <f>Modeloutput!C7/1000</f>
        <v>0</v>
      </c>
      <c r="E14" s="93">
        <f>Modeloutput!D7/1000</f>
        <v>0.35192242800000001</v>
      </c>
      <c r="F14" s="98">
        <f>Modeloutput!E7/1000</f>
        <v>0.18213744600000001</v>
      </c>
      <c r="G14" s="98">
        <f>Modeloutput!F7/1000</f>
        <v>0</v>
      </c>
      <c r="H14" s="98">
        <f>Modeloutput!G7/1000</f>
        <v>0.169784982</v>
      </c>
      <c r="I14" s="98">
        <f>Modeloutput!H7/1000</f>
        <v>0</v>
      </c>
      <c r="J14" s="98">
        <f>Modeloutput!I7/1000</f>
        <v>0</v>
      </c>
      <c r="K14" s="98">
        <f>Modeloutput!J7/1000</f>
        <v>0</v>
      </c>
      <c r="L14" s="95">
        <f>Modeloutput!K7/1000</f>
        <v>0</v>
      </c>
      <c r="M14" s="95">
        <f>Modeloutput!L7/1000</f>
        <v>0</v>
      </c>
      <c r="N14" s="95">
        <f>Modeloutput!M7/1000</f>
        <v>0</v>
      </c>
      <c r="O14" s="95">
        <f>Modeloutput!N7/1000</f>
        <v>0</v>
      </c>
      <c r="P14" s="95">
        <f>Modeloutput!O7/1000</f>
        <v>0</v>
      </c>
      <c r="Q14" s="93">
        <f>Modeloutput!P7/1000</f>
        <v>0</v>
      </c>
      <c r="S14" s="7" t="s">
        <v>4</v>
      </c>
      <c r="T14" s="93">
        <f>Modeloutput!B262/1000</f>
        <v>0.35192242800000001</v>
      </c>
      <c r="U14" s="93">
        <f>Modeloutput!C262/1000</f>
        <v>0</v>
      </c>
      <c r="V14" s="93">
        <f>Modeloutput!D262/1000</f>
        <v>0.35192242800000001</v>
      </c>
      <c r="W14" s="98">
        <f>Modeloutput!E262/1000</f>
        <v>0.18213744600000001</v>
      </c>
      <c r="X14" s="98">
        <f>Modeloutput!F262/1000</f>
        <v>0</v>
      </c>
      <c r="Y14" s="98">
        <f>Modeloutput!G262/1000</f>
        <v>0.169784982</v>
      </c>
      <c r="Z14" s="98">
        <f>Modeloutput!H262/1000</f>
        <v>0</v>
      </c>
      <c r="AA14" s="98">
        <f>Modeloutput!I262/1000</f>
        <v>0</v>
      </c>
      <c r="AB14" s="98">
        <f>Modeloutput!J262/1000</f>
        <v>0</v>
      </c>
      <c r="AC14" s="95">
        <f>Modeloutput!K262/1000</f>
        <v>0</v>
      </c>
      <c r="AD14" s="95">
        <f>Modeloutput!L262/1000</f>
        <v>0</v>
      </c>
      <c r="AE14" s="95">
        <f>Modeloutput!M262/1000</f>
        <v>0</v>
      </c>
      <c r="AF14" s="95">
        <f>Modeloutput!N262/1000</f>
        <v>0</v>
      </c>
      <c r="AG14" s="95">
        <f>Modeloutput!O262/1000</f>
        <v>0</v>
      </c>
      <c r="AH14" s="93">
        <f>Modeloutput!P262/1000</f>
        <v>0</v>
      </c>
      <c r="AJ14" s="7" t="s">
        <v>4</v>
      </c>
      <c r="AK14" s="93">
        <f>Modeloutput!B517/1000</f>
        <v>0.35192242800000001</v>
      </c>
      <c r="AL14" s="93">
        <f>Modeloutput!C517/1000</f>
        <v>0</v>
      </c>
      <c r="AM14" s="93">
        <f>Modeloutput!D517/1000</f>
        <v>0.35192242800000001</v>
      </c>
      <c r="AN14" s="98">
        <f>Modeloutput!E517/1000</f>
        <v>0.18213744600000001</v>
      </c>
      <c r="AO14" s="98">
        <f>Modeloutput!F517/1000</f>
        <v>0</v>
      </c>
      <c r="AP14" s="98">
        <f>Modeloutput!G517/1000</f>
        <v>0.169784982</v>
      </c>
      <c r="AQ14" s="98">
        <f>Modeloutput!H517/1000</f>
        <v>0</v>
      </c>
      <c r="AR14" s="98">
        <f>Modeloutput!I517/1000</f>
        <v>0</v>
      </c>
      <c r="AS14" s="98">
        <f>Modeloutput!J517/1000</f>
        <v>0</v>
      </c>
      <c r="AT14" s="95">
        <f>Modeloutput!K517/1000</f>
        <v>0</v>
      </c>
      <c r="AU14" s="95">
        <f>Modeloutput!L517/1000</f>
        <v>0</v>
      </c>
      <c r="AV14" s="95">
        <f>Modeloutput!M517/1000</f>
        <v>0</v>
      </c>
      <c r="AW14" s="95">
        <f>Modeloutput!N517/1000</f>
        <v>0</v>
      </c>
      <c r="AX14" s="95">
        <f>Modeloutput!O517/1000</f>
        <v>0</v>
      </c>
      <c r="AY14" s="93">
        <f>Modeloutput!P517/1000</f>
        <v>0</v>
      </c>
      <c r="BA14" s="7" t="s">
        <v>4</v>
      </c>
      <c r="BB14" s="93">
        <f>Modeloutput!B772/1000</f>
        <v>0.35192242800000001</v>
      </c>
      <c r="BC14" s="93">
        <f>Modeloutput!C772/1000</f>
        <v>0</v>
      </c>
      <c r="BD14" s="93">
        <f>Modeloutput!D772/1000</f>
        <v>0.35192242800000001</v>
      </c>
      <c r="BE14" s="98">
        <f>Modeloutput!E772/1000</f>
        <v>0.18213744600000001</v>
      </c>
      <c r="BF14" s="98">
        <f>Modeloutput!F772/1000</f>
        <v>0</v>
      </c>
      <c r="BG14" s="98">
        <f>Modeloutput!G772/1000</f>
        <v>0.169784982</v>
      </c>
      <c r="BH14" s="98">
        <f>Modeloutput!H772/1000</f>
        <v>0</v>
      </c>
      <c r="BI14" s="98">
        <f>Modeloutput!I772/1000</f>
        <v>0</v>
      </c>
      <c r="BJ14" s="98">
        <f>Modeloutput!J772/1000</f>
        <v>0</v>
      </c>
      <c r="BK14" s="95">
        <f>Modeloutput!K772/1000</f>
        <v>0</v>
      </c>
      <c r="BL14" s="95">
        <f>Modeloutput!L772/1000</f>
        <v>0</v>
      </c>
      <c r="BM14" s="95">
        <f>Modeloutput!M772/1000</f>
        <v>0</v>
      </c>
      <c r="BN14" s="95">
        <f>Modeloutput!N772/1000</f>
        <v>0</v>
      </c>
      <c r="BO14" s="95">
        <f>Modeloutput!O772/1000</f>
        <v>0</v>
      </c>
      <c r="BP14" s="93">
        <f>Modeloutput!P772/1000</f>
        <v>0</v>
      </c>
      <c r="BR14" s="7" t="s">
        <v>4</v>
      </c>
      <c r="BS14" s="93">
        <f>Modeloutput!B1027/1000</f>
        <v>0.35192242800000001</v>
      </c>
      <c r="BT14" s="93">
        <f>Modeloutput!C1027/1000</f>
        <v>0</v>
      </c>
      <c r="BU14" s="93">
        <f>Modeloutput!D1027/1000</f>
        <v>0.35192242800000001</v>
      </c>
      <c r="BV14" s="98">
        <f>Modeloutput!E1027/1000</f>
        <v>0.18213744600000001</v>
      </c>
      <c r="BW14" s="98">
        <f>Modeloutput!F1027/1000</f>
        <v>0</v>
      </c>
      <c r="BX14" s="98">
        <f>Modeloutput!G1027/1000</f>
        <v>0.169784982</v>
      </c>
      <c r="BY14" s="98">
        <f>Modeloutput!H1027/1000</f>
        <v>0</v>
      </c>
      <c r="BZ14" s="98">
        <f>Modeloutput!I1027/1000</f>
        <v>0</v>
      </c>
      <c r="CA14" s="98">
        <f>Modeloutput!J1027/1000</f>
        <v>0</v>
      </c>
      <c r="CB14" s="95">
        <f>Modeloutput!K1027/1000</f>
        <v>0</v>
      </c>
      <c r="CC14" s="95">
        <f>Modeloutput!L1027/1000</f>
        <v>0</v>
      </c>
      <c r="CD14" s="95">
        <f>Modeloutput!M1027/1000</f>
        <v>0</v>
      </c>
      <c r="CE14" s="95">
        <f>Modeloutput!N1027/1000</f>
        <v>0</v>
      </c>
      <c r="CF14" s="95">
        <f>Modeloutput!O1027/1000</f>
        <v>0</v>
      </c>
      <c r="CG14" s="93">
        <f>Modeloutput!P1027/1000</f>
        <v>0</v>
      </c>
    </row>
    <row r="15" spans="1:85" s="7" customFormat="1" x14ac:dyDescent="0.25">
      <c r="B15" s="7" t="s">
        <v>5</v>
      </c>
      <c r="C15" s="93">
        <f>Modeloutput!B8/1000</f>
        <v>2.8758288E-2</v>
      </c>
      <c r="D15" s="93">
        <f>Modeloutput!C8/1000</f>
        <v>2.8758288E-2</v>
      </c>
      <c r="E15" s="93">
        <f>Modeloutput!D8/1000</f>
        <v>0</v>
      </c>
      <c r="F15" s="99">
        <f>Modeloutput!E8/1000</f>
        <v>1.77552565E-2</v>
      </c>
      <c r="G15" s="99">
        <f>Modeloutput!F8/1000</f>
        <v>0</v>
      </c>
      <c r="H15" s="99">
        <f>Modeloutput!G8/1000</f>
        <v>1.1003031599999999E-2</v>
      </c>
      <c r="I15" s="99">
        <f>Modeloutput!H8/1000</f>
        <v>0</v>
      </c>
      <c r="J15" s="99">
        <f>Modeloutput!I8/1000</f>
        <v>0</v>
      </c>
      <c r="K15" s="99">
        <f>Modeloutput!J8/1000</f>
        <v>0</v>
      </c>
      <c r="L15" s="93">
        <f>Modeloutput!K8/1000</f>
        <v>0</v>
      </c>
      <c r="M15" s="93">
        <f>Modeloutput!L8/1000</f>
        <v>0</v>
      </c>
      <c r="N15" s="93">
        <f>Modeloutput!M8/1000</f>
        <v>0</v>
      </c>
      <c r="O15" s="93">
        <f>Modeloutput!N8/1000</f>
        <v>0</v>
      </c>
      <c r="P15" s="93">
        <f>Modeloutput!O8/1000</f>
        <v>0</v>
      </c>
      <c r="Q15" s="93">
        <f>Modeloutput!P8/1000</f>
        <v>0</v>
      </c>
      <c r="S15" s="7" t="s">
        <v>5</v>
      </c>
      <c r="T15" s="93">
        <f>Modeloutput!B263/1000</f>
        <v>2.8758288E-2</v>
      </c>
      <c r="U15" s="93">
        <f>Modeloutput!C263/1000</f>
        <v>2.8758288E-2</v>
      </c>
      <c r="V15" s="93">
        <f>Modeloutput!D263/1000</f>
        <v>0</v>
      </c>
      <c r="W15" s="99">
        <f>Modeloutput!E263/1000</f>
        <v>1.77552565E-2</v>
      </c>
      <c r="X15" s="99">
        <f>Modeloutput!F263/1000</f>
        <v>0</v>
      </c>
      <c r="Y15" s="99">
        <f>Modeloutput!G263/1000</f>
        <v>1.1003031599999999E-2</v>
      </c>
      <c r="Z15" s="99">
        <f>Modeloutput!H263/1000</f>
        <v>0</v>
      </c>
      <c r="AA15" s="99">
        <f>Modeloutput!I263/1000</f>
        <v>0</v>
      </c>
      <c r="AB15" s="99">
        <f>Modeloutput!J263/1000</f>
        <v>0</v>
      </c>
      <c r="AC15" s="93">
        <f>Modeloutput!K263/1000</f>
        <v>0</v>
      </c>
      <c r="AD15" s="93">
        <f>Modeloutput!L263/1000</f>
        <v>0</v>
      </c>
      <c r="AE15" s="93">
        <f>Modeloutput!M263/1000</f>
        <v>0</v>
      </c>
      <c r="AF15" s="93">
        <f>Modeloutput!N263/1000</f>
        <v>0</v>
      </c>
      <c r="AG15" s="93">
        <f>Modeloutput!O263/1000</f>
        <v>0</v>
      </c>
      <c r="AH15" s="93">
        <f>Modeloutput!P263/1000</f>
        <v>0</v>
      </c>
      <c r="AJ15" s="7" t="s">
        <v>5</v>
      </c>
      <c r="AK15" s="93">
        <f>Modeloutput!B518/1000</f>
        <v>2.8758288E-2</v>
      </c>
      <c r="AL15" s="93">
        <f>Modeloutput!C518/1000</f>
        <v>2.8758288E-2</v>
      </c>
      <c r="AM15" s="93">
        <f>Modeloutput!D518/1000</f>
        <v>0</v>
      </c>
      <c r="AN15" s="99">
        <f>Modeloutput!E518/1000</f>
        <v>1.77552565E-2</v>
      </c>
      <c r="AO15" s="99">
        <f>Modeloutput!F518/1000</f>
        <v>0</v>
      </c>
      <c r="AP15" s="99">
        <f>Modeloutput!G518/1000</f>
        <v>1.1003031599999999E-2</v>
      </c>
      <c r="AQ15" s="99">
        <f>Modeloutput!H518/1000</f>
        <v>0</v>
      </c>
      <c r="AR15" s="99">
        <f>Modeloutput!I518/1000</f>
        <v>0</v>
      </c>
      <c r="AS15" s="99">
        <f>Modeloutput!J518/1000</f>
        <v>0</v>
      </c>
      <c r="AT15" s="93">
        <f>Modeloutput!K518/1000</f>
        <v>0</v>
      </c>
      <c r="AU15" s="93">
        <f>Modeloutput!L518/1000</f>
        <v>0</v>
      </c>
      <c r="AV15" s="93">
        <f>Modeloutput!M518/1000</f>
        <v>0</v>
      </c>
      <c r="AW15" s="93">
        <f>Modeloutput!N518/1000</f>
        <v>0</v>
      </c>
      <c r="AX15" s="93">
        <f>Modeloutput!O518/1000</f>
        <v>0</v>
      </c>
      <c r="AY15" s="93">
        <f>Modeloutput!P518/1000</f>
        <v>0</v>
      </c>
      <c r="BA15" s="7" t="s">
        <v>5</v>
      </c>
      <c r="BB15" s="93">
        <f>Modeloutput!B773/1000</f>
        <v>2.8758288E-2</v>
      </c>
      <c r="BC15" s="93">
        <f>Modeloutput!C773/1000</f>
        <v>2.8758288E-2</v>
      </c>
      <c r="BD15" s="93">
        <f>Modeloutput!D773/1000</f>
        <v>0</v>
      </c>
      <c r="BE15" s="99">
        <f>Modeloutput!E773/1000</f>
        <v>1.77552565E-2</v>
      </c>
      <c r="BF15" s="99">
        <f>Modeloutput!F773/1000</f>
        <v>0</v>
      </c>
      <c r="BG15" s="99">
        <f>Modeloutput!G773/1000</f>
        <v>1.1003031599999999E-2</v>
      </c>
      <c r="BH15" s="99">
        <f>Modeloutput!H773/1000</f>
        <v>0</v>
      </c>
      <c r="BI15" s="99">
        <f>Modeloutput!I773/1000</f>
        <v>0</v>
      </c>
      <c r="BJ15" s="99">
        <f>Modeloutput!J773/1000</f>
        <v>0</v>
      </c>
      <c r="BK15" s="93">
        <f>Modeloutput!K773/1000</f>
        <v>0</v>
      </c>
      <c r="BL15" s="93">
        <f>Modeloutput!L773/1000</f>
        <v>0</v>
      </c>
      <c r="BM15" s="93">
        <f>Modeloutput!M773/1000</f>
        <v>0</v>
      </c>
      <c r="BN15" s="93">
        <f>Modeloutput!N773/1000</f>
        <v>0</v>
      </c>
      <c r="BO15" s="93">
        <f>Modeloutput!O773/1000</f>
        <v>0</v>
      </c>
      <c r="BP15" s="93">
        <f>Modeloutput!P773/1000</f>
        <v>0</v>
      </c>
      <c r="BR15" s="7" t="s">
        <v>5</v>
      </c>
      <c r="BS15" s="93">
        <f>Modeloutput!B1028/1000</f>
        <v>2.8758288E-2</v>
      </c>
      <c r="BT15" s="93">
        <f>Modeloutput!C1028/1000</f>
        <v>2.8758288E-2</v>
      </c>
      <c r="BU15" s="93">
        <f>Modeloutput!D1028/1000</f>
        <v>0</v>
      </c>
      <c r="BV15" s="99">
        <f>Modeloutput!E1028/1000</f>
        <v>1.77552565E-2</v>
      </c>
      <c r="BW15" s="99">
        <f>Modeloutput!F1028/1000</f>
        <v>0</v>
      </c>
      <c r="BX15" s="99">
        <f>Modeloutput!G1028/1000</f>
        <v>1.1003031599999999E-2</v>
      </c>
      <c r="BY15" s="99">
        <f>Modeloutput!H1028/1000</f>
        <v>0</v>
      </c>
      <c r="BZ15" s="99">
        <f>Modeloutput!I1028/1000</f>
        <v>0</v>
      </c>
      <c r="CA15" s="99">
        <f>Modeloutput!J1028/1000</f>
        <v>0</v>
      </c>
      <c r="CB15" s="93">
        <f>Modeloutput!K1028/1000</f>
        <v>0</v>
      </c>
      <c r="CC15" s="93">
        <f>Modeloutput!L1028/1000</f>
        <v>0</v>
      </c>
      <c r="CD15" s="93">
        <f>Modeloutput!M1028/1000</f>
        <v>0</v>
      </c>
      <c r="CE15" s="93">
        <f>Modeloutput!N1028/1000</f>
        <v>0</v>
      </c>
      <c r="CF15" s="93">
        <f>Modeloutput!O1028/1000</f>
        <v>0</v>
      </c>
      <c r="CG15" s="93">
        <f>Modeloutput!P1028/1000</f>
        <v>0</v>
      </c>
    </row>
    <row r="16" spans="1:85" s="7" customFormat="1" x14ac:dyDescent="0.25">
      <c r="B16" s="7" t="s">
        <v>6</v>
      </c>
      <c r="C16" s="93">
        <f>Modeloutput!B9/1000</f>
        <v>0</v>
      </c>
      <c r="D16" s="93">
        <f>Modeloutput!C9/1000</f>
        <v>0</v>
      </c>
      <c r="E16" s="93">
        <f>Modeloutput!D9/1000</f>
        <v>0</v>
      </c>
      <c r="F16" s="99">
        <f>Modeloutput!E9/1000</f>
        <v>0</v>
      </c>
      <c r="G16" s="99">
        <f>Modeloutput!F9/1000</f>
        <v>0</v>
      </c>
      <c r="H16" s="99">
        <f>Modeloutput!G9/1000</f>
        <v>0</v>
      </c>
      <c r="I16" s="99">
        <f>Modeloutput!H9/1000</f>
        <v>0</v>
      </c>
      <c r="J16" s="99">
        <f>Modeloutput!I9/1000</f>
        <v>0</v>
      </c>
      <c r="K16" s="99">
        <f>Modeloutput!J9/1000</f>
        <v>0</v>
      </c>
      <c r="L16" s="93">
        <f>Modeloutput!K9/1000</f>
        <v>0</v>
      </c>
      <c r="M16" s="93">
        <f>Modeloutput!L9/1000</f>
        <v>0</v>
      </c>
      <c r="N16" s="93">
        <f>Modeloutput!M9/1000</f>
        <v>0</v>
      </c>
      <c r="O16" s="93">
        <f>Modeloutput!N9/1000</f>
        <v>0</v>
      </c>
      <c r="P16" s="93">
        <f>Modeloutput!O9/1000</f>
        <v>0</v>
      </c>
      <c r="Q16" s="93">
        <f>Modeloutput!P9/1000</f>
        <v>0</v>
      </c>
      <c r="S16" s="7" t="s">
        <v>6</v>
      </c>
      <c r="T16" s="93">
        <f>Modeloutput!B264/1000</f>
        <v>0</v>
      </c>
      <c r="U16" s="93">
        <f>Modeloutput!C264/1000</f>
        <v>0</v>
      </c>
      <c r="V16" s="93">
        <f>Modeloutput!D264/1000</f>
        <v>0</v>
      </c>
      <c r="W16" s="99">
        <f>Modeloutput!E264/1000</f>
        <v>0</v>
      </c>
      <c r="X16" s="99">
        <f>Modeloutput!F264/1000</f>
        <v>0</v>
      </c>
      <c r="Y16" s="99">
        <f>Modeloutput!G264/1000</f>
        <v>0</v>
      </c>
      <c r="Z16" s="99">
        <f>Modeloutput!H264/1000</f>
        <v>0</v>
      </c>
      <c r="AA16" s="99">
        <f>Modeloutput!I264/1000</f>
        <v>0</v>
      </c>
      <c r="AB16" s="99">
        <f>Modeloutput!J264/1000</f>
        <v>0</v>
      </c>
      <c r="AC16" s="93">
        <f>Modeloutput!K264/1000</f>
        <v>0</v>
      </c>
      <c r="AD16" s="93">
        <f>Modeloutput!L264/1000</f>
        <v>0</v>
      </c>
      <c r="AE16" s="93">
        <f>Modeloutput!M264/1000</f>
        <v>0</v>
      </c>
      <c r="AF16" s="93">
        <f>Modeloutput!N264/1000</f>
        <v>0</v>
      </c>
      <c r="AG16" s="93">
        <f>Modeloutput!O264/1000</f>
        <v>0</v>
      </c>
      <c r="AH16" s="93">
        <f>Modeloutput!P264/1000</f>
        <v>0</v>
      </c>
      <c r="AJ16" s="7" t="s">
        <v>6</v>
      </c>
      <c r="AK16" s="93">
        <f>Modeloutput!B519/1000</f>
        <v>0</v>
      </c>
      <c r="AL16" s="93">
        <f>Modeloutput!C519/1000</f>
        <v>0</v>
      </c>
      <c r="AM16" s="93">
        <f>Modeloutput!D519/1000</f>
        <v>0</v>
      </c>
      <c r="AN16" s="99">
        <f>Modeloutput!E519/1000</f>
        <v>0</v>
      </c>
      <c r="AO16" s="99">
        <f>Modeloutput!F519/1000</f>
        <v>0</v>
      </c>
      <c r="AP16" s="99">
        <f>Modeloutput!G519/1000</f>
        <v>0</v>
      </c>
      <c r="AQ16" s="99">
        <f>Modeloutput!H519/1000</f>
        <v>0</v>
      </c>
      <c r="AR16" s="99">
        <f>Modeloutput!I519/1000</f>
        <v>0</v>
      </c>
      <c r="AS16" s="99">
        <f>Modeloutput!J519/1000</f>
        <v>0</v>
      </c>
      <c r="AT16" s="93">
        <f>Modeloutput!K519/1000</f>
        <v>0</v>
      </c>
      <c r="AU16" s="93">
        <f>Modeloutput!L519/1000</f>
        <v>0</v>
      </c>
      <c r="AV16" s="93">
        <f>Modeloutput!M519/1000</f>
        <v>0</v>
      </c>
      <c r="AW16" s="93">
        <f>Modeloutput!N519/1000</f>
        <v>0</v>
      </c>
      <c r="AX16" s="93">
        <f>Modeloutput!O519/1000</f>
        <v>0</v>
      </c>
      <c r="AY16" s="93">
        <f>Modeloutput!P519/1000</f>
        <v>0</v>
      </c>
      <c r="BA16" s="7" t="s">
        <v>6</v>
      </c>
      <c r="BB16" s="93">
        <f>Modeloutput!B774/1000</f>
        <v>0</v>
      </c>
      <c r="BC16" s="93">
        <f>Modeloutput!C774/1000</f>
        <v>0</v>
      </c>
      <c r="BD16" s="93">
        <f>Modeloutput!D774/1000</f>
        <v>0</v>
      </c>
      <c r="BE16" s="99">
        <f>Modeloutput!E774/1000</f>
        <v>0</v>
      </c>
      <c r="BF16" s="99">
        <f>Modeloutput!F774/1000</f>
        <v>0</v>
      </c>
      <c r="BG16" s="99">
        <f>Modeloutput!G774/1000</f>
        <v>0</v>
      </c>
      <c r="BH16" s="99">
        <f>Modeloutput!H774/1000</f>
        <v>0</v>
      </c>
      <c r="BI16" s="99">
        <f>Modeloutput!I774/1000</f>
        <v>0</v>
      </c>
      <c r="BJ16" s="99">
        <f>Modeloutput!J774/1000</f>
        <v>0</v>
      </c>
      <c r="BK16" s="93">
        <f>Modeloutput!K774/1000</f>
        <v>0</v>
      </c>
      <c r="BL16" s="93">
        <f>Modeloutput!L774/1000</f>
        <v>0</v>
      </c>
      <c r="BM16" s="93">
        <f>Modeloutput!M774/1000</f>
        <v>0</v>
      </c>
      <c r="BN16" s="93">
        <f>Modeloutput!N774/1000</f>
        <v>0</v>
      </c>
      <c r="BO16" s="93">
        <f>Modeloutput!O774/1000</f>
        <v>0</v>
      </c>
      <c r="BP16" s="93">
        <f>Modeloutput!P774/1000</f>
        <v>0</v>
      </c>
      <c r="BR16" s="7" t="s">
        <v>6</v>
      </c>
      <c r="BS16" s="93">
        <f>Modeloutput!B1029/1000</f>
        <v>0</v>
      </c>
      <c r="BT16" s="93">
        <f>Modeloutput!C1029/1000</f>
        <v>0</v>
      </c>
      <c r="BU16" s="93">
        <f>Modeloutput!D1029/1000</f>
        <v>0</v>
      </c>
      <c r="BV16" s="99">
        <f>Modeloutput!E1029/1000</f>
        <v>0</v>
      </c>
      <c r="BW16" s="99">
        <f>Modeloutput!F1029/1000</f>
        <v>0</v>
      </c>
      <c r="BX16" s="99">
        <f>Modeloutput!G1029/1000</f>
        <v>0</v>
      </c>
      <c r="BY16" s="99">
        <f>Modeloutput!H1029/1000</f>
        <v>0</v>
      </c>
      <c r="BZ16" s="99">
        <f>Modeloutput!I1029/1000</f>
        <v>0</v>
      </c>
      <c r="CA16" s="99">
        <f>Modeloutput!J1029/1000</f>
        <v>0</v>
      </c>
      <c r="CB16" s="93">
        <f>Modeloutput!K1029/1000</f>
        <v>0</v>
      </c>
      <c r="CC16" s="93">
        <f>Modeloutput!L1029/1000</f>
        <v>0</v>
      </c>
      <c r="CD16" s="93">
        <f>Modeloutput!M1029/1000</f>
        <v>0</v>
      </c>
      <c r="CE16" s="93">
        <f>Modeloutput!N1029/1000</f>
        <v>0</v>
      </c>
      <c r="CF16" s="93">
        <f>Modeloutput!O1029/1000</f>
        <v>0</v>
      </c>
      <c r="CG16" s="93">
        <f>Modeloutput!P1029/1000</f>
        <v>0</v>
      </c>
    </row>
    <row r="17" spans="1:85" s="7" customFormat="1" x14ac:dyDescent="0.25">
      <c r="B17" s="7" t="s">
        <v>7</v>
      </c>
      <c r="C17" s="93">
        <f>Modeloutput!B10/1000</f>
        <v>0</v>
      </c>
      <c r="D17" s="93">
        <f>Modeloutput!C10/1000</f>
        <v>0</v>
      </c>
      <c r="E17" s="93">
        <f>Modeloutput!D10/1000</f>
        <v>0</v>
      </c>
      <c r="F17" s="99">
        <f>Modeloutput!E10/1000</f>
        <v>0</v>
      </c>
      <c r="G17" s="99">
        <f>Modeloutput!F10/1000</f>
        <v>0</v>
      </c>
      <c r="H17" s="99">
        <f>Modeloutput!G10/1000</f>
        <v>0</v>
      </c>
      <c r="I17" s="99">
        <f>Modeloutput!H10/1000</f>
        <v>0</v>
      </c>
      <c r="J17" s="99">
        <f>Modeloutput!I10/1000</f>
        <v>0</v>
      </c>
      <c r="K17" s="99">
        <f>Modeloutput!J10/1000</f>
        <v>0</v>
      </c>
      <c r="L17" s="93">
        <f>Modeloutput!K10/1000</f>
        <v>0</v>
      </c>
      <c r="M17" s="93">
        <f>Modeloutput!L10/1000</f>
        <v>0</v>
      </c>
      <c r="N17" s="93">
        <f>Modeloutput!M10/1000</f>
        <v>0</v>
      </c>
      <c r="O17" s="93">
        <f>Modeloutput!N10/1000</f>
        <v>0</v>
      </c>
      <c r="P17" s="93">
        <f>Modeloutput!O10/1000</f>
        <v>0</v>
      </c>
      <c r="Q17" s="93">
        <f>Modeloutput!P10/1000</f>
        <v>0</v>
      </c>
      <c r="S17" s="7" t="s">
        <v>7</v>
      </c>
      <c r="T17" s="93">
        <f>Modeloutput!B265/1000</f>
        <v>0</v>
      </c>
      <c r="U17" s="93">
        <f>Modeloutput!C265/1000</f>
        <v>0</v>
      </c>
      <c r="V17" s="93">
        <f>Modeloutput!D265/1000</f>
        <v>0</v>
      </c>
      <c r="W17" s="99">
        <f>Modeloutput!E265/1000</f>
        <v>0</v>
      </c>
      <c r="X17" s="99">
        <f>Modeloutput!F265/1000</f>
        <v>0</v>
      </c>
      <c r="Y17" s="99">
        <f>Modeloutput!G265/1000</f>
        <v>0</v>
      </c>
      <c r="Z17" s="99">
        <f>Modeloutput!H265/1000</f>
        <v>0</v>
      </c>
      <c r="AA17" s="99">
        <f>Modeloutput!I265/1000</f>
        <v>0</v>
      </c>
      <c r="AB17" s="99">
        <f>Modeloutput!J265/1000</f>
        <v>0</v>
      </c>
      <c r="AC17" s="93">
        <f>Modeloutput!K265/1000</f>
        <v>0</v>
      </c>
      <c r="AD17" s="93">
        <f>Modeloutput!L265/1000</f>
        <v>0</v>
      </c>
      <c r="AE17" s="93">
        <f>Modeloutput!M265/1000</f>
        <v>0</v>
      </c>
      <c r="AF17" s="93">
        <f>Modeloutput!N265/1000</f>
        <v>0</v>
      </c>
      <c r="AG17" s="93">
        <f>Modeloutput!O265/1000</f>
        <v>0</v>
      </c>
      <c r="AH17" s="93">
        <f>Modeloutput!P265/1000</f>
        <v>0</v>
      </c>
      <c r="AJ17" s="7" t="s">
        <v>7</v>
      </c>
      <c r="AK17" s="93">
        <f>Modeloutput!B520/1000</f>
        <v>0</v>
      </c>
      <c r="AL17" s="93">
        <f>Modeloutput!C520/1000</f>
        <v>0</v>
      </c>
      <c r="AM17" s="93">
        <f>Modeloutput!D520/1000</f>
        <v>0</v>
      </c>
      <c r="AN17" s="99">
        <f>Modeloutput!E520/1000</f>
        <v>0</v>
      </c>
      <c r="AO17" s="99">
        <f>Modeloutput!F520/1000</f>
        <v>0</v>
      </c>
      <c r="AP17" s="99">
        <f>Modeloutput!G520/1000</f>
        <v>0</v>
      </c>
      <c r="AQ17" s="99">
        <f>Modeloutput!H520/1000</f>
        <v>0</v>
      </c>
      <c r="AR17" s="99">
        <f>Modeloutput!I520/1000</f>
        <v>0</v>
      </c>
      <c r="AS17" s="99">
        <f>Modeloutput!J520/1000</f>
        <v>0</v>
      </c>
      <c r="AT17" s="93">
        <f>Modeloutput!K520/1000</f>
        <v>0</v>
      </c>
      <c r="AU17" s="93">
        <f>Modeloutput!L520/1000</f>
        <v>0</v>
      </c>
      <c r="AV17" s="93">
        <f>Modeloutput!M520/1000</f>
        <v>0</v>
      </c>
      <c r="AW17" s="93">
        <f>Modeloutput!N520/1000</f>
        <v>0</v>
      </c>
      <c r="AX17" s="93">
        <f>Modeloutput!O520/1000</f>
        <v>0</v>
      </c>
      <c r="AY17" s="93">
        <f>Modeloutput!P520/1000</f>
        <v>0</v>
      </c>
      <c r="BA17" s="7" t="s">
        <v>7</v>
      </c>
      <c r="BB17" s="93">
        <f>Modeloutput!B775/1000</f>
        <v>0</v>
      </c>
      <c r="BC17" s="93">
        <f>Modeloutput!C775/1000</f>
        <v>0</v>
      </c>
      <c r="BD17" s="93">
        <f>Modeloutput!D775/1000</f>
        <v>0</v>
      </c>
      <c r="BE17" s="99">
        <f>Modeloutput!E775/1000</f>
        <v>0</v>
      </c>
      <c r="BF17" s="99">
        <f>Modeloutput!F775/1000</f>
        <v>0</v>
      </c>
      <c r="BG17" s="99">
        <f>Modeloutput!G775/1000</f>
        <v>0</v>
      </c>
      <c r="BH17" s="99">
        <f>Modeloutput!H775/1000</f>
        <v>0</v>
      </c>
      <c r="BI17" s="99">
        <f>Modeloutput!I775/1000</f>
        <v>0</v>
      </c>
      <c r="BJ17" s="99">
        <f>Modeloutput!J775/1000</f>
        <v>0</v>
      </c>
      <c r="BK17" s="93">
        <f>Modeloutput!K775/1000</f>
        <v>0</v>
      </c>
      <c r="BL17" s="93">
        <f>Modeloutput!L775/1000</f>
        <v>0</v>
      </c>
      <c r="BM17" s="93">
        <f>Modeloutput!M775/1000</f>
        <v>0</v>
      </c>
      <c r="BN17" s="93">
        <f>Modeloutput!N775/1000</f>
        <v>0</v>
      </c>
      <c r="BO17" s="93">
        <f>Modeloutput!O775/1000</f>
        <v>0</v>
      </c>
      <c r="BP17" s="93">
        <f>Modeloutput!P775/1000</f>
        <v>0</v>
      </c>
      <c r="BR17" s="7" t="s">
        <v>7</v>
      </c>
      <c r="BS17" s="93">
        <f>Modeloutput!B1030/1000</f>
        <v>0</v>
      </c>
      <c r="BT17" s="93">
        <f>Modeloutput!C1030/1000</f>
        <v>0</v>
      </c>
      <c r="BU17" s="93">
        <f>Modeloutput!D1030/1000</f>
        <v>0</v>
      </c>
      <c r="BV17" s="99">
        <f>Modeloutput!E1030/1000</f>
        <v>0</v>
      </c>
      <c r="BW17" s="99">
        <f>Modeloutput!F1030/1000</f>
        <v>0</v>
      </c>
      <c r="BX17" s="99">
        <f>Modeloutput!G1030/1000</f>
        <v>0</v>
      </c>
      <c r="BY17" s="99">
        <f>Modeloutput!H1030/1000</f>
        <v>0</v>
      </c>
      <c r="BZ17" s="99">
        <f>Modeloutput!I1030/1000</f>
        <v>0</v>
      </c>
      <c r="CA17" s="99">
        <f>Modeloutput!J1030/1000</f>
        <v>0</v>
      </c>
      <c r="CB17" s="93">
        <f>Modeloutput!K1030/1000</f>
        <v>0</v>
      </c>
      <c r="CC17" s="93">
        <f>Modeloutput!L1030/1000</f>
        <v>0</v>
      </c>
      <c r="CD17" s="93">
        <f>Modeloutput!M1030/1000</f>
        <v>0</v>
      </c>
      <c r="CE17" s="93">
        <f>Modeloutput!N1030/1000</f>
        <v>0</v>
      </c>
      <c r="CF17" s="93">
        <f>Modeloutput!O1030/1000</f>
        <v>0</v>
      </c>
      <c r="CG17" s="93">
        <f>Modeloutput!P1030/1000</f>
        <v>0</v>
      </c>
    </row>
    <row r="18" spans="1:85" s="7" customFormat="1" x14ac:dyDescent="0.25">
      <c r="B18" s="7" t="s">
        <v>8</v>
      </c>
      <c r="C18" s="93">
        <f>Modeloutput!B11/1000</f>
        <v>0</v>
      </c>
      <c r="D18" s="93">
        <f>Modeloutput!C11/1000</f>
        <v>0</v>
      </c>
      <c r="E18" s="93">
        <f>Modeloutput!D11/1000</f>
        <v>0</v>
      </c>
      <c r="F18" s="99">
        <f>Modeloutput!E11/1000</f>
        <v>0</v>
      </c>
      <c r="G18" s="99">
        <f>Modeloutput!F11/1000</f>
        <v>0</v>
      </c>
      <c r="H18" s="99">
        <f>Modeloutput!G11/1000</f>
        <v>0</v>
      </c>
      <c r="I18" s="99">
        <f>Modeloutput!H11/1000</f>
        <v>0</v>
      </c>
      <c r="J18" s="99">
        <f>Modeloutput!I11/1000</f>
        <v>0</v>
      </c>
      <c r="K18" s="99">
        <f>Modeloutput!J11/1000</f>
        <v>0</v>
      </c>
      <c r="L18" s="93">
        <f>Modeloutput!K11/1000</f>
        <v>0</v>
      </c>
      <c r="M18" s="93">
        <f>Modeloutput!L11/1000</f>
        <v>0</v>
      </c>
      <c r="N18" s="93">
        <f>Modeloutput!M11/1000</f>
        <v>0</v>
      </c>
      <c r="O18" s="93">
        <f>Modeloutput!N11/1000</f>
        <v>0</v>
      </c>
      <c r="P18" s="93">
        <f>Modeloutput!O11/1000</f>
        <v>0</v>
      </c>
      <c r="Q18" s="93">
        <f>Modeloutput!P11/1000</f>
        <v>0</v>
      </c>
      <c r="S18" s="7" t="s">
        <v>8</v>
      </c>
      <c r="T18" s="93">
        <f>Modeloutput!B266/1000</f>
        <v>0</v>
      </c>
      <c r="U18" s="93">
        <f>Modeloutput!C266/1000</f>
        <v>0</v>
      </c>
      <c r="V18" s="93">
        <f>Modeloutput!D266/1000</f>
        <v>0</v>
      </c>
      <c r="W18" s="99">
        <f>Modeloutput!E266/1000</f>
        <v>0</v>
      </c>
      <c r="X18" s="99">
        <f>Modeloutput!F266/1000</f>
        <v>0</v>
      </c>
      <c r="Y18" s="99">
        <f>Modeloutput!G266/1000</f>
        <v>0</v>
      </c>
      <c r="Z18" s="99">
        <f>Modeloutput!H266/1000</f>
        <v>0</v>
      </c>
      <c r="AA18" s="99">
        <f>Modeloutput!I266/1000</f>
        <v>0</v>
      </c>
      <c r="AB18" s="99">
        <f>Modeloutput!J266/1000</f>
        <v>0</v>
      </c>
      <c r="AC18" s="93">
        <f>Modeloutput!K266/1000</f>
        <v>0</v>
      </c>
      <c r="AD18" s="93">
        <f>Modeloutput!L266/1000</f>
        <v>0</v>
      </c>
      <c r="AE18" s="93">
        <f>Modeloutput!M266/1000</f>
        <v>0</v>
      </c>
      <c r="AF18" s="93">
        <f>Modeloutput!N266/1000</f>
        <v>0</v>
      </c>
      <c r="AG18" s="93">
        <f>Modeloutput!O266/1000</f>
        <v>0</v>
      </c>
      <c r="AH18" s="93">
        <f>Modeloutput!P266/1000</f>
        <v>0</v>
      </c>
      <c r="AJ18" s="7" t="s">
        <v>8</v>
      </c>
      <c r="AK18" s="93">
        <f>Modeloutput!B521/1000</f>
        <v>0</v>
      </c>
      <c r="AL18" s="93">
        <f>Modeloutput!C521/1000</f>
        <v>0</v>
      </c>
      <c r="AM18" s="93">
        <f>Modeloutput!D521/1000</f>
        <v>0</v>
      </c>
      <c r="AN18" s="99">
        <f>Modeloutput!E521/1000</f>
        <v>0</v>
      </c>
      <c r="AO18" s="99">
        <f>Modeloutput!F521/1000</f>
        <v>0</v>
      </c>
      <c r="AP18" s="99">
        <f>Modeloutput!G521/1000</f>
        <v>0</v>
      </c>
      <c r="AQ18" s="99">
        <f>Modeloutput!H521/1000</f>
        <v>0</v>
      </c>
      <c r="AR18" s="99">
        <f>Modeloutput!I521/1000</f>
        <v>0</v>
      </c>
      <c r="AS18" s="99">
        <f>Modeloutput!J521/1000</f>
        <v>0</v>
      </c>
      <c r="AT18" s="93">
        <f>Modeloutput!K521/1000</f>
        <v>0</v>
      </c>
      <c r="AU18" s="93">
        <f>Modeloutput!L521/1000</f>
        <v>0</v>
      </c>
      <c r="AV18" s="93">
        <f>Modeloutput!M521/1000</f>
        <v>0</v>
      </c>
      <c r="AW18" s="93">
        <f>Modeloutput!N521/1000</f>
        <v>0</v>
      </c>
      <c r="AX18" s="93">
        <f>Modeloutput!O521/1000</f>
        <v>0</v>
      </c>
      <c r="AY18" s="93">
        <f>Modeloutput!P521/1000</f>
        <v>0</v>
      </c>
      <c r="BA18" s="7" t="s">
        <v>8</v>
      </c>
      <c r="BB18" s="93">
        <f>Modeloutput!B776/1000</f>
        <v>0</v>
      </c>
      <c r="BC18" s="93">
        <f>Modeloutput!C776/1000</f>
        <v>0</v>
      </c>
      <c r="BD18" s="93">
        <f>Modeloutput!D776/1000</f>
        <v>0</v>
      </c>
      <c r="BE18" s="99">
        <f>Modeloutput!E776/1000</f>
        <v>0</v>
      </c>
      <c r="BF18" s="99">
        <f>Modeloutput!F776/1000</f>
        <v>0</v>
      </c>
      <c r="BG18" s="99">
        <f>Modeloutput!G776/1000</f>
        <v>0</v>
      </c>
      <c r="BH18" s="99">
        <f>Modeloutput!H776/1000</f>
        <v>0</v>
      </c>
      <c r="BI18" s="99">
        <f>Modeloutput!I776/1000</f>
        <v>0</v>
      </c>
      <c r="BJ18" s="99">
        <f>Modeloutput!J776/1000</f>
        <v>0</v>
      </c>
      <c r="BK18" s="93">
        <f>Modeloutput!K776/1000</f>
        <v>0</v>
      </c>
      <c r="BL18" s="93">
        <f>Modeloutput!L776/1000</f>
        <v>0</v>
      </c>
      <c r="BM18" s="93">
        <f>Modeloutput!M776/1000</f>
        <v>0</v>
      </c>
      <c r="BN18" s="93">
        <f>Modeloutput!N776/1000</f>
        <v>0</v>
      </c>
      <c r="BO18" s="93">
        <f>Modeloutput!O776/1000</f>
        <v>0</v>
      </c>
      <c r="BP18" s="93">
        <f>Modeloutput!P776/1000</f>
        <v>0</v>
      </c>
      <c r="BR18" s="7" t="s">
        <v>8</v>
      </c>
      <c r="BS18" s="93">
        <f>Modeloutput!B1031/1000</f>
        <v>0</v>
      </c>
      <c r="BT18" s="93">
        <f>Modeloutput!C1031/1000</f>
        <v>0</v>
      </c>
      <c r="BU18" s="93">
        <f>Modeloutput!D1031/1000</f>
        <v>0</v>
      </c>
      <c r="BV18" s="99">
        <f>Modeloutput!E1031/1000</f>
        <v>0</v>
      </c>
      <c r="BW18" s="99">
        <f>Modeloutput!F1031/1000</f>
        <v>0</v>
      </c>
      <c r="BX18" s="99">
        <f>Modeloutput!G1031/1000</f>
        <v>0</v>
      </c>
      <c r="BY18" s="99">
        <f>Modeloutput!H1031/1000</f>
        <v>0</v>
      </c>
      <c r="BZ18" s="99">
        <f>Modeloutput!I1031/1000</f>
        <v>0</v>
      </c>
      <c r="CA18" s="99">
        <f>Modeloutput!J1031/1000</f>
        <v>0</v>
      </c>
      <c r="CB18" s="93">
        <f>Modeloutput!K1031/1000</f>
        <v>0</v>
      </c>
      <c r="CC18" s="93">
        <f>Modeloutput!L1031/1000</f>
        <v>0</v>
      </c>
      <c r="CD18" s="93">
        <f>Modeloutput!M1031/1000</f>
        <v>0</v>
      </c>
      <c r="CE18" s="93">
        <f>Modeloutput!N1031/1000</f>
        <v>0</v>
      </c>
      <c r="CF18" s="93">
        <f>Modeloutput!O1031/1000</f>
        <v>0</v>
      </c>
      <c r="CG18" s="93">
        <f>Modeloutput!P1031/1000</f>
        <v>0</v>
      </c>
    </row>
    <row r="19" spans="1:85" s="7" customFormat="1" x14ac:dyDescent="0.25">
      <c r="B19" s="7" t="s">
        <v>9</v>
      </c>
      <c r="C19" s="93">
        <f>Modeloutput!B12/1000</f>
        <v>0</v>
      </c>
      <c r="D19" s="93">
        <f>Modeloutput!C12/1000</f>
        <v>0</v>
      </c>
      <c r="E19" s="93">
        <f>Modeloutput!D12/1000</f>
        <v>0</v>
      </c>
      <c r="F19" s="99">
        <f>Modeloutput!E12/1000</f>
        <v>0</v>
      </c>
      <c r="G19" s="99">
        <f>Modeloutput!F12/1000</f>
        <v>0</v>
      </c>
      <c r="H19" s="99">
        <f>Modeloutput!G12/1000</f>
        <v>0</v>
      </c>
      <c r="I19" s="99">
        <f>Modeloutput!H12/1000</f>
        <v>0</v>
      </c>
      <c r="J19" s="99">
        <f>Modeloutput!I12/1000</f>
        <v>0</v>
      </c>
      <c r="K19" s="99">
        <f>Modeloutput!J12/1000</f>
        <v>0</v>
      </c>
      <c r="L19" s="93">
        <f>Modeloutput!K12/1000</f>
        <v>0</v>
      </c>
      <c r="M19" s="93">
        <f>Modeloutput!L12/1000</f>
        <v>0</v>
      </c>
      <c r="N19" s="93">
        <f>Modeloutput!M12/1000</f>
        <v>0</v>
      </c>
      <c r="O19" s="93">
        <f>Modeloutput!N12/1000</f>
        <v>0</v>
      </c>
      <c r="P19" s="93">
        <f>Modeloutput!O12/1000</f>
        <v>0</v>
      </c>
      <c r="Q19" s="93">
        <f>Modeloutput!P12/1000</f>
        <v>0</v>
      </c>
      <c r="S19" s="7" t="s">
        <v>9</v>
      </c>
      <c r="T19" s="93">
        <f>Modeloutput!B267/1000</f>
        <v>0</v>
      </c>
      <c r="U19" s="93">
        <f>Modeloutput!C267/1000</f>
        <v>0</v>
      </c>
      <c r="V19" s="93">
        <f>Modeloutput!D267/1000</f>
        <v>0</v>
      </c>
      <c r="W19" s="99">
        <f>Modeloutput!E267/1000</f>
        <v>0</v>
      </c>
      <c r="X19" s="99">
        <f>Modeloutput!F267/1000</f>
        <v>0</v>
      </c>
      <c r="Y19" s="99">
        <f>Modeloutput!G267/1000</f>
        <v>0</v>
      </c>
      <c r="Z19" s="99">
        <f>Modeloutput!H267/1000</f>
        <v>0</v>
      </c>
      <c r="AA19" s="99">
        <f>Modeloutput!I267/1000</f>
        <v>0</v>
      </c>
      <c r="AB19" s="99">
        <f>Modeloutput!J267/1000</f>
        <v>0</v>
      </c>
      <c r="AC19" s="93">
        <f>Modeloutput!K267/1000</f>
        <v>0</v>
      </c>
      <c r="AD19" s="93">
        <f>Modeloutput!L267/1000</f>
        <v>0</v>
      </c>
      <c r="AE19" s="93">
        <f>Modeloutput!M267/1000</f>
        <v>0</v>
      </c>
      <c r="AF19" s="93">
        <f>Modeloutput!N267/1000</f>
        <v>0</v>
      </c>
      <c r="AG19" s="93">
        <f>Modeloutput!O267/1000</f>
        <v>0</v>
      </c>
      <c r="AH19" s="93">
        <f>Modeloutput!P267/1000</f>
        <v>0</v>
      </c>
      <c r="AJ19" s="7" t="s">
        <v>9</v>
      </c>
      <c r="AK19" s="93">
        <f>Modeloutput!B522/1000</f>
        <v>0</v>
      </c>
      <c r="AL19" s="93">
        <f>Modeloutput!C522/1000</f>
        <v>0</v>
      </c>
      <c r="AM19" s="93">
        <f>Modeloutput!D522/1000</f>
        <v>0</v>
      </c>
      <c r="AN19" s="99">
        <f>Modeloutput!E522/1000</f>
        <v>0</v>
      </c>
      <c r="AO19" s="99">
        <f>Modeloutput!F522/1000</f>
        <v>0</v>
      </c>
      <c r="AP19" s="99">
        <f>Modeloutput!G522/1000</f>
        <v>0</v>
      </c>
      <c r="AQ19" s="99">
        <f>Modeloutput!H522/1000</f>
        <v>0</v>
      </c>
      <c r="AR19" s="99">
        <f>Modeloutput!I522/1000</f>
        <v>0</v>
      </c>
      <c r="AS19" s="99">
        <f>Modeloutput!J522/1000</f>
        <v>0</v>
      </c>
      <c r="AT19" s="93">
        <f>Modeloutput!K522/1000</f>
        <v>0</v>
      </c>
      <c r="AU19" s="93">
        <f>Modeloutput!L522/1000</f>
        <v>0</v>
      </c>
      <c r="AV19" s="93">
        <f>Modeloutput!M522/1000</f>
        <v>0</v>
      </c>
      <c r="AW19" s="93">
        <f>Modeloutput!N522/1000</f>
        <v>0</v>
      </c>
      <c r="AX19" s="93">
        <f>Modeloutput!O522/1000</f>
        <v>0</v>
      </c>
      <c r="AY19" s="93">
        <f>Modeloutput!P522/1000</f>
        <v>0</v>
      </c>
      <c r="BA19" s="7" t="s">
        <v>9</v>
      </c>
      <c r="BB19" s="93">
        <f>Modeloutput!B777/1000</f>
        <v>0</v>
      </c>
      <c r="BC19" s="93">
        <f>Modeloutput!C777/1000</f>
        <v>0</v>
      </c>
      <c r="BD19" s="93">
        <f>Modeloutput!D777/1000</f>
        <v>0</v>
      </c>
      <c r="BE19" s="99">
        <f>Modeloutput!E777/1000</f>
        <v>0</v>
      </c>
      <c r="BF19" s="99">
        <f>Modeloutput!F777/1000</f>
        <v>0</v>
      </c>
      <c r="BG19" s="99">
        <f>Modeloutput!G777/1000</f>
        <v>0</v>
      </c>
      <c r="BH19" s="99">
        <f>Modeloutput!H777/1000</f>
        <v>0</v>
      </c>
      <c r="BI19" s="99">
        <f>Modeloutput!I777/1000</f>
        <v>0</v>
      </c>
      <c r="BJ19" s="99">
        <f>Modeloutput!J777/1000</f>
        <v>0</v>
      </c>
      <c r="BK19" s="93">
        <f>Modeloutput!K777/1000</f>
        <v>0</v>
      </c>
      <c r="BL19" s="93">
        <f>Modeloutput!L777/1000</f>
        <v>0</v>
      </c>
      <c r="BM19" s="93">
        <f>Modeloutput!M777/1000</f>
        <v>0</v>
      </c>
      <c r="BN19" s="93">
        <f>Modeloutput!N777/1000</f>
        <v>0</v>
      </c>
      <c r="BO19" s="93">
        <f>Modeloutput!O777/1000</f>
        <v>0</v>
      </c>
      <c r="BP19" s="93">
        <f>Modeloutput!P777/1000</f>
        <v>0</v>
      </c>
      <c r="BR19" s="7" t="s">
        <v>9</v>
      </c>
      <c r="BS19" s="93">
        <f>Modeloutput!B1032/1000</f>
        <v>0</v>
      </c>
      <c r="BT19" s="93">
        <f>Modeloutput!C1032/1000</f>
        <v>0</v>
      </c>
      <c r="BU19" s="93">
        <f>Modeloutput!D1032/1000</f>
        <v>0</v>
      </c>
      <c r="BV19" s="99">
        <f>Modeloutput!E1032/1000</f>
        <v>0</v>
      </c>
      <c r="BW19" s="99">
        <f>Modeloutput!F1032/1000</f>
        <v>0</v>
      </c>
      <c r="BX19" s="99">
        <f>Modeloutput!G1032/1000</f>
        <v>0</v>
      </c>
      <c r="BY19" s="99">
        <f>Modeloutput!H1032/1000</f>
        <v>0</v>
      </c>
      <c r="BZ19" s="99">
        <f>Modeloutput!I1032/1000</f>
        <v>0</v>
      </c>
      <c r="CA19" s="99">
        <f>Modeloutput!J1032/1000</f>
        <v>0</v>
      </c>
      <c r="CB19" s="93">
        <f>Modeloutput!K1032/1000</f>
        <v>0</v>
      </c>
      <c r="CC19" s="93">
        <f>Modeloutput!L1032/1000</f>
        <v>0</v>
      </c>
      <c r="CD19" s="93">
        <f>Modeloutput!M1032/1000</f>
        <v>0</v>
      </c>
      <c r="CE19" s="93">
        <f>Modeloutput!N1032/1000</f>
        <v>0</v>
      </c>
      <c r="CF19" s="93">
        <f>Modeloutput!O1032/1000</f>
        <v>0</v>
      </c>
      <c r="CG19" s="93">
        <f>Modeloutput!P1032/1000</f>
        <v>0</v>
      </c>
    </row>
    <row r="20" spans="1:85" s="7" customFormat="1" x14ac:dyDescent="0.25">
      <c r="B20" s="7" t="s">
        <v>10</v>
      </c>
      <c r="C20" s="93">
        <f>Modeloutput!B13/1000</f>
        <v>0</v>
      </c>
      <c r="D20" s="93">
        <f>Modeloutput!C13/1000</f>
        <v>0</v>
      </c>
      <c r="E20" s="93">
        <f>Modeloutput!D13/1000</f>
        <v>0</v>
      </c>
      <c r="F20" s="93">
        <f>Modeloutput!E13/1000</f>
        <v>0</v>
      </c>
      <c r="G20" s="93">
        <f>Modeloutput!F13/1000</f>
        <v>0</v>
      </c>
      <c r="H20" s="93">
        <f>Modeloutput!G13/1000</f>
        <v>0</v>
      </c>
      <c r="I20" s="93">
        <f>Modeloutput!H13/1000</f>
        <v>0</v>
      </c>
      <c r="J20" s="93">
        <f>Modeloutput!I13/1000</f>
        <v>0</v>
      </c>
      <c r="K20" s="93">
        <f>Modeloutput!J13/1000</f>
        <v>0</v>
      </c>
      <c r="L20" s="93">
        <f>Modeloutput!K13/1000</f>
        <v>0</v>
      </c>
      <c r="M20" s="93">
        <f>Modeloutput!L13/1000</f>
        <v>0</v>
      </c>
      <c r="N20" s="93">
        <f>Modeloutput!M13/1000</f>
        <v>0</v>
      </c>
      <c r="O20" s="93">
        <f>Modeloutput!N13/1000</f>
        <v>0</v>
      </c>
      <c r="P20" s="93">
        <f>Modeloutput!O13/1000</f>
        <v>0</v>
      </c>
      <c r="Q20" s="93">
        <f>Modeloutput!P13/1000</f>
        <v>0</v>
      </c>
      <c r="S20" s="7" t="s">
        <v>10</v>
      </c>
      <c r="T20" s="93">
        <f>Modeloutput!B268/1000</f>
        <v>0</v>
      </c>
      <c r="U20" s="93">
        <f>Modeloutput!C268/1000</f>
        <v>0</v>
      </c>
      <c r="V20" s="93">
        <f>Modeloutput!D268/1000</f>
        <v>0</v>
      </c>
      <c r="W20" s="93">
        <f>Modeloutput!E268/1000</f>
        <v>0</v>
      </c>
      <c r="X20" s="93">
        <f>Modeloutput!F268/1000</f>
        <v>0</v>
      </c>
      <c r="Y20" s="93">
        <f>Modeloutput!G268/1000</f>
        <v>0</v>
      </c>
      <c r="Z20" s="93">
        <f>Modeloutput!H268/1000</f>
        <v>0</v>
      </c>
      <c r="AA20" s="93">
        <f>Modeloutput!I268/1000</f>
        <v>0</v>
      </c>
      <c r="AB20" s="93">
        <f>Modeloutput!J268/1000</f>
        <v>0</v>
      </c>
      <c r="AC20" s="93">
        <f>Modeloutput!K268/1000</f>
        <v>0</v>
      </c>
      <c r="AD20" s="93">
        <f>Modeloutput!L268/1000</f>
        <v>0</v>
      </c>
      <c r="AE20" s="93">
        <f>Modeloutput!M268/1000</f>
        <v>0</v>
      </c>
      <c r="AF20" s="93">
        <f>Modeloutput!N268/1000</f>
        <v>0</v>
      </c>
      <c r="AG20" s="93">
        <f>Modeloutput!O268/1000</f>
        <v>0</v>
      </c>
      <c r="AH20" s="93">
        <f>Modeloutput!P268/1000</f>
        <v>0</v>
      </c>
      <c r="AJ20" s="7" t="s">
        <v>10</v>
      </c>
      <c r="AK20" s="93">
        <f>Modeloutput!B523/1000</f>
        <v>0</v>
      </c>
      <c r="AL20" s="93">
        <f>Modeloutput!C523/1000</f>
        <v>0</v>
      </c>
      <c r="AM20" s="93">
        <f>Modeloutput!D523/1000</f>
        <v>0</v>
      </c>
      <c r="AN20" s="93">
        <f>Modeloutput!E523/1000</f>
        <v>0</v>
      </c>
      <c r="AO20" s="93">
        <f>Modeloutput!F523/1000</f>
        <v>0</v>
      </c>
      <c r="AP20" s="93">
        <f>Modeloutput!G523/1000</f>
        <v>0</v>
      </c>
      <c r="AQ20" s="93">
        <f>Modeloutput!H523/1000</f>
        <v>0</v>
      </c>
      <c r="AR20" s="93">
        <f>Modeloutput!I523/1000</f>
        <v>0</v>
      </c>
      <c r="AS20" s="93">
        <f>Modeloutput!J523/1000</f>
        <v>0</v>
      </c>
      <c r="AT20" s="93">
        <f>Modeloutput!K523/1000</f>
        <v>0</v>
      </c>
      <c r="AU20" s="93">
        <f>Modeloutput!L523/1000</f>
        <v>0</v>
      </c>
      <c r="AV20" s="93">
        <f>Modeloutput!M523/1000</f>
        <v>0</v>
      </c>
      <c r="AW20" s="93">
        <f>Modeloutput!N523/1000</f>
        <v>0</v>
      </c>
      <c r="AX20" s="93">
        <f>Modeloutput!O523/1000</f>
        <v>0</v>
      </c>
      <c r="AY20" s="93">
        <f>Modeloutput!P523/1000</f>
        <v>0</v>
      </c>
      <c r="BA20" s="7" t="s">
        <v>10</v>
      </c>
      <c r="BB20" s="93">
        <f>Modeloutput!B778/1000</f>
        <v>0</v>
      </c>
      <c r="BC20" s="93">
        <f>Modeloutput!C778/1000</f>
        <v>0</v>
      </c>
      <c r="BD20" s="93">
        <f>Modeloutput!D778/1000</f>
        <v>0</v>
      </c>
      <c r="BE20" s="93">
        <f>Modeloutput!E778/1000</f>
        <v>0</v>
      </c>
      <c r="BF20" s="93">
        <f>Modeloutput!F778/1000</f>
        <v>0</v>
      </c>
      <c r="BG20" s="93">
        <f>Modeloutput!G778/1000</f>
        <v>0</v>
      </c>
      <c r="BH20" s="93">
        <f>Modeloutput!H778/1000</f>
        <v>0</v>
      </c>
      <c r="BI20" s="93">
        <f>Modeloutput!I778/1000</f>
        <v>0</v>
      </c>
      <c r="BJ20" s="93">
        <f>Modeloutput!J778/1000</f>
        <v>0</v>
      </c>
      <c r="BK20" s="93">
        <f>Modeloutput!K778/1000</f>
        <v>0</v>
      </c>
      <c r="BL20" s="93">
        <f>Modeloutput!L778/1000</f>
        <v>0</v>
      </c>
      <c r="BM20" s="93">
        <f>Modeloutput!M778/1000</f>
        <v>0</v>
      </c>
      <c r="BN20" s="93">
        <f>Modeloutput!N778/1000</f>
        <v>0</v>
      </c>
      <c r="BO20" s="93">
        <f>Modeloutput!O778/1000</f>
        <v>0</v>
      </c>
      <c r="BP20" s="93">
        <f>Modeloutput!P778/1000</f>
        <v>0</v>
      </c>
      <c r="BR20" s="7" t="s">
        <v>10</v>
      </c>
      <c r="BS20" s="93">
        <f>Modeloutput!B1033/1000</f>
        <v>0</v>
      </c>
      <c r="BT20" s="93">
        <f>Modeloutput!C1033/1000</f>
        <v>0</v>
      </c>
      <c r="BU20" s="93">
        <f>Modeloutput!D1033/1000</f>
        <v>0</v>
      </c>
      <c r="BV20" s="93">
        <f>Modeloutput!E1033/1000</f>
        <v>0</v>
      </c>
      <c r="BW20" s="93">
        <f>Modeloutput!F1033/1000</f>
        <v>0</v>
      </c>
      <c r="BX20" s="93">
        <f>Modeloutput!G1033/1000</f>
        <v>0</v>
      </c>
      <c r="BY20" s="93">
        <f>Modeloutput!H1033/1000</f>
        <v>0</v>
      </c>
      <c r="BZ20" s="93">
        <f>Modeloutput!I1033/1000</f>
        <v>0</v>
      </c>
      <c r="CA20" s="93">
        <f>Modeloutput!J1033/1000</f>
        <v>0</v>
      </c>
      <c r="CB20" s="93">
        <f>Modeloutput!K1033/1000</f>
        <v>0</v>
      </c>
      <c r="CC20" s="93">
        <f>Modeloutput!L1033/1000</f>
        <v>0</v>
      </c>
      <c r="CD20" s="93">
        <f>Modeloutput!M1033/1000</f>
        <v>0</v>
      </c>
      <c r="CE20" s="93">
        <f>Modeloutput!N1033/1000</f>
        <v>0</v>
      </c>
      <c r="CF20" s="93">
        <f>Modeloutput!O1033/1000</f>
        <v>0</v>
      </c>
      <c r="CG20" s="93">
        <f>Modeloutput!P1033/1000</f>
        <v>0</v>
      </c>
    </row>
    <row r="21" spans="1:85" s="7" customFormat="1" x14ac:dyDescent="0.25">
      <c r="B21" s="7" t="s">
        <v>11</v>
      </c>
      <c r="C21" s="93">
        <f>Modeloutput!B14/1000</f>
        <v>0</v>
      </c>
      <c r="D21" s="93">
        <f>Modeloutput!C14/1000</f>
        <v>0</v>
      </c>
      <c r="E21" s="93">
        <f>Modeloutput!D14/1000</f>
        <v>0</v>
      </c>
      <c r="F21" s="93">
        <f>Modeloutput!E14/1000</f>
        <v>0</v>
      </c>
      <c r="G21" s="93">
        <f>Modeloutput!F14/1000</f>
        <v>0</v>
      </c>
      <c r="H21" s="93">
        <f>Modeloutput!G14/1000</f>
        <v>0</v>
      </c>
      <c r="I21" s="93">
        <f>Modeloutput!H14/1000</f>
        <v>0</v>
      </c>
      <c r="J21" s="93">
        <f>Modeloutput!I14/1000</f>
        <v>0</v>
      </c>
      <c r="K21" s="93">
        <f>Modeloutput!J14/1000</f>
        <v>0</v>
      </c>
      <c r="L21" s="93">
        <f>Modeloutput!K14/1000</f>
        <v>0</v>
      </c>
      <c r="M21" s="93">
        <f>Modeloutput!L14/1000</f>
        <v>0</v>
      </c>
      <c r="N21" s="93">
        <f>Modeloutput!M14/1000</f>
        <v>0</v>
      </c>
      <c r="O21" s="93">
        <f>Modeloutput!N14/1000</f>
        <v>0</v>
      </c>
      <c r="P21" s="93">
        <f>Modeloutput!O14/1000</f>
        <v>0</v>
      </c>
      <c r="Q21" s="93">
        <f>Modeloutput!P14/1000</f>
        <v>0</v>
      </c>
      <c r="S21" s="7" t="s">
        <v>11</v>
      </c>
      <c r="T21" s="93">
        <f>Modeloutput!B269/1000</f>
        <v>0</v>
      </c>
      <c r="U21" s="93">
        <f>Modeloutput!C269/1000</f>
        <v>0</v>
      </c>
      <c r="V21" s="93">
        <f>Modeloutput!D269/1000</f>
        <v>0</v>
      </c>
      <c r="W21" s="93">
        <f>Modeloutput!E269/1000</f>
        <v>0</v>
      </c>
      <c r="X21" s="93">
        <f>Modeloutput!F269/1000</f>
        <v>0</v>
      </c>
      <c r="Y21" s="93">
        <f>Modeloutput!G269/1000</f>
        <v>0</v>
      </c>
      <c r="Z21" s="93">
        <f>Modeloutput!H269/1000</f>
        <v>0</v>
      </c>
      <c r="AA21" s="93">
        <f>Modeloutput!I269/1000</f>
        <v>0</v>
      </c>
      <c r="AB21" s="93">
        <f>Modeloutput!J269/1000</f>
        <v>0</v>
      </c>
      <c r="AC21" s="93">
        <f>Modeloutput!K269/1000</f>
        <v>0</v>
      </c>
      <c r="AD21" s="93">
        <f>Modeloutput!L269/1000</f>
        <v>0</v>
      </c>
      <c r="AE21" s="93">
        <f>Modeloutput!M269/1000</f>
        <v>0</v>
      </c>
      <c r="AF21" s="93">
        <f>Modeloutput!N269/1000</f>
        <v>0</v>
      </c>
      <c r="AG21" s="93">
        <f>Modeloutput!O269/1000</f>
        <v>0</v>
      </c>
      <c r="AH21" s="93">
        <f>Modeloutput!P269/1000</f>
        <v>0</v>
      </c>
      <c r="AJ21" s="7" t="s">
        <v>11</v>
      </c>
      <c r="AK21" s="93">
        <f>Modeloutput!B524/1000</f>
        <v>0</v>
      </c>
      <c r="AL21" s="93">
        <f>Modeloutput!C524/1000</f>
        <v>0</v>
      </c>
      <c r="AM21" s="93">
        <f>Modeloutput!D524/1000</f>
        <v>0</v>
      </c>
      <c r="AN21" s="93">
        <f>Modeloutput!E524/1000</f>
        <v>0</v>
      </c>
      <c r="AO21" s="93">
        <f>Modeloutput!F524/1000</f>
        <v>0</v>
      </c>
      <c r="AP21" s="93">
        <f>Modeloutput!G524/1000</f>
        <v>0</v>
      </c>
      <c r="AQ21" s="93">
        <f>Modeloutput!H524/1000</f>
        <v>0</v>
      </c>
      <c r="AR21" s="93">
        <f>Modeloutput!I524/1000</f>
        <v>0</v>
      </c>
      <c r="AS21" s="93">
        <f>Modeloutput!J524/1000</f>
        <v>0</v>
      </c>
      <c r="AT21" s="93">
        <f>Modeloutput!K524/1000</f>
        <v>0</v>
      </c>
      <c r="AU21" s="93">
        <f>Modeloutput!L524/1000</f>
        <v>0</v>
      </c>
      <c r="AV21" s="93">
        <f>Modeloutput!M524/1000</f>
        <v>0</v>
      </c>
      <c r="AW21" s="93">
        <f>Modeloutput!N524/1000</f>
        <v>0</v>
      </c>
      <c r="AX21" s="93">
        <f>Modeloutput!O524/1000</f>
        <v>0</v>
      </c>
      <c r="AY21" s="93">
        <f>Modeloutput!P524/1000</f>
        <v>0</v>
      </c>
      <c r="BA21" s="7" t="s">
        <v>11</v>
      </c>
      <c r="BB21" s="93">
        <f>Modeloutput!B779/1000</f>
        <v>0</v>
      </c>
      <c r="BC21" s="93">
        <f>Modeloutput!C779/1000</f>
        <v>0</v>
      </c>
      <c r="BD21" s="93">
        <f>Modeloutput!D779/1000</f>
        <v>0</v>
      </c>
      <c r="BE21" s="93">
        <f>Modeloutput!E779/1000</f>
        <v>0</v>
      </c>
      <c r="BF21" s="93">
        <f>Modeloutput!F779/1000</f>
        <v>0</v>
      </c>
      <c r="BG21" s="93">
        <f>Modeloutput!G779/1000</f>
        <v>0</v>
      </c>
      <c r="BH21" s="93">
        <f>Modeloutput!H779/1000</f>
        <v>0</v>
      </c>
      <c r="BI21" s="93">
        <f>Modeloutput!I779/1000</f>
        <v>0</v>
      </c>
      <c r="BJ21" s="93">
        <f>Modeloutput!J779/1000</f>
        <v>0</v>
      </c>
      <c r="BK21" s="93">
        <f>Modeloutput!K779/1000</f>
        <v>0</v>
      </c>
      <c r="BL21" s="93">
        <f>Modeloutput!L779/1000</f>
        <v>0</v>
      </c>
      <c r="BM21" s="93">
        <f>Modeloutput!M779/1000</f>
        <v>0</v>
      </c>
      <c r="BN21" s="93">
        <f>Modeloutput!N779/1000</f>
        <v>0</v>
      </c>
      <c r="BO21" s="93">
        <f>Modeloutput!O779/1000</f>
        <v>0</v>
      </c>
      <c r="BP21" s="93">
        <f>Modeloutput!P779/1000</f>
        <v>0</v>
      </c>
      <c r="BR21" s="7" t="s">
        <v>11</v>
      </c>
      <c r="BS21" s="93">
        <f>Modeloutput!B1034/1000</f>
        <v>0</v>
      </c>
      <c r="BT21" s="93">
        <f>Modeloutput!C1034/1000</f>
        <v>0</v>
      </c>
      <c r="BU21" s="93">
        <f>Modeloutput!D1034/1000</f>
        <v>0</v>
      </c>
      <c r="BV21" s="93">
        <f>Modeloutput!E1034/1000</f>
        <v>0</v>
      </c>
      <c r="BW21" s="93">
        <f>Modeloutput!F1034/1000</f>
        <v>0</v>
      </c>
      <c r="BX21" s="93">
        <f>Modeloutput!G1034/1000</f>
        <v>0</v>
      </c>
      <c r="BY21" s="93">
        <f>Modeloutput!H1034/1000</f>
        <v>0</v>
      </c>
      <c r="BZ21" s="93">
        <f>Modeloutput!I1034/1000</f>
        <v>0</v>
      </c>
      <c r="CA21" s="93">
        <f>Modeloutput!J1034/1000</f>
        <v>0</v>
      </c>
      <c r="CB21" s="93">
        <f>Modeloutput!K1034/1000</f>
        <v>0</v>
      </c>
      <c r="CC21" s="93">
        <f>Modeloutput!L1034/1000</f>
        <v>0</v>
      </c>
      <c r="CD21" s="93">
        <f>Modeloutput!M1034/1000</f>
        <v>0</v>
      </c>
      <c r="CE21" s="93">
        <f>Modeloutput!N1034/1000</f>
        <v>0</v>
      </c>
      <c r="CF21" s="93">
        <f>Modeloutput!O1034/1000</f>
        <v>0</v>
      </c>
      <c r="CG21" s="93">
        <f>Modeloutput!P1034/1000</f>
        <v>0</v>
      </c>
    </row>
    <row r="22" spans="1:85" s="7" customFormat="1" x14ac:dyDescent="0.25">
      <c r="B22" s="7" t="s">
        <v>12</v>
      </c>
      <c r="C22" s="93">
        <f>Modeloutput!B15/1000</f>
        <v>0</v>
      </c>
      <c r="D22" s="93">
        <f>Modeloutput!C15/1000</f>
        <v>0</v>
      </c>
      <c r="E22" s="93">
        <f>Modeloutput!D15/1000</f>
        <v>0</v>
      </c>
      <c r="F22" s="93">
        <f>Modeloutput!E15/1000</f>
        <v>0</v>
      </c>
      <c r="G22" s="93">
        <f>Modeloutput!F15/1000</f>
        <v>0</v>
      </c>
      <c r="H22" s="93">
        <f>Modeloutput!G15/1000</f>
        <v>0</v>
      </c>
      <c r="I22" s="93">
        <f>Modeloutput!H15/1000</f>
        <v>0</v>
      </c>
      <c r="J22" s="93">
        <f>Modeloutput!I15/1000</f>
        <v>0</v>
      </c>
      <c r="K22" s="93">
        <f>Modeloutput!J15/1000</f>
        <v>0</v>
      </c>
      <c r="L22" s="93">
        <f>Modeloutput!K15/1000</f>
        <v>0</v>
      </c>
      <c r="M22" s="93">
        <f>Modeloutput!L15/1000</f>
        <v>0</v>
      </c>
      <c r="N22" s="93">
        <f>Modeloutput!M15/1000</f>
        <v>0</v>
      </c>
      <c r="O22" s="93">
        <f>Modeloutput!N15/1000</f>
        <v>0</v>
      </c>
      <c r="P22" s="93">
        <f>Modeloutput!O15/1000</f>
        <v>0</v>
      </c>
      <c r="Q22" s="93">
        <f>Modeloutput!P15/1000</f>
        <v>0</v>
      </c>
      <c r="S22" s="7" t="s">
        <v>12</v>
      </c>
      <c r="T22" s="93">
        <f>Modeloutput!B270/1000</f>
        <v>0</v>
      </c>
      <c r="U22" s="93">
        <f>Modeloutput!C270/1000</f>
        <v>0</v>
      </c>
      <c r="V22" s="93">
        <f>Modeloutput!D270/1000</f>
        <v>0</v>
      </c>
      <c r="W22" s="93">
        <f>Modeloutput!E270/1000</f>
        <v>0</v>
      </c>
      <c r="X22" s="93">
        <f>Modeloutput!F270/1000</f>
        <v>0</v>
      </c>
      <c r="Y22" s="93">
        <f>Modeloutput!G270/1000</f>
        <v>0</v>
      </c>
      <c r="Z22" s="93">
        <f>Modeloutput!H270/1000</f>
        <v>0</v>
      </c>
      <c r="AA22" s="93">
        <f>Modeloutput!I270/1000</f>
        <v>0</v>
      </c>
      <c r="AB22" s="93">
        <f>Modeloutput!J270/1000</f>
        <v>0</v>
      </c>
      <c r="AC22" s="93">
        <f>Modeloutput!K270/1000</f>
        <v>0</v>
      </c>
      <c r="AD22" s="93">
        <f>Modeloutput!L270/1000</f>
        <v>0</v>
      </c>
      <c r="AE22" s="93">
        <f>Modeloutput!M270/1000</f>
        <v>0</v>
      </c>
      <c r="AF22" s="93">
        <f>Modeloutput!N270/1000</f>
        <v>0</v>
      </c>
      <c r="AG22" s="93">
        <f>Modeloutput!O270/1000</f>
        <v>0</v>
      </c>
      <c r="AH22" s="93">
        <f>Modeloutput!P270/1000</f>
        <v>0</v>
      </c>
      <c r="AJ22" s="7" t="s">
        <v>12</v>
      </c>
      <c r="AK22" s="93">
        <f>Modeloutput!B525/1000</f>
        <v>0</v>
      </c>
      <c r="AL22" s="93">
        <f>Modeloutput!C525/1000</f>
        <v>0</v>
      </c>
      <c r="AM22" s="93">
        <f>Modeloutput!D525/1000</f>
        <v>0</v>
      </c>
      <c r="AN22" s="93">
        <f>Modeloutput!E525/1000</f>
        <v>0</v>
      </c>
      <c r="AO22" s="93">
        <f>Modeloutput!F525/1000</f>
        <v>0</v>
      </c>
      <c r="AP22" s="93">
        <f>Modeloutput!G525/1000</f>
        <v>0</v>
      </c>
      <c r="AQ22" s="93">
        <f>Modeloutput!H525/1000</f>
        <v>0</v>
      </c>
      <c r="AR22" s="93">
        <f>Modeloutput!I525/1000</f>
        <v>0</v>
      </c>
      <c r="AS22" s="93">
        <f>Modeloutput!J525/1000</f>
        <v>0</v>
      </c>
      <c r="AT22" s="93">
        <f>Modeloutput!K525/1000</f>
        <v>0</v>
      </c>
      <c r="AU22" s="93">
        <f>Modeloutput!L525/1000</f>
        <v>0</v>
      </c>
      <c r="AV22" s="93">
        <f>Modeloutput!M525/1000</f>
        <v>0</v>
      </c>
      <c r="AW22" s="93">
        <f>Modeloutput!N525/1000</f>
        <v>0</v>
      </c>
      <c r="AX22" s="93">
        <f>Modeloutput!O525/1000</f>
        <v>0</v>
      </c>
      <c r="AY22" s="93">
        <f>Modeloutput!P525/1000</f>
        <v>0</v>
      </c>
      <c r="BA22" s="7" t="s">
        <v>12</v>
      </c>
      <c r="BB22" s="93">
        <f>Modeloutput!B780/1000</f>
        <v>0</v>
      </c>
      <c r="BC22" s="93">
        <f>Modeloutput!C780/1000</f>
        <v>0</v>
      </c>
      <c r="BD22" s="93">
        <f>Modeloutput!D780/1000</f>
        <v>0</v>
      </c>
      <c r="BE22" s="93">
        <f>Modeloutput!E780/1000</f>
        <v>0</v>
      </c>
      <c r="BF22" s="93">
        <f>Modeloutput!F780/1000</f>
        <v>0</v>
      </c>
      <c r="BG22" s="93">
        <f>Modeloutput!G780/1000</f>
        <v>0</v>
      </c>
      <c r="BH22" s="93">
        <f>Modeloutput!H780/1000</f>
        <v>0</v>
      </c>
      <c r="BI22" s="93">
        <f>Modeloutput!I780/1000</f>
        <v>0</v>
      </c>
      <c r="BJ22" s="93">
        <f>Modeloutput!J780/1000</f>
        <v>0</v>
      </c>
      <c r="BK22" s="93">
        <f>Modeloutput!K780/1000</f>
        <v>0</v>
      </c>
      <c r="BL22" s="93">
        <f>Modeloutput!L780/1000</f>
        <v>0</v>
      </c>
      <c r="BM22" s="93">
        <f>Modeloutput!M780/1000</f>
        <v>0</v>
      </c>
      <c r="BN22" s="93">
        <f>Modeloutput!N780/1000</f>
        <v>0</v>
      </c>
      <c r="BO22" s="93">
        <f>Modeloutput!O780/1000</f>
        <v>0</v>
      </c>
      <c r="BP22" s="93">
        <f>Modeloutput!P780/1000</f>
        <v>0</v>
      </c>
      <c r="BR22" s="7" t="s">
        <v>12</v>
      </c>
      <c r="BS22" s="93">
        <f>Modeloutput!B1035/1000</f>
        <v>0</v>
      </c>
      <c r="BT22" s="93">
        <f>Modeloutput!C1035/1000</f>
        <v>0</v>
      </c>
      <c r="BU22" s="93">
        <f>Modeloutput!D1035/1000</f>
        <v>0</v>
      </c>
      <c r="BV22" s="93">
        <f>Modeloutput!E1035/1000</f>
        <v>0</v>
      </c>
      <c r="BW22" s="93">
        <f>Modeloutput!F1035/1000</f>
        <v>0</v>
      </c>
      <c r="BX22" s="93">
        <f>Modeloutput!G1035/1000</f>
        <v>0</v>
      </c>
      <c r="BY22" s="93">
        <f>Modeloutput!H1035/1000</f>
        <v>0</v>
      </c>
      <c r="BZ22" s="93">
        <f>Modeloutput!I1035/1000</f>
        <v>0</v>
      </c>
      <c r="CA22" s="93">
        <f>Modeloutput!J1035/1000</f>
        <v>0</v>
      </c>
      <c r="CB22" s="93">
        <f>Modeloutput!K1035/1000</f>
        <v>0</v>
      </c>
      <c r="CC22" s="93">
        <f>Modeloutput!L1035/1000</f>
        <v>0</v>
      </c>
      <c r="CD22" s="93">
        <f>Modeloutput!M1035/1000</f>
        <v>0</v>
      </c>
      <c r="CE22" s="93">
        <f>Modeloutput!N1035/1000</f>
        <v>0</v>
      </c>
      <c r="CF22" s="93">
        <f>Modeloutput!O1035/1000</f>
        <v>0</v>
      </c>
      <c r="CG22" s="93">
        <f>Modeloutput!P1035/1000</f>
        <v>0</v>
      </c>
    </row>
    <row r="23" spans="1:85" s="7" customFormat="1" x14ac:dyDescent="0.25">
      <c r="B23" s="7" t="s">
        <v>13</v>
      </c>
      <c r="C23" s="93">
        <f>Modeloutput!B16/1000</f>
        <v>0</v>
      </c>
      <c r="D23" s="93">
        <f>Modeloutput!C16/1000</f>
        <v>0</v>
      </c>
      <c r="E23" s="93">
        <f>Modeloutput!D16/1000</f>
        <v>0</v>
      </c>
      <c r="F23" s="93">
        <f>Modeloutput!E16/1000</f>
        <v>0</v>
      </c>
      <c r="G23" s="93">
        <f>Modeloutput!F16/1000</f>
        <v>0</v>
      </c>
      <c r="H23" s="93">
        <f>Modeloutput!G16/1000</f>
        <v>0</v>
      </c>
      <c r="I23" s="93">
        <f>Modeloutput!H16/1000</f>
        <v>0</v>
      </c>
      <c r="J23" s="93">
        <f>Modeloutput!I16/1000</f>
        <v>0</v>
      </c>
      <c r="K23" s="93">
        <f>Modeloutput!J16/1000</f>
        <v>0</v>
      </c>
      <c r="L23" s="93">
        <f>Modeloutput!K16/1000</f>
        <v>0</v>
      </c>
      <c r="M23" s="93">
        <f>Modeloutput!L16/1000</f>
        <v>0</v>
      </c>
      <c r="N23" s="93">
        <f>Modeloutput!M16/1000</f>
        <v>0</v>
      </c>
      <c r="O23" s="93">
        <f>Modeloutput!N16/1000</f>
        <v>0</v>
      </c>
      <c r="P23" s="93">
        <f>Modeloutput!O16/1000</f>
        <v>0</v>
      </c>
      <c r="Q23" s="93">
        <f>Modeloutput!P16/1000</f>
        <v>0</v>
      </c>
      <c r="S23" s="7" t="s">
        <v>13</v>
      </c>
      <c r="T23" s="93">
        <f>Modeloutput!B271/1000</f>
        <v>0</v>
      </c>
      <c r="U23" s="93">
        <f>Modeloutput!C271/1000</f>
        <v>0</v>
      </c>
      <c r="V23" s="93">
        <f>Modeloutput!D271/1000</f>
        <v>0</v>
      </c>
      <c r="W23" s="93">
        <f>Modeloutput!E271/1000</f>
        <v>0</v>
      </c>
      <c r="X23" s="93">
        <f>Modeloutput!F271/1000</f>
        <v>0</v>
      </c>
      <c r="Y23" s="93">
        <f>Modeloutput!G271/1000</f>
        <v>0</v>
      </c>
      <c r="Z23" s="93">
        <f>Modeloutput!H271/1000</f>
        <v>0</v>
      </c>
      <c r="AA23" s="93">
        <f>Modeloutput!I271/1000</f>
        <v>0</v>
      </c>
      <c r="AB23" s="93">
        <f>Modeloutput!J271/1000</f>
        <v>0</v>
      </c>
      <c r="AC23" s="93">
        <f>Modeloutput!K271/1000</f>
        <v>0</v>
      </c>
      <c r="AD23" s="93">
        <f>Modeloutput!L271/1000</f>
        <v>0</v>
      </c>
      <c r="AE23" s="93">
        <f>Modeloutput!M271/1000</f>
        <v>0</v>
      </c>
      <c r="AF23" s="93">
        <f>Modeloutput!N271/1000</f>
        <v>0</v>
      </c>
      <c r="AG23" s="93">
        <f>Modeloutput!O271/1000</f>
        <v>0</v>
      </c>
      <c r="AH23" s="93">
        <f>Modeloutput!P271/1000</f>
        <v>0</v>
      </c>
      <c r="AJ23" s="7" t="s">
        <v>13</v>
      </c>
      <c r="AK23" s="93">
        <f>Modeloutput!B526/1000</f>
        <v>0</v>
      </c>
      <c r="AL23" s="93">
        <f>Modeloutput!C526/1000</f>
        <v>0</v>
      </c>
      <c r="AM23" s="93">
        <f>Modeloutput!D526/1000</f>
        <v>0</v>
      </c>
      <c r="AN23" s="93">
        <f>Modeloutput!E526/1000</f>
        <v>0</v>
      </c>
      <c r="AO23" s="93">
        <f>Modeloutput!F526/1000</f>
        <v>0</v>
      </c>
      <c r="AP23" s="93">
        <f>Modeloutput!G526/1000</f>
        <v>0</v>
      </c>
      <c r="AQ23" s="93">
        <f>Modeloutput!H526/1000</f>
        <v>0</v>
      </c>
      <c r="AR23" s="93">
        <f>Modeloutput!I526/1000</f>
        <v>0</v>
      </c>
      <c r="AS23" s="93">
        <f>Modeloutput!J526/1000</f>
        <v>0</v>
      </c>
      <c r="AT23" s="93">
        <f>Modeloutput!K526/1000</f>
        <v>0</v>
      </c>
      <c r="AU23" s="93">
        <f>Modeloutput!L526/1000</f>
        <v>0</v>
      </c>
      <c r="AV23" s="93">
        <f>Modeloutput!M526/1000</f>
        <v>0</v>
      </c>
      <c r="AW23" s="93">
        <f>Modeloutput!N526/1000</f>
        <v>0</v>
      </c>
      <c r="AX23" s="93">
        <f>Modeloutput!O526/1000</f>
        <v>0</v>
      </c>
      <c r="AY23" s="93">
        <f>Modeloutput!P526/1000</f>
        <v>0</v>
      </c>
      <c r="BA23" s="7" t="s">
        <v>13</v>
      </c>
      <c r="BB23" s="93">
        <f>Modeloutput!B781/1000</f>
        <v>0</v>
      </c>
      <c r="BC23" s="93">
        <f>Modeloutput!C781/1000</f>
        <v>0</v>
      </c>
      <c r="BD23" s="93">
        <f>Modeloutput!D781/1000</f>
        <v>0</v>
      </c>
      <c r="BE23" s="93">
        <f>Modeloutput!E781/1000</f>
        <v>0</v>
      </c>
      <c r="BF23" s="93">
        <f>Modeloutput!F781/1000</f>
        <v>0</v>
      </c>
      <c r="BG23" s="93">
        <f>Modeloutput!G781/1000</f>
        <v>0</v>
      </c>
      <c r="BH23" s="93">
        <f>Modeloutput!H781/1000</f>
        <v>0</v>
      </c>
      <c r="BI23" s="93">
        <f>Modeloutput!I781/1000</f>
        <v>0</v>
      </c>
      <c r="BJ23" s="93">
        <f>Modeloutput!J781/1000</f>
        <v>0</v>
      </c>
      <c r="BK23" s="93">
        <f>Modeloutput!K781/1000</f>
        <v>0</v>
      </c>
      <c r="BL23" s="93">
        <f>Modeloutput!L781/1000</f>
        <v>0</v>
      </c>
      <c r="BM23" s="93">
        <f>Modeloutput!M781/1000</f>
        <v>0</v>
      </c>
      <c r="BN23" s="93">
        <f>Modeloutput!N781/1000</f>
        <v>0</v>
      </c>
      <c r="BO23" s="93">
        <f>Modeloutput!O781/1000</f>
        <v>0</v>
      </c>
      <c r="BP23" s="93">
        <f>Modeloutput!P781/1000</f>
        <v>0</v>
      </c>
      <c r="BR23" s="7" t="s">
        <v>13</v>
      </c>
      <c r="BS23" s="93">
        <f>Modeloutput!B1036/1000</f>
        <v>0</v>
      </c>
      <c r="BT23" s="93">
        <f>Modeloutput!C1036/1000</f>
        <v>0</v>
      </c>
      <c r="BU23" s="93">
        <f>Modeloutput!D1036/1000</f>
        <v>0</v>
      </c>
      <c r="BV23" s="93">
        <f>Modeloutput!E1036/1000</f>
        <v>0</v>
      </c>
      <c r="BW23" s="93">
        <f>Modeloutput!F1036/1000</f>
        <v>0</v>
      </c>
      <c r="BX23" s="93">
        <f>Modeloutput!G1036/1000</f>
        <v>0</v>
      </c>
      <c r="BY23" s="93">
        <f>Modeloutput!H1036/1000</f>
        <v>0</v>
      </c>
      <c r="BZ23" s="93">
        <f>Modeloutput!I1036/1000</f>
        <v>0</v>
      </c>
      <c r="CA23" s="93">
        <f>Modeloutput!J1036/1000</f>
        <v>0</v>
      </c>
      <c r="CB23" s="93">
        <f>Modeloutput!K1036/1000</f>
        <v>0</v>
      </c>
      <c r="CC23" s="93">
        <f>Modeloutput!L1036/1000</f>
        <v>0</v>
      </c>
      <c r="CD23" s="93">
        <f>Modeloutput!M1036/1000</f>
        <v>0</v>
      </c>
      <c r="CE23" s="93">
        <f>Modeloutput!N1036/1000</f>
        <v>0</v>
      </c>
      <c r="CF23" s="93">
        <f>Modeloutput!O1036/1000</f>
        <v>0</v>
      </c>
      <c r="CG23" s="93">
        <f>Modeloutput!P1036/1000</f>
        <v>0</v>
      </c>
    </row>
    <row r="24" spans="1:85" s="7" customFormat="1" x14ac:dyDescent="0.25">
      <c r="B24" s="7" t="s">
        <v>14</v>
      </c>
      <c r="C24" s="93">
        <f>Modeloutput!B17/1000</f>
        <v>0</v>
      </c>
      <c r="D24" s="93">
        <f>Modeloutput!C17/1000</f>
        <v>0</v>
      </c>
      <c r="E24" s="93">
        <f>Modeloutput!D17/1000</f>
        <v>0</v>
      </c>
      <c r="F24" s="93">
        <f>Modeloutput!E17/1000</f>
        <v>0</v>
      </c>
      <c r="G24" s="93">
        <f>Modeloutput!F17/1000</f>
        <v>0</v>
      </c>
      <c r="H24" s="93">
        <f>Modeloutput!G17/1000</f>
        <v>0</v>
      </c>
      <c r="I24" s="93">
        <f>Modeloutput!H17/1000</f>
        <v>0</v>
      </c>
      <c r="J24" s="93">
        <f>Modeloutput!I17/1000</f>
        <v>0</v>
      </c>
      <c r="K24" s="93">
        <f>Modeloutput!J17/1000</f>
        <v>0</v>
      </c>
      <c r="L24" s="93">
        <f>Modeloutput!K17/1000</f>
        <v>0</v>
      </c>
      <c r="M24" s="93">
        <f>Modeloutput!L17/1000</f>
        <v>0</v>
      </c>
      <c r="N24" s="93">
        <f>Modeloutput!M17/1000</f>
        <v>0</v>
      </c>
      <c r="O24" s="93">
        <f>Modeloutput!N17/1000</f>
        <v>0</v>
      </c>
      <c r="P24" s="93">
        <f>Modeloutput!O17/1000</f>
        <v>0</v>
      </c>
      <c r="Q24" s="93">
        <f>Modeloutput!P17/1000</f>
        <v>0</v>
      </c>
      <c r="S24" s="7" t="s">
        <v>14</v>
      </c>
      <c r="T24" s="93">
        <f>Modeloutput!B272/1000</f>
        <v>0</v>
      </c>
      <c r="U24" s="93">
        <f>Modeloutput!C272/1000</f>
        <v>0</v>
      </c>
      <c r="V24" s="93">
        <f>Modeloutput!D272/1000</f>
        <v>0</v>
      </c>
      <c r="W24" s="93">
        <f>Modeloutput!E272/1000</f>
        <v>0</v>
      </c>
      <c r="X24" s="93">
        <f>Modeloutput!F272/1000</f>
        <v>0</v>
      </c>
      <c r="Y24" s="93">
        <f>Modeloutput!G272/1000</f>
        <v>0</v>
      </c>
      <c r="Z24" s="93">
        <f>Modeloutput!H272/1000</f>
        <v>0</v>
      </c>
      <c r="AA24" s="93">
        <f>Modeloutput!I272/1000</f>
        <v>0</v>
      </c>
      <c r="AB24" s="93">
        <f>Modeloutput!J272/1000</f>
        <v>0</v>
      </c>
      <c r="AC24" s="93">
        <f>Modeloutput!K272/1000</f>
        <v>0</v>
      </c>
      <c r="AD24" s="93">
        <f>Modeloutput!L272/1000</f>
        <v>0</v>
      </c>
      <c r="AE24" s="93">
        <f>Modeloutput!M272/1000</f>
        <v>0</v>
      </c>
      <c r="AF24" s="93">
        <f>Modeloutput!N272/1000</f>
        <v>0</v>
      </c>
      <c r="AG24" s="93">
        <f>Modeloutput!O272/1000</f>
        <v>0</v>
      </c>
      <c r="AH24" s="93">
        <f>Modeloutput!P272/1000</f>
        <v>0</v>
      </c>
      <c r="AJ24" s="7" t="s">
        <v>14</v>
      </c>
      <c r="AK24" s="93">
        <f>Modeloutput!B527/1000</f>
        <v>0</v>
      </c>
      <c r="AL24" s="93">
        <f>Modeloutput!C527/1000</f>
        <v>0</v>
      </c>
      <c r="AM24" s="93">
        <f>Modeloutput!D527/1000</f>
        <v>0</v>
      </c>
      <c r="AN24" s="93">
        <f>Modeloutput!E527/1000</f>
        <v>0</v>
      </c>
      <c r="AO24" s="93">
        <f>Modeloutput!F527/1000</f>
        <v>0</v>
      </c>
      <c r="AP24" s="93">
        <f>Modeloutput!G527/1000</f>
        <v>0</v>
      </c>
      <c r="AQ24" s="93">
        <f>Modeloutput!H527/1000</f>
        <v>0</v>
      </c>
      <c r="AR24" s="93">
        <f>Modeloutput!I527/1000</f>
        <v>0</v>
      </c>
      <c r="AS24" s="93">
        <f>Modeloutput!J527/1000</f>
        <v>0</v>
      </c>
      <c r="AT24" s="93">
        <f>Modeloutput!K527/1000</f>
        <v>0</v>
      </c>
      <c r="AU24" s="93">
        <f>Modeloutput!L527/1000</f>
        <v>0</v>
      </c>
      <c r="AV24" s="93">
        <f>Modeloutput!M527/1000</f>
        <v>0</v>
      </c>
      <c r="AW24" s="93">
        <f>Modeloutput!N527/1000</f>
        <v>0</v>
      </c>
      <c r="AX24" s="93">
        <f>Modeloutput!O527/1000</f>
        <v>0</v>
      </c>
      <c r="AY24" s="93">
        <f>Modeloutput!P527/1000</f>
        <v>0</v>
      </c>
      <c r="BA24" s="7" t="s">
        <v>14</v>
      </c>
      <c r="BB24" s="93">
        <f>Modeloutput!B782/1000</f>
        <v>0</v>
      </c>
      <c r="BC24" s="93">
        <f>Modeloutput!C782/1000</f>
        <v>0</v>
      </c>
      <c r="BD24" s="93">
        <f>Modeloutput!D782/1000</f>
        <v>0</v>
      </c>
      <c r="BE24" s="93">
        <f>Modeloutput!E782/1000</f>
        <v>0</v>
      </c>
      <c r="BF24" s="93">
        <f>Modeloutput!F782/1000</f>
        <v>0</v>
      </c>
      <c r="BG24" s="93">
        <f>Modeloutput!G782/1000</f>
        <v>0</v>
      </c>
      <c r="BH24" s="93">
        <f>Modeloutput!H782/1000</f>
        <v>0</v>
      </c>
      <c r="BI24" s="93">
        <f>Modeloutput!I782/1000</f>
        <v>0</v>
      </c>
      <c r="BJ24" s="93">
        <f>Modeloutput!J782/1000</f>
        <v>0</v>
      </c>
      <c r="BK24" s="93">
        <f>Modeloutput!K782/1000</f>
        <v>0</v>
      </c>
      <c r="BL24" s="93">
        <f>Modeloutput!L782/1000</f>
        <v>0</v>
      </c>
      <c r="BM24" s="93">
        <f>Modeloutput!M782/1000</f>
        <v>0</v>
      </c>
      <c r="BN24" s="93">
        <f>Modeloutput!N782/1000</f>
        <v>0</v>
      </c>
      <c r="BO24" s="93">
        <f>Modeloutput!O782/1000</f>
        <v>0</v>
      </c>
      <c r="BP24" s="93">
        <f>Modeloutput!P782/1000</f>
        <v>0</v>
      </c>
      <c r="BR24" s="7" t="s">
        <v>14</v>
      </c>
      <c r="BS24" s="93">
        <f>Modeloutput!B1037/1000</f>
        <v>0</v>
      </c>
      <c r="BT24" s="93">
        <f>Modeloutput!C1037/1000</f>
        <v>0</v>
      </c>
      <c r="BU24" s="93">
        <f>Modeloutput!D1037/1000</f>
        <v>0</v>
      </c>
      <c r="BV24" s="93">
        <f>Modeloutput!E1037/1000</f>
        <v>0</v>
      </c>
      <c r="BW24" s="93">
        <f>Modeloutput!F1037/1000</f>
        <v>0</v>
      </c>
      <c r="BX24" s="93">
        <f>Modeloutput!G1037/1000</f>
        <v>0</v>
      </c>
      <c r="BY24" s="93">
        <f>Modeloutput!H1037/1000</f>
        <v>0</v>
      </c>
      <c r="BZ24" s="93">
        <f>Modeloutput!I1037/1000</f>
        <v>0</v>
      </c>
      <c r="CA24" s="93">
        <f>Modeloutput!J1037/1000</f>
        <v>0</v>
      </c>
      <c r="CB24" s="93">
        <f>Modeloutput!K1037/1000</f>
        <v>0</v>
      </c>
      <c r="CC24" s="93">
        <f>Modeloutput!L1037/1000</f>
        <v>0</v>
      </c>
      <c r="CD24" s="93">
        <f>Modeloutput!M1037/1000</f>
        <v>0</v>
      </c>
      <c r="CE24" s="93">
        <f>Modeloutput!N1037/1000</f>
        <v>0</v>
      </c>
      <c r="CF24" s="93">
        <f>Modeloutput!O1037/1000</f>
        <v>0</v>
      </c>
      <c r="CG24" s="93">
        <f>Modeloutput!P1037/1000</f>
        <v>0</v>
      </c>
    </row>
    <row r="25" spans="1:85" s="7" customFormat="1" x14ac:dyDescent="0.25">
      <c r="B25" s="28" t="s">
        <v>18</v>
      </c>
      <c r="C25" s="100">
        <f>SUM(C11:C24)</f>
        <v>0.64812717200000003</v>
      </c>
      <c r="D25" s="100">
        <f t="shared" ref="D25:Q25" si="0">SUM(D11:D24)</f>
        <v>2.8758288E-2</v>
      </c>
      <c r="E25" s="100">
        <f t="shared" si="0"/>
        <v>0.61936888400000001</v>
      </c>
      <c r="F25" s="100">
        <f t="shared" si="0"/>
        <v>0.37773285349999997</v>
      </c>
      <c r="G25" s="100">
        <f t="shared" si="0"/>
        <v>0</v>
      </c>
      <c r="H25" s="100">
        <f t="shared" si="0"/>
        <v>0.24163603039999998</v>
      </c>
      <c r="I25" s="100">
        <f t="shared" si="0"/>
        <v>0</v>
      </c>
      <c r="J25" s="100">
        <f t="shared" si="0"/>
        <v>0</v>
      </c>
      <c r="K25" s="100">
        <f t="shared" si="0"/>
        <v>0</v>
      </c>
      <c r="L25" s="100">
        <f t="shared" si="0"/>
        <v>2.8758288E-2</v>
      </c>
      <c r="M25" s="100">
        <f t="shared" si="0"/>
        <v>0</v>
      </c>
      <c r="N25" s="100">
        <f t="shared" si="0"/>
        <v>0</v>
      </c>
      <c r="O25" s="100">
        <f t="shared" si="0"/>
        <v>0</v>
      </c>
      <c r="P25" s="100">
        <f t="shared" si="0"/>
        <v>0</v>
      </c>
      <c r="Q25" s="100">
        <f t="shared" si="0"/>
        <v>0</v>
      </c>
      <c r="S25" s="28" t="s">
        <v>18</v>
      </c>
      <c r="T25" s="100">
        <f t="shared" ref="T25:AH25" si="1">SUM(T11:T24)</f>
        <v>0.64812717200000003</v>
      </c>
      <c r="U25" s="100">
        <f t="shared" si="1"/>
        <v>2.8758288E-2</v>
      </c>
      <c r="V25" s="100">
        <f t="shared" si="1"/>
        <v>0.61936888400000001</v>
      </c>
      <c r="W25" s="100">
        <f t="shared" si="1"/>
        <v>0.37773285349999997</v>
      </c>
      <c r="X25" s="100">
        <f t="shared" si="1"/>
        <v>0</v>
      </c>
      <c r="Y25" s="100">
        <f t="shared" si="1"/>
        <v>0.24163603039999998</v>
      </c>
      <c r="Z25" s="100">
        <f t="shared" si="1"/>
        <v>0</v>
      </c>
      <c r="AA25" s="100">
        <f t="shared" si="1"/>
        <v>0</v>
      </c>
      <c r="AB25" s="100">
        <f t="shared" si="1"/>
        <v>0</v>
      </c>
      <c r="AC25" s="100">
        <f t="shared" si="1"/>
        <v>2.8758288E-2</v>
      </c>
      <c r="AD25" s="100">
        <f t="shared" si="1"/>
        <v>0</v>
      </c>
      <c r="AE25" s="100">
        <f t="shared" si="1"/>
        <v>0</v>
      </c>
      <c r="AF25" s="100">
        <f t="shared" si="1"/>
        <v>0</v>
      </c>
      <c r="AG25" s="100">
        <f t="shared" si="1"/>
        <v>0</v>
      </c>
      <c r="AH25" s="100">
        <f t="shared" si="1"/>
        <v>0</v>
      </c>
      <c r="AJ25" s="28" t="s">
        <v>18</v>
      </c>
      <c r="AK25" s="100">
        <f t="shared" ref="AK25:AY25" si="2">SUM(AK11:AK24)</f>
        <v>0.64812717200000003</v>
      </c>
      <c r="AL25" s="100">
        <f t="shared" si="2"/>
        <v>2.8758288E-2</v>
      </c>
      <c r="AM25" s="100">
        <f t="shared" si="2"/>
        <v>0.61936888400000001</v>
      </c>
      <c r="AN25" s="100">
        <f t="shared" si="2"/>
        <v>0.37773285349999997</v>
      </c>
      <c r="AO25" s="100">
        <f t="shared" si="2"/>
        <v>0</v>
      </c>
      <c r="AP25" s="100">
        <f t="shared" si="2"/>
        <v>0.24163603039999998</v>
      </c>
      <c r="AQ25" s="100">
        <f t="shared" si="2"/>
        <v>0</v>
      </c>
      <c r="AR25" s="100">
        <f t="shared" si="2"/>
        <v>0</v>
      </c>
      <c r="AS25" s="100">
        <f t="shared" si="2"/>
        <v>0</v>
      </c>
      <c r="AT25" s="100">
        <f t="shared" si="2"/>
        <v>2.8758288E-2</v>
      </c>
      <c r="AU25" s="100">
        <f t="shared" si="2"/>
        <v>0</v>
      </c>
      <c r="AV25" s="100">
        <f t="shared" si="2"/>
        <v>0</v>
      </c>
      <c r="AW25" s="100">
        <f t="shared" si="2"/>
        <v>0</v>
      </c>
      <c r="AX25" s="100">
        <f t="shared" si="2"/>
        <v>0</v>
      </c>
      <c r="AY25" s="100">
        <f t="shared" si="2"/>
        <v>0</v>
      </c>
      <c r="BA25" s="28" t="s">
        <v>18</v>
      </c>
      <c r="BB25" s="100">
        <f t="shared" ref="BB25:BP25" si="3">SUM(BB11:BB24)</f>
        <v>0.64812717200000003</v>
      </c>
      <c r="BC25" s="100">
        <f t="shared" si="3"/>
        <v>2.8758288E-2</v>
      </c>
      <c r="BD25" s="100">
        <f t="shared" si="3"/>
        <v>0.61936888400000001</v>
      </c>
      <c r="BE25" s="100">
        <f t="shared" si="3"/>
        <v>0.37773285349999997</v>
      </c>
      <c r="BF25" s="100">
        <f t="shared" si="3"/>
        <v>0</v>
      </c>
      <c r="BG25" s="100">
        <f t="shared" si="3"/>
        <v>0.24163603039999998</v>
      </c>
      <c r="BH25" s="100">
        <f t="shared" si="3"/>
        <v>0</v>
      </c>
      <c r="BI25" s="100">
        <f t="shared" si="3"/>
        <v>0</v>
      </c>
      <c r="BJ25" s="100">
        <f t="shared" si="3"/>
        <v>0</v>
      </c>
      <c r="BK25" s="100">
        <f t="shared" si="3"/>
        <v>2.8758288E-2</v>
      </c>
      <c r="BL25" s="100">
        <f t="shared" si="3"/>
        <v>0</v>
      </c>
      <c r="BM25" s="100">
        <f t="shared" si="3"/>
        <v>0</v>
      </c>
      <c r="BN25" s="100">
        <f t="shared" si="3"/>
        <v>0</v>
      </c>
      <c r="BO25" s="100">
        <f t="shared" si="3"/>
        <v>0</v>
      </c>
      <c r="BP25" s="100">
        <f t="shared" si="3"/>
        <v>0</v>
      </c>
      <c r="BR25" s="28" t="s">
        <v>18</v>
      </c>
      <c r="BS25" s="100">
        <f t="shared" ref="BS25:CG25" si="4">SUM(BS11:BS24)</f>
        <v>0.64812717200000003</v>
      </c>
      <c r="BT25" s="100">
        <f t="shared" si="4"/>
        <v>2.8758288E-2</v>
      </c>
      <c r="BU25" s="100">
        <f t="shared" si="4"/>
        <v>0.61936888400000001</v>
      </c>
      <c r="BV25" s="100">
        <f t="shared" si="4"/>
        <v>0.37773285349999997</v>
      </c>
      <c r="BW25" s="100">
        <f t="shared" si="4"/>
        <v>0</v>
      </c>
      <c r="BX25" s="100">
        <f t="shared" si="4"/>
        <v>0.24163603039999998</v>
      </c>
      <c r="BY25" s="100">
        <f t="shared" si="4"/>
        <v>0</v>
      </c>
      <c r="BZ25" s="100">
        <f t="shared" si="4"/>
        <v>0</v>
      </c>
      <c r="CA25" s="100">
        <f t="shared" si="4"/>
        <v>0</v>
      </c>
      <c r="CB25" s="100">
        <f t="shared" si="4"/>
        <v>2.8758288E-2</v>
      </c>
      <c r="CC25" s="100">
        <f t="shared" si="4"/>
        <v>0</v>
      </c>
      <c r="CD25" s="100">
        <f t="shared" si="4"/>
        <v>0</v>
      </c>
      <c r="CE25" s="100">
        <f t="shared" si="4"/>
        <v>0</v>
      </c>
      <c r="CF25" s="100">
        <f t="shared" si="4"/>
        <v>0</v>
      </c>
      <c r="CG25" s="100">
        <f t="shared" si="4"/>
        <v>0</v>
      </c>
    </row>
    <row r="26" spans="1:85" s="7" customFormat="1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</row>
    <row r="27" spans="1:85" s="7" customFormat="1" x14ac:dyDescent="0.25">
      <c r="B27" s="21" t="s">
        <v>3</v>
      </c>
      <c r="C27" s="86">
        <f>SUM(F13:K13)</f>
        <v>0.23868816780000002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S27" s="21" t="s">
        <v>3</v>
      </c>
      <c r="T27" s="86">
        <f>SUM(W13:AB13)</f>
        <v>0.23868816780000002</v>
      </c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J27" s="21" t="s">
        <v>3</v>
      </c>
      <c r="AK27" s="86">
        <f>SUM(AN13:AS13)</f>
        <v>0.23868816780000002</v>
      </c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BA27" s="21" t="s">
        <v>3</v>
      </c>
      <c r="BB27" s="86">
        <f>SUM(BE13:BJ13)</f>
        <v>0.23868816780000002</v>
      </c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R27" s="21" t="s">
        <v>3</v>
      </c>
      <c r="BS27" s="86">
        <f>SUM(BV13:CA13)</f>
        <v>0.23868816780000002</v>
      </c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</row>
    <row r="28" spans="1:85" s="7" customFormat="1" x14ac:dyDescent="0.25">
      <c r="B28" s="12" t="s">
        <v>38</v>
      </c>
      <c r="C28" s="87">
        <f>SUM(F14:K14)</f>
        <v>0.35192242800000001</v>
      </c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S28" s="12" t="s">
        <v>38</v>
      </c>
      <c r="T28" s="87">
        <f>SUM(W14:AB14)</f>
        <v>0.35192242800000001</v>
      </c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J28" s="12" t="s">
        <v>38</v>
      </c>
      <c r="AK28" s="87">
        <f>SUM(AN14:AS14)</f>
        <v>0.35192242800000001</v>
      </c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BA28" s="12" t="s">
        <v>38</v>
      </c>
      <c r="BB28" s="87">
        <f>SUM(BE14:BJ14)</f>
        <v>0.35192242800000001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R28" s="12" t="s">
        <v>38</v>
      </c>
      <c r="BS28" s="87">
        <f>SUM(BV14:CA14)</f>
        <v>0.35192242800000001</v>
      </c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</row>
    <row r="29" spans="1:85" s="7" customFormat="1" x14ac:dyDescent="0.25">
      <c r="B29" s="26" t="s">
        <v>39</v>
      </c>
      <c r="C29" s="88">
        <f>SUM(F15:K19)-C31</f>
        <v>1.000000013351432E-10</v>
      </c>
      <c r="D29" s="8"/>
      <c r="E29" s="92" t="s">
        <v>374</v>
      </c>
      <c r="F29" s="91"/>
      <c r="G29" s="91"/>
      <c r="H29" s="91"/>
      <c r="I29" s="8"/>
      <c r="J29" s="8"/>
      <c r="K29" s="8"/>
      <c r="L29" s="8"/>
      <c r="M29" s="8"/>
      <c r="N29" s="8"/>
      <c r="O29" s="8"/>
      <c r="P29" s="8"/>
      <c r="Q29" s="8"/>
      <c r="S29" s="26" t="s">
        <v>39</v>
      </c>
      <c r="T29" s="88">
        <f>SUM(W15:AB19)-T31</f>
        <v>1.000000013351432E-10</v>
      </c>
      <c r="U29" s="8"/>
      <c r="V29" s="92" t="s">
        <v>374</v>
      </c>
      <c r="W29" s="91"/>
      <c r="X29" s="91"/>
      <c r="Y29" s="91"/>
      <c r="Z29" s="8"/>
      <c r="AA29" s="8"/>
      <c r="AB29" s="8"/>
      <c r="AC29" s="8"/>
      <c r="AD29" s="8"/>
      <c r="AE29" s="8"/>
      <c r="AF29" s="8"/>
      <c r="AG29" s="8"/>
      <c r="AH29" s="8"/>
      <c r="AJ29" s="26" t="s">
        <v>39</v>
      </c>
      <c r="AK29" s="88">
        <f>SUM(AN15:AS19)-AK31</f>
        <v>1.000000013351432E-10</v>
      </c>
      <c r="AL29" s="8"/>
      <c r="AM29" s="92" t="s">
        <v>374</v>
      </c>
      <c r="AN29" s="91"/>
      <c r="AO29" s="91"/>
      <c r="AP29" s="91"/>
      <c r="AQ29" s="8"/>
      <c r="AR29" s="8"/>
      <c r="AS29" s="8"/>
      <c r="AT29" s="8"/>
      <c r="AU29" s="8"/>
      <c r="AV29" s="8"/>
      <c r="AW29" s="8"/>
      <c r="AX29" s="8"/>
      <c r="AY29" s="8"/>
      <c r="BA29" s="26" t="s">
        <v>39</v>
      </c>
      <c r="BB29" s="88">
        <f>SUM(BE15:BJ19)-BB31</f>
        <v>1.000000013351432E-10</v>
      </c>
      <c r="BC29" s="8"/>
      <c r="BD29" s="92" t="s">
        <v>374</v>
      </c>
      <c r="BE29" s="91"/>
      <c r="BF29" s="91"/>
      <c r="BG29" s="91"/>
      <c r="BH29" s="8"/>
      <c r="BI29" s="8"/>
      <c r="BJ29" s="8"/>
      <c r="BK29" s="8"/>
      <c r="BL29" s="8"/>
      <c r="BM29" s="8"/>
      <c r="BN29" s="8"/>
      <c r="BO29" s="8"/>
      <c r="BP29" s="8"/>
      <c r="BR29" s="26" t="s">
        <v>39</v>
      </c>
      <c r="BS29" s="88">
        <f>SUM(BV15:CA19)-BS31</f>
        <v>1.000000013351432E-10</v>
      </c>
      <c r="BT29" s="8"/>
      <c r="BU29" s="92" t="s">
        <v>374</v>
      </c>
      <c r="BV29" s="91"/>
      <c r="BW29" s="91"/>
      <c r="BX29" s="91"/>
      <c r="BY29" s="8"/>
      <c r="BZ29" s="8"/>
      <c r="CA29" s="8"/>
      <c r="CB29" s="8"/>
      <c r="CC29" s="8"/>
      <c r="CD29" s="8"/>
      <c r="CE29" s="8"/>
      <c r="CF29" s="8"/>
      <c r="CG29" s="8"/>
    </row>
    <row r="30" spans="1:85" s="7" customFormat="1" x14ac:dyDescent="0.25">
      <c r="B30" s="10" t="s">
        <v>40</v>
      </c>
      <c r="C30" s="89">
        <f>SUM(F12:K12)</f>
        <v>0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S30" s="10" t="s">
        <v>40</v>
      </c>
      <c r="T30" s="89">
        <f>SUM(W12:AB12)</f>
        <v>0</v>
      </c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J30" s="10" t="s">
        <v>40</v>
      </c>
      <c r="AK30" s="89">
        <f>SUM(AN12:AS12)</f>
        <v>0</v>
      </c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BA30" s="10" t="s">
        <v>40</v>
      </c>
      <c r="BB30" s="89">
        <f>SUM(BE12:BJ12)</f>
        <v>0</v>
      </c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R30" s="10" t="s">
        <v>40</v>
      </c>
      <c r="BS30" s="89">
        <f>SUM(BV12:CA12)</f>
        <v>0</v>
      </c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</row>
    <row r="31" spans="1:85" x14ac:dyDescent="0.25">
      <c r="B31" s="20" t="s">
        <v>41</v>
      </c>
      <c r="C31" s="90">
        <f>SUM(L13:P13)</f>
        <v>2.8758288E-2</v>
      </c>
      <c r="S31" s="20" t="s">
        <v>41</v>
      </c>
      <c r="T31" s="90">
        <f>SUM(AC13:AG13)</f>
        <v>2.8758288E-2</v>
      </c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J31" s="20" t="s">
        <v>41</v>
      </c>
      <c r="AK31" s="90">
        <f>SUM(AT13:AX13)</f>
        <v>2.8758288E-2</v>
      </c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BA31" s="20" t="s">
        <v>41</v>
      </c>
      <c r="BB31" s="90">
        <f>SUM(BK13:BO13)</f>
        <v>2.8758288E-2</v>
      </c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R31" s="20" t="s">
        <v>41</v>
      </c>
      <c r="BS31" s="90">
        <f>SUM(CB13:CF13)</f>
        <v>2.8758288E-2</v>
      </c>
      <c r="BT31" s="84"/>
      <c r="BU31" s="84"/>
      <c r="BV31" s="84"/>
      <c r="BW31" s="84"/>
      <c r="BX31" s="84"/>
      <c r="BY31" s="84"/>
      <c r="BZ31" s="84"/>
      <c r="CA31" s="84"/>
      <c r="CB31" s="84"/>
      <c r="CC31" s="84"/>
      <c r="CD31" s="84"/>
      <c r="CE31" s="84"/>
      <c r="CF31" s="84"/>
      <c r="CG31" s="84"/>
    </row>
    <row r="32" spans="1:85" ht="21" x14ac:dyDescent="0.35">
      <c r="A32" s="5">
        <v>2020</v>
      </c>
      <c r="R32" s="5">
        <v>2020</v>
      </c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5">
        <v>2020</v>
      </c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5">
        <v>2020</v>
      </c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5">
        <v>2020</v>
      </c>
      <c r="BS32" s="84"/>
      <c r="BT32" s="84"/>
      <c r="BU32" s="84"/>
      <c r="BV32" s="84"/>
      <c r="BW32" s="84"/>
      <c r="BX32" s="84"/>
      <c r="BY32" s="84"/>
      <c r="BZ32" s="84"/>
      <c r="CA32" s="84"/>
      <c r="CB32" s="84"/>
      <c r="CC32" s="84"/>
      <c r="CD32" s="84"/>
      <c r="CE32" s="84"/>
      <c r="CF32" s="84"/>
      <c r="CG32" s="84"/>
    </row>
    <row r="33" spans="2:85" x14ac:dyDescent="0.25">
      <c r="B33" s="4" t="str">
        <f>$B$6</f>
        <v>ReferentieUtrecht</v>
      </c>
      <c r="S33" s="4" t="str">
        <f>$S$6</f>
        <v>Utrecht_Label B</v>
      </c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J33" s="4" t="str">
        <f>AJ$6</f>
        <v>Utrecht_Label Aplus</v>
      </c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BA33" s="4" t="str">
        <f>BA$6</f>
        <v>Utrecht_Label Aplus, met eWP</v>
      </c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R33" s="4" t="str">
        <f>BR$6</f>
        <v>Utrecht_Label B_Warmtenetten</v>
      </c>
      <c r="BS33" s="84"/>
      <c r="BT33" s="84"/>
      <c r="BU33" s="84"/>
      <c r="BV33" s="84"/>
      <c r="BW33" s="84"/>
      <c r="BX33" s="84"/>
      <c r="BY33" s="84"/>
      <c r="BZ33" s="84"/>
      <c r="CA33" s="84"/>
      <c r="CB33" s="84"/>
      <c r="CC33" s="84"/>
      <c r="CD33" s="84"/>
      <c r="CE33" s="84"/>
      <c r="CF33" s="84"/>
      <c r="CG33" s="84"/>
    </row>
    <row r="34" spans="2:85" x14ac:dyDescent="0.25">
      <c r="C34" s="1" t="s">
        <v>18</v>
      </c>
      <c r="D34" s="1" t="s">
        <v>19</v>
      </c>
      <c r="E34" s="1" t="s">
        <v>20</v>
      </c>
      <c r="F34" s="1" t="s">
        <v>21</v>
      </c>
      <c r="G34" s="1" t="s">
        <v>22</v>
      </c>
      <c r="H34" s="1" t="s">
        <v>23</v>
      </c>
      <c r="I34" s="1" t="s">
        <v>24</v>
      </c>
      <c r="J34" s="1" t="s">
        <v>25</v>
      </c>
      <c r="K34" s="1" t="s">
        <v>26</v>
      </c>
      <c r="L34" s="1" t="s">
        <v>5</v>
      </c>
      <c r="M34" s="1" t="s">
        <v>6</v>
      </c>
      <c r="N34" s="1" t="s">
        <v>7</v>
      </c>
      <c r="O34" s="1" t="s">
        <v>8</v>
      </c>
      <c r="P34" s="1" t="s">
        <v>9</v>
      </c>
      <c r="Q34" s="1" t="s">
        <v>27</v>
      </c>
      <c r="T34" s="1" t="s">
        <v>18</v>
      </c>
      <c r="U34" s="1" t="s">
        <v>19</v>
      </c>
      <c r="V34" s="1" t="s">
        <v>20</v>
      </c>
      <c r="W34" s="1" t="s">
        <v>21</v>
      </c>
      <c r="X34" s="1" t="s">
        <v>22</v>
      </c>
      <c r="Y34" s="1" t="s">
        <v>23</v>
      </c>
      <c r="Z34" s="1" t="s">
        <v>24</v>
      </c>
      <c r="AA34" s="1" t="s">
        <v>25</v>
      </c>
      <c r="AB34" s="1" t="s">
        <v>26</v>
      </c>
      <c r="AC34" s="1" t="s">
        <v>5</v>
      </c>
      <c r="AD34" s="1" t="s">
        <v>6</v>
      </c>
      <c r="AE34" s="1" t="s">
        <v>7</v>
      </c>
      <c r="AF34" s="1" t="s">
        <v>8</v>
      </c>
      <c r="AG34" s="1" t="s">
        <v>9</v>
      </c>
      <c r="AH34" s="1" t="s">
        <v>27</v>
      </c>
      <c r="AK34" s="1" t="s">
        <v>18</v>
      </c>
      <c r="AL34" s="1" t="s">
        <v>19</v>
      </c>
      <c r="AM34" s="1" t="s">
        <v>20</v>
      </c>
      <c r="AN34" s="1" t="s">
        <v>21</v>
      </c>
      <c r="AO34" s="1" t="s">
        <v>22</v>
      </c>
      <c r="AP34" s="1" t="s">
        <v>23</v>
      </c>
      <c r="AQ34" s="1" t="s">
        <v>24</v>
      </c>
      <c r="AR34" s="1" t="s">
        <v>25</v>
      </c>
      <c r="AS34" s="1" t="s">
        <v>26</v>
      </c>
      <c r="AT34" s="1" t="s">
        <v>5</v>
      </c>
      <c r="AU34" s="1" t="s">
        <v>6</v>
      </c>
      <c r="AV34" s="1" t="s">
        <v>7</v>
      </c>
      <c r="AW34" s="1" t="s">
        <v>8</v>
      </c>
      <c r="AX34" s="1" t="s">
        <v>9</v>
      </c>
      <c r="AY34" s="1" t="s">
        <v>27</v>
      </c>
      <c r="BB34" s="1" t="s">
        <v>18</v>
      </c>
      <c r="BC34" s="1" t="s">
        <v>19</v>
      </c>
      <c r="BD34" s="1" t="s">
        <v>20</v>
      </c>
      <c r="BE34" s="1" t="s">
        <v>21</v>
      </c>
      <c r="BF34" s="1" t="s">
        <v>22</v>
      </c>
      <c r="BG34" s="1" t="s">
        <v>23</v>
      </c>
      <c r="BH34" s="1" t="s">
        <v>24</v>
      </c>
      <c r="BI34" s="1" t="s">
        <v>25</v>
      </c>
      <c r="BJ34" s="1" t="s">
        <v>26</v>
      </c>
      <c r="BK34" s="1" t="s">
        <v>5</v>
      </c>
      <c r="BL34" s="1" t="s">
        <v>6</v>
      </c>
      <c r="BM34" s="1" t="s">
        <v>7</v>
      </c>
      <c r="BN34" s="1" t="s">
        <v>8</v>
      </c>
      <c r="BO34" s="1" t="s">
        <v>9</v>
      </c>
      <c r="BP34" s="1" t="s">
        <v>27</v>
      </c>
      <c r="BS34" s="1" t="s">
        <v>18</v>
      </c>
      <c r="BT34" s="1" t="s">
        <v>19</v>
      </c>
      <c r="BU34" s="1" t="s">
        <v>20</v>
      </c>
      <c r="BV34" s="1" t="s">
        <v>21</v>
      </c>
      <c r="BW34" s="1" t="s">
        <v>22</v>
      </c>
      <c r="BX34" s="1" t="s">
        <v>23</v>
      </c>
      <c r="BY34" s="1" t="s">
        <v>24</v>
      </c>
      <c r="BZ34" s="1" t="s">
        <v>25</v>
      </c>
      <c r="CA34" s="1" t="s">
        <v>26</v>
      </c>
      <c r="CB34" s="1" t="s">
        <v>5</v>
      </c>
      <c r="CC34" s="1" t="s">
        <v>6</v>
      </c>
      <c r="CD34" s="1" t="s">
        <v>7</v>
      </c>
      <c r="CE34" s="1" t="s">
        <v>8</v>
      </c>
      <c r="CF34" s="1" t="s">
        <v>9</v>
      </c>
      <c r="CG34" s="1" t="s">
        <v>27</v>
      </c>
    </row>
    <row r="35" spans="2:85" x14ac:dyDescent="0.25">
      <c r="C35" s="1" t="s">
        <v>30</v>
      </c>
      <c r="D35" s="1" t="s">
        <v>30</v>
      </c>
      <c r="E35" s="1" t="s">
        <v>30</v>
      </c>
      <c r="F35" s="1" t="s">
        <v>30</v>
      </c>
      <c r="G35" s="1" t="s">
        <v>30</v>
      </c>
      <c r="H35" s="1" t="s">
        <v>30</v>
      </c>
      <c r="I35" s="1" t="s">
        <v>30</v>
      </c>
      <c r="J35" s="1" t="s">
        <v>30</v>
      </c>
      <c r="K35" s="1" t="s">
        <v>30</v>
      </c>
      <c r="L35" s="1" t="s">
        <v>30</v>
      </c>
      <c r="M35" s="1" t="s">
        <v>30</v>
      </c>
      <c r="N35" s="1" t="s">
        <v>30</v>
      </c>
      <c r="O35" s="1" t="s">
        <v>30</v>
      </c>
      <c r="P35" s="1" t="s">
        <v>30</v>
      </c>
      <c r="Q35" s="1" t="s">
        <v>30</v>
      </c>
      <c r="T35" s="1" t="s">
        <v>30</v>
      </c>
      <c r="U35" s="1" t="s">
        <v>30</v>
      </c>
      <c r="V35" s="1" t="s">
        <v>30</v>
      </c>
      <c r="W35" s="1" t="s">
        <v>30</v>
      </c>
      <c r="X35" s="1" t="s">
        <v>30</v>
      </c>
      <c r="Y35" s="1" t="s">
        <v>30</v>
      </c>
      <c r="Z35" s="1" t="s">
        <v>30</v>
      </c>
      <c r="AA35" s="1" t="s">
        <v>30</v>
      </c>
      <c r="AB35" s="1" t="s">
        <v>30</v>
      </c>
      <c r="AC35" s="1" t="s">
        <v>30</v>
      </c>
      <c r="AD35" s="1" t="s">
        <v>30</v>
      </c>
      <c r="AE35" s="1" t="s">
        <v>30</v>
      </c>
      <c r="AF35" s="1" t="s">
        <v>30</v>
      </c>
      <c r="AG35" s="1" t="s">
        <v>30</v>
      </c>
      <c r="AH35" s="1" t="s">
        <v>30</v>
      </c>
      <c r="AK35" s="1" t="s">
        <v>30</v>
      </c>
      <c r="AL35" s="1" t="s">
        <v>30</v>
      </c>
      <c r="AM35" s="1" t="s">
        <v>30</v>
      </c>
      <c r="AN35" s="1" t="s">
        <v>30</v>
      </c>
      <c r="AO35" s="1" t="s">
        <v>30</v>
      </c>
      <c r="AP35" s="1" t="s">
        <v>30</v>
      </c>
      <c r="AQ35" s="1" t="s">
        <v>30</v>
      </c>
      <c r="AR35" s="1" t="s">
        <v>30</v>
      </c>
      <c r="AS35" s="1" t="s">
        <v>30</v>
      </c>
      <c r="AT35" s="1" t="s">
        <v>30</v>
      </c>
      <c r="AU35" s="1" t="s">
        <v>30</v>
      </c>
      <c r="AV35" s="1" t="s">
        <v>30</v>
      </c>
      <c r="AW35" s="1" t="s">
        <v>30</v>
      </c>
      <c r="AX35" s="1" t="s">
        <v>30</v>
      </c>
      <c r="AY35" s="1" t="s">
        <v>30</v>
      </c>
      <c r="BB35" s="1" t="s">
        <v>30</v>
      </c>
      <c r="BC35" s="1" t="s">
        <v>30</v>
      </c>
      <c r="BD35" s="1" t="s">
        <v>30</v>
      </c>
      <c r="BE35" s="1" t="s">
        <v>30</v>
      </c>
      <c r="BF35" s="1" t="s">
        <v>30</v>
      </c>
      <c r="BG35" s="1" t="s">
        <v>30</v>
      </c>
      <c r="BH35" s="1" t="s">
        <v>30</v>
      </c>
      <c r="BI35" s="1" t="s">
        <v>30</v>
      </c>
      <c r="BJ35" s="1" t="s">
        <v>30</v>
      </c>
      <c r="BK35" s="1" t="s">
        <v>30</v>
      </c>
      <c r="BL35" s="1" t="s">
        <v>30</v>
      </c>
      <c r="BM35" s="1" t="s">
        <v>30</v>
      </c>
      <c r="BN35" s="1" t="s">
        <v>30</v>
      </c>
      <c r="BO35" s="1" t="s">
        <v>30</v>
      </c>
      <c r="BP35" s="1" t="s">
        <v>30</v>
      </c>
      <c r="BS35" s="1" t="s">
        <v>30</v>
      </c>
      <c r="BT35" s="1" t="s">
        <v>30</v>
      </c>
      <c r="BU35" s="1" t="s">
        <v>30</v>
      </c>
      <c r="BV35" s="1" t="s">
        <v>30</v>
      </c>
      <c r="BW35" s="1" t="s">
        <v>30</v>
      </c>
      <c r="BX35" s="1" t="s">
        <v>30</v>
      </c>
      <c r="BY35" s="1" t="s">
        <v>30</v>
      </c>
      <c r="BZ35" s="1" t="s">
        <v>30</v>
      </c>
      <c r="CA35" s="1" t="s">
        <v>30</v>
      </c>
      <c r="CB35" s="1" t="s">
        <v>30</v>
      </c>
      <c r="CC35" s="1" t="s">
        <v>30</v>
      </c>
      <c r="CD35" s="1" t="s">
        <v>30</v>
      </c>
      <c r="CE35" s="1" t="s">
        <v>30</v>
      </c>
      <c r="CF35" s="1" t="s">
        <v>30</v>
      </c>
      <c r="CG35" s="1" t="s">
        <v>30</v>
      </c>
    </row>
    <row r="36" spans="2:85" s="7" customFormat="1" x14ac:dyDescent="0.25">
      <c r="B36" s="7" t="s">
        <v>1</v>
      </c>
      <c r="C36" s="93">
        <f>Modeloutput!B55/1000</f>
        <v>0</v>
      </c>
      <c r="D36" s="93">
        <f>Modeloutput!C55/1000</f>
        <v>0</v>
      </c>
      <c r="E36" s="93">
        <f>Modeloutput!D55/1000</f>
        <v>0</v>
      </c>
      <c r="F36" s="93">
        <f>Modeloutput!E55/1000</f>
        <v>0</v>
      </c>
      <c r="G36" s="93">
        <f>Modeloutput!F55/1000</f>
        <v>0</v>
      </c>
      <c r="H36" s="93">
        <f>Modeloutput!G55/1000</f>
        <v>0</v>
      </c>
      <c r="I36" s="93">
        <f>Modeloutput!H55/1000</f>
        <v>0</v>
      </c>
      <c r="J36" s="93">
        <f>Modeloutput!I55/1000</f>
        <v>0</v>
      </c>
      <c r="K36" s="93">
        <f>Modeloutput!J55/1000</f>
        <v>0</v>
      </c>
      <c r="L36" s="93">
        <f>Modeloutput!K55/1000</f>
        <v>0</v>
      </c>
      <c r="M36" s="93">
        <f>Modeloutput!L55/1000</f>
        <v>0</v>
      </c>
      <c r="N36" s="93">
        <f>Modeloutput!M55/1000</f>
        <v>0</v>
      </c>
      <c r="O36" s="93">
        <f>Modeloutput!N55/1000</f>
        <v>0</v>
      </c>
      <c r="P36" s="93">
        <f>Modeloutput!O55/1000</f>
        <v>0</v>
      </c>
      <c r="Q36" s="93">
        <f>Modeloutput!P55/1000</f>
        <v>0</v>
      </c>
      <c r="S36" s="7" t="s">
        <v>1</v>
      </c>
      <c r="T36" s="93">
        <f>Modeloutput!B310/1000</f>
        <v>0</v>
      </c>
      <c r="U36" s="93">
        <f>Modeloutput!C310/1000</f>
        <v>0</v>
      </c>
      <c r="V36" s="93">
        <f>Modeloutput!D310/1000</f>
        <v>0</v>
      </c>
      <c r="W36" s="93">
        <f>Modeloutput!E310/1000</f>
        <v>0</v>
      </c>
      <c r="X36" s="93">
        <f>Modeloutput!F310/1000</f>
        <v>0</v>
      </c>
      <c r="Y36" s="93">
        <f>Modeloutput!G310/1000</f>
        <v>0</v>
      </c>
      <c r="Z36" s="93">
        <f>Modeloutput!H310/1000</f>
        <v>0</v>
      </c>
      <c r="AA36" s="93">
        <f>Modeloutput!I310/1000</f>
        <v>0</v>
      </c>
      <c r="AB36" s="93">
        <f>Modeloutput!J310/1000</f>
        <v>0</v>
      </c>
      <c r="AC36" s="93">
        <f>Modeloutput!K310/1000</f>
        <v>0</v>
      </c>
      <c r="AD36" s="93">
        <f>Modeloutput!L310/1000</f>
        <v>0</v>
      </c>
      <c r="AE36" s="93">
        <f>Modeloutput!M310/1000</f>
        <v>0</v>
      </c>
      <c r="AF36" s="93">
        <f>Modeloutput!N310/1000</f>
        <v>0</v>
      </c>
      <c r="AG36" s="93">
        <f>Modeloutput!O310/1000</f>
        <v>0</v>
      </c>
      <c r="AH36" s="93">
        <f>Modeloutput!P310/1000</f>
        <v>0</v>
      </c>
      <c r="AJ36" s="7" t="s">
        <v>1</v>
      </c>
      <c r="AK36" s="93">
        <f>Modeloutput!B565/1000</f>
        <v>0</v>
      </c>
      <c r="AL36" s="93">
        <f>Modeloutput!C565/1000</f>
        <v>0</v>
      </c>
      <c r="AM36" s="93">
        <f>Modeloutput!D565/1000</f>
        <v>0</v>
      </c>
      <c r="AN36" s="93">
        <f>Modeloutput!E565/1000</f>
        <v>0</v>
      </c>
      <c r="AO36" s="93">
        <f>Modeloutput!F565/1000</f>
        <v>0</v>
      </c>
      <c r="AP36" s="93">
        <f>Modeloutput!G565/1000</f>
        <v>0</v>
      </c>
      <c r="AQ36" s="93">
        <f>Modeloutput!H565/1000</f>
        <v>0</v>
      </c>
      <c r="AR36" s="93">
        <f>Modeloutput!I565/1000</f>
        <v>0</v>
      </c>
      <c r="AS36" s="93">
        <f>Modeloutput!J565/1000</f>
        <v>0</v>
      </c>
      <c r="AT36" s="93">
        <f>Modeloutput!K565/1000</f>
        <v>0</v>
      </c>
      <c r="AU36" s="93">
        <f>Modeloutput!L565/1000</f>
        <v>0</v>
      </c>
      <c r="AV36" s="93">
        <f>Modeloutput!M565/1000</f>
        <v>0</v>
      </c>
      <c r="AW36" s="93">
        <f>Modeloutput!N565/1000</f>
        <v>0</v>
      </c>
      <c r="AX36" s="93">
        <f>Modeloutput!O565/1000</f>
        <v>0</v>
      </c>
      <c r="AY36" s="93">
        <f>Modeloutput!P565/1000</f>
        <v>0</v>
      </c>
      <c r="BA36" s="7" t="s">
        <v>1</v>
      </c>
      <c r="BB36" s="93">
        <f>Modeloutput!B820/1000</f>
        <v>0</v>
      </c>
      <c r="BC36" s="93">
        <f>Modeloutput!C820/1000</f>
        <v>0</v>
      </c>
      <c r="BD36" s="93">
        <f>Modeloutput!D820/1000</f>
        <v>0</v>
      </c>
      <c r="BE36" s="93">
        <f>Modeloutput!E820/1000</f>
        <v>0</v>
      </c>
      <c r="BF36" s="93">
        <f>Modeloutput!F820/1000</f>
        <v>0</v>
      </c>
      <c r="BG36" s="93">
        <f>Modeloutput!G820/1000</f>
        <v>0</v>
      </c>
      <c r="BH36" s="93">
        <f>Modeloutput!H820/1000</f>
        <v>0</v>
      </c>
      <c r="BI36" s="93">
        <f>Modeloutput!I820/1000</f>
        <v>0</v>
      </c>
      <c r="BJ36" s="93">
        <f>Modeloutput!J820/1000</f>
        <v>0</v>
      </c>
      <c r="BK36" s="93">
        <f>Modeloutput!K820/1000</f>
        <v>0</v>
      </c>
      <c r="BL36" s="93">
        <f>Modeloutput!L820/1000</f>
        <v>0</v>
      </c>
      <c r="BM36" s="93">
        <f>Modeloutput!M820/1000</f>
        <v>0</v>
      </c>
      <c r="BN36" s="93">
        <f>Modeloutput!N820/1000</f>
        <v>0</v>
      </c>
      <c r="BO36" s="93">
        <f>Modeloutput!O820/1000</f>
        <v>0</v>
      </c>
      <c r="BP36" s="93">
        <f>Modeloutput!P820/1000</f>
        <v>0</v>
      </c>
      <c r="BR36" s="7" t="s">
        <v>1</v>
      </c>
      <c r="BS36" s="93">
        <f>Modeloutput!B1075/1000</f>
        <v>0</v>
      </c>
      <c r="BT36" s="93">
        <f>Modeloutput!C1075/1000</f>
        <v>0</v>
      </c>
      <c r="BU36" s="93">
        <f>Modeloutput!D1075/1000</f>
        <v>0</v>
      </c>
      <c r="BV36" s="93">
        <f>Modeloutput!E1075/1000</f>
        <v>0</v>
      </c>
      <c r="BW36" s="93">
        <f>Modeloutput!F1075/1000</f>
        <v>0</v>
      </c>
      <c r="BX36" s="93">
        <f>Modeloutput!G1075/1000</f>
        <v>0</v>
      </c>
      <c r="BY36" s="93">
        <f>Modeloutput!H1075/1000</f>
        <v>0</v>
      </c>
      <c r="BZ36" s="93">
        <f>Modeloutput!I1075/1000</f>
        <v>0</v>
      </c>
      <c r="CA36" s="93">
        <f>Modeloutput!J1075/1000</f>
        <v>0</v>
      </c>
      <c r="CB36" s="93">
        <f>Modeloutput!K1075/1000</f>
        <v>0</v>
      </c>
      <c r="CC36" s="93">
        <f>Modeloutput!L1075/1000</f>
        <v>0</v>
      </c>
      <c r="CD36" s="93">
        <f>Modeloutput!M1075/1000</f>
        <v>0</v>
      </c>
      <c r="CE36" s="93">
        <f>Modeloutput!N1075/1000</f>
        <v>0</v>
      </c>
      <c r="CF36" s="93">
        <f>Modeloutput!O1075/1000</f>
        <v>0</v>
      </c>
      <c r="CG36" s="93">
        <f>Modeloutput!P1075/1000</f>
        <v>0</v>
      </c>
    </row>
    <row r="37" spans="2:85" s="7" customFormat="1" x14ac:dyDescent="0.25">
      <c r="B37" s="7" t="s">
        <v>2</v>
      </c>
      <c r="C37" s="93">
        <f>Modeloutput!B56/1000</f>
        <v>0</v>
      </c>
      <c r="D37" s="93">
        <f>Modeloutput!C56/1000</f>
        <v>0</v>
      </c>
      <c r="E37" s="93">
        <f>Modeloutput!D56/1000</f>
        <v>0</v>
      </c>
      <c r="F37" s="94">
        <f>Modeloutput!E56/1000</f>
        <v>0</v>
      </c>
      <c r="G37" s="94">
        <f>Modeloutput!F56/1000</f>
        <v>0</v>
      </c>
      <c r="H37" s="94">
        <f>Modeloutput!G56/1000</f>
        <v>0</v>
      </c>
      <c r="I37" s="94">
        <f>Modeloutput!H56/1000</f>
        <v>0</v>
      </c>
      <c r="J37" s="94">
        <f>Modeloutput!I56/1000</f>
        <v>0</v>
      </c>
      <c r="K37" s="94">
        <f>Modeloutput!J56/1000</f>
        <v>0</v>
      </c>
      <c r="L37" s="95">
        <f>Modeloutput!K56/1000</f>
        <v>0</v>
      </c>
      <c r="M37" s="95">
        <f>Modeloutput!L56/1000</f>
        <v>0</v>
      </c>
      <c r="N37" s="95">
        <f>Modeloutput!M56/1000</f>
        <v>0</v>
      </c>
      <c r="O37" s="95">
        <f>Modeloutput!N56/1000</f>
        <v>0</v>
      </c>
      <c r="P37" s="95">
        <f>Modeloutput!O56/1000</f>
        <v>0</v>
      </c>
      <c r="Q37" s="93">
        <f>Modeloutput!P56/1000</f>
        <v>0</v>
      </c>
      <c r="S37" s="7" t="s">
        <v>2</v>
      </c>
      <c r="T37" s="93">
        <f>Modeloutput!B311/1000</f>
        <v>0</v>
      </c>
      <c r="U37" s="93">
        <f>Modeloutput!C311/1000</f>
        <v>0</v>
      </c>
      <c r="V37" s="93">
        <f>Modeloutput!D311/1000</f>
        <v>0</v>
      </c>
      <c r="W37" s="94">
        <f>Modeloutput!E311/1000</f>
        <v>0</v>
      </c>
      <c r="X37" s="94">
        <f>Modeloutput!F311/1000</f>
        <v>0</v>
      </c>
      <c r="Y37" s="94">
        <f>Modeloutput!G311/1000</f>
        <v>0</v>
      </c>
      <c r="Z37" s="94">
        <f>Modeloutput!H311/1000</f>
        <v>0</v>
      </c>
      <c r="AA37" s="94">
        <f>Modeloutput!I311/1000</f>
        <v>0</v>
      </c>
      <c r="AB37" s="94">
        <f>Modeloutput!J311/1000</f>
        <v>0</v>
      </c>
      <c r="AC37" s="95">
        <f>Modeloutput!K311/1000</f>
        <v>0</v>
      </c>
      <c r="AD37" s="95">
        <f>Modeloutput!L311/1000</f>
        <v>0</v>
      </c>
      <c r="AE37" s="95">
        <f>Modeloutput!M311/1000</f>
        <v>0</v>
      </c>
      <c r="AF37" s="95">
        <f>Modeloutput!N311/1000</f>
        <v>0</v>
      </c>
      <c r="AG37" s="95">
        <f>Modeloutput!O311/1000</f>
        <v>0</v>
      </c>
      <c r="AH37" s="93">
        <f>Modeloutput!P311/1000</f>
        <v>0</v>
      </c>
      <c r="AJ37" s="7" t="s">
        <v>2</v>
      </c>
      <c r="AK37" s="93">
        <f>Modeloutput!B566/1000</f>
        <v>0</v>
      </c>
      <c r="AL37" s="93">
        <f>Modeloutput!C566/1000</f>
        <v>0</v>
      </c>
      <c r="AM37" s="93">
        <f>Modeloutput!D566/1000</f>
        <v>0</v>
      </c>
      <c r="AN37" s="94">
        <f>Modeloutput!E566/1000</f>
        <v>0</v>
      </c>
      <c r="AO37" s="94">
        <f>Modeloutput!F566/1000</f>
        <v>0</v>
      </c>
      <c r="AP37" s="94">
        <f>Modeloutput!G566/1000</f>
        <v>0</v>
      </c>
      <c r="AQ37" s="94">
        <f>Modeloutput!H566/1000</f>
        <v>0</v>
      </c>
      <c r="AR37" s="94">
        <f>Modeloutput!I566/1000</f>
        <v>0</v>
      </c>
      <c r="AS37" s="94">
        <f>Modeloutput!J566/1000</f>
        <v>0</v>
      </c>
      <c r="AT37" s="95">
        <f>Modeloutput!K566/1000</f>
        <v>0</v>
      </c>
      <c r="AU37" s="95">
        <f>Modeloutput!L566/1000</f>
        <v>0</v>
      </c>
      <c r="AV37" s="95">
        <f>Modeloutput!M566/1000</f>
        <v>0</v>
      </c>
      <c r="AW37" s="95">
        <f>Modeloutput!N566/1000</f>
        <v>0</v>
      </c>
      <c r="AX37" s="95">
        <f>Modeloutput!O566/1000</f>
        <v>0</v>
      </c>
      <c r="AY37" s="93">
        <f>Modeloutput!P566/1000</f>
        <v>0</v>
      </c>
      <c r="BA37" s="7" t="s">
        <v>2</v>
      </c>
      <c r="BB37" s="93">
        <f>Modeloutput!B821/1000</f>
        <v>0</v>
      </c>
      <c r="BC37" s="93">
        <f>Modeloutput!C821/1000</f>
        <v>0</v>
      </c>
      <c r="BD37" s="93">
        <f>Modeloutput!D821/1000</f>
        <v>0</v>
      </c>
      <c r="BE37" s="94">
        <f>Modeloutput!E821/1000</f>
        <v>0</v>
      </c>
      <c r="BF37" s="94">
        <f>Modeloutput!F821/1000</f>
        <v>0</v>
      </c>
      <c r="BG37" s="94">
        <f>Modeloutput!G821/1000</f>
        <v>0</v>
      </c>
      <c r="BH37" s="94">
        <f>Modeloutput!H821/1000</f>
        <v>0</v>
      </c>
      <c r="BI37" s="94">
        <f>Modeloutput!I821/1000</f>
        <v>0</v>
      </c>
      <c r="BJ37" s="94">
        <f>Modeloutput!J821/1000</f>
        <v>0</v>
      </c>
      <c r="BK37" s="95">
        <f>Modeloutput!K821/1000</f>
        <v>0</v>
      </c>
      <c r="BL37" s="95">
        <f>Modeloutput!L821/1000</f>
        <v>0</v>
      </c>
      <c r="BM37" s="95">
        <f>Modeloutput!M821/1000</f>
        <v>0</v>
      </c>
      <c r="BN37" s="95">
        <f>Modeloutput!N821/1000</f>
        <v>0</v>
      </c>
      <c r="BO37" s="95">
        <f>Modeloutput!O821/1000</f>
        <v>0</v>
      </c>
      <c r="BP37" s="93">
        <f>Modeloutput!P821/1000</f>
        <v>0</v>
      </c>
      <c r="BR37" s="7" t="s">
        <v>2</v>
      </c>
      <c r="BS37" s="93">
        <f>Modeloutput!B1076/1000</f>
        <v>2.6204538199999999E-2</v>
      </c>
      <c r="BT37" s="93">
        <f>Modeloutput!C1076/1000</f>
        <v>0</v>
      </c>
      <c r="BU37" s="93">
        <f>Modeloutput!D1076/1000</f>
        <v>2.6204538199999999E-2</v>
      </c>
      <c r="BV37" s="94">
        <f>Modeloutput!E1076/1000</f>
        <v>0</v>
      </c>
      <c r="BW37" s="94">
        <f>Modeloutput!F1076/1000</f>
        <v>0</v>
      </c>
      <c r="BX37" s="94">
        <f>Modeloutput!G1076/1000</f>
        <v>0</v>
      </c>
      <c r="BY37" s="94">
        <f>Modeloutput!H1076/1000</f>
        <v>0</v>
      </c>
      <c r="BZ37" s="94">
        <f>Modeloutput!I1076/1000</f>
        <v>0</v>
      </c>
      <c r="CA37" s="94">
        <f>Modeloutput!J1076/1000</f>
        <v>0</v>
      </c>
      <c r="CB37" s="95">
        <f>Modeloutput!K1076/1000</f>
        <v>2.6204538199999999E-2</v>
      </c>
      <c r="CC37" s="95">
        <f>Modeloutput!L1076/1000</f>
        <v>0</v>
      </c>
      <c r="CD37" s="95">
        <f>Modeloutput!M1076/1000</f>
        <v>0</v>
      </c>
      <c r="CE37" s="95">
        <f>Modeloutput!N1076/1000</f>
        <v>0</v>
      </c>
      <c r="CF37" s="95">
        <f>Modeloutput!O1076/1000</f>
        <v>0</v>
      </c>
      <c r="CG37" s="93">
        <f>Modeloutput!P1076/1000</f>
        <v>0</v>
      </c>
    </row>
    <row r="38" spans="2:85" s="7" customFormat="1" x14ac:dyDescent="0.25">
      <c r="B38" s="7" t="s">
        <v>3</v>
      </c>
      <c r="C38" s="93">
        <f>Modeloutput!B57/1000</f>
        <v>0.24184088499999998</v>
      </c>
      <c r="D38" s="93">
        <f>Modeloutput!C57/1000</f>
        <v>0</v>
      </c>
      <c r="E38" s="93">
        <f>Modeloutput!D57/1000</f>
        <v>0.24184088499999998</v>
      </c>
      <c r="F38" s="96">
        <f>Modeloutput!E57/1000</f>
        <v>0.157606728</v>
      </c>
      <c r="G38" s="96">
        <f>Modeloutput!F57/1000</f>
        <v>4.5132926700000001E-4</v>
      </c>
      <c r="H38" s="96">
        <f>Modeloutput!G57/1000</f>
        <v>5.2739356899999999E-2</v>
      </c>
      <c r="I38" s="96">
        <f>Modeloutput!H57/1000</f>
        <v>9.22760646E-5</v>
      </c>
      <c r="J38" s="96">
        <f>Modeloutput!I57/1000</f>
        <v>0</v>
      </c>
      <c r="K38" s="96">
        <f>Modeloutput!J57/1000</f>
        <v>0</v>
      </c>
      <c r="L38" s="97">
        <f>Modeloutput!K57/1000</f>
        <v>3.09511944E-2</v>
      </c>
      <c r="M38" s="97">
        <f>Modeloutput!L57/1000</f>
        <v>0</v>
      </c>
      <c r="N38" s="97">
        <f>Modeloutput!M57/1000</f>
        <v>0</v>
      </c>
      <c r="O38" s="97">
        <f>Modeloutput!N57/1000</f>
        <v>0</v>
      </c>
      <c r="P38" s="97">
        <f>Modeloutput!O57/1000</f>
        <v>0</v>
      </c>
      <c r="Q38" s="93">
        <f>Modeloutput!P57/1000</f>
        <v>0</v>
      </c>
      <c r="S38" s="7" t="s">
        <v>3</v>
      </c>
      <c r="T38" s="93">
        <f>Modeloutput!B312/1000</f>
        <v>0.184847397</v>
      </c>
      <c r="U38" s="93">
        <f>Modeloutput!C312/1000</f>
        <v>0</v>
      </c>
      <c r="V38" s="93">
        <f>Modeloutput!D312/1000</f>
        <v>0.184847397</v>
      </c>
      <c r="W38" s="96">
        <f>Modeloutput!E312/1000</f>
        <v>0.13181196499999998</v>
      </c>
      <c r="X38" s="96">
        <f>Modeloutput!F312/1000</f>
        <v>5.2709315799999998E-4</v>
      </c>
      <c r="Y38" s="96">
        <f>Modeloutput!G312/1000</f>
        <v>2.9750585499999999E-2</v>
      </c>
      <c r="Z38" s="96">
        <f>Modeloutput!H312/1000</f>
        <v>9.22760646E-5</v>
      </c>
      <c r="AA38" s="96">
        <f>Modeloutput!I312/1000</f>
        <v>0</v>
      </c>
      <c r="AB38" s="96">
        <f>Modeloutput!J312/1000</f>
        <v>0</v>
      </c>
      <c r="AC38" s="97">
        <f>Modeloutput!K312/1000</f>
        <v>2.2665477400000002E-2</v>
      </c>
      <c r="AD38" s="97">
        <f>Modeloutput!L312/1000</f>
        <v>0</v>
      </c>
      <c r="AE38" s="97">
        <f>Modeloutput!M312/1000</f>
        <v>0</v>
      </c>
      <c r="AF38" s="97">
        <f>Modeloutput!N312/1000</f>
        <v>0</v>
      </c>
      <c r="AG38" s="97">
        <f>Modeloutput!O312/1000</f>
        <v>0</v>
      </c>
      <c r="AH38" s="93">
        <f>Modeloutput!P312/1000</f>
        <v>0</v>
      </c>
      <c r="AJ38" s="7" t="s">
        <v>3</v>
      </c>
      <c r="AK38" s="93">
        <f>Modeloutput!B567/1000</f>
        <v>4.6982411699999997E-2</v>
      </c>
      <c r="AL38" s="93">
        <f>Modeloutput!C567/1000</f>
        <v>0</v>
      </c>
      <c r="AM38" s="93">
        <f>Modeloutput!D567/1000</f>
        <v>4.6982411699999997E-2</v>
      </c>
      <c r="AN38" s="96">
        <f>Modeloutput!E567/1000</f>
        <v>2.21048789E-2</v>
      </c>
      <c r="AO38" s="96">
        <f>Modeloutput!F567/1000</f>
        <v>3.4096257200000004E-4</v>
      </c>
      <c r="AP38" s="96">
        <f>Modeloutput!G567/1000</f>
        <v>8.7343643099999993E-3</v>
      </c>
      <c r="AQ38" s="96">
        <f>Modeloutput!H567/1000</f>
        <v>9.22760646E-5</v>
      </c>
      <c r="AR38" s="96">
        <f>Modeloutput!I567/1000</f>
        <v>0</v>
      </c>
      <c r="AS38" s="96">
        <f>Modeloutput!J567/1000</f>
        <v>0</v>
      </c>
      <c r="AT38" s="97">
        <f>Modeloutput!K567/1000</f>
        <v>1.5709929899999999E-2</v>
      </c>
      <c r="AU38" s="97">
        <f>Modeloutput!L567/1000</f>
        <v>0</v>
      </c>
      <c r="AV38" s="97">
        <f>Modeloutput!M567/1000</f>
        <v>0</v>
      </c>
      <c r="AW38" s="97">
        <f>Modeloutput!N567/1000</f>
        <v>0</v>
      </c>
      <c r="AX38" s="97">
        <f>Modeloutput!O567/1000</f>
        <v>0</v>
      </c>
      <c r="AY38" s="93">
        <f>Modeloutput!P567/1000</f>
        <v>0</v>
      </c>
      <c r="BA38" s="7" t="s">
        <v>3</v>
      </c>
      <c r="BB38" s="93">
        <f>Modeloutput!B822/1000</f>
        <v>3.1203510900000002E-2</v>
      </c>
      <c r="BC38" s="93">
        <f>Modeloutput!C822/1000</f>
        <v>0</v>
      </c>
      <c r="BD38" s="93">
        <f>Modeloutput!D822/1000</f>
        <v>3.1203510900000002E-2</v>
      </c>
      <c r="BE38" s="96">
        <f>Modeloutput!E822/1000</f>
        <v>0</v>
      </c>
      <c r="BF38" s="96">
        <f>Modeloutput!F822/1000</f>
        <v>0</v>
      </c>
      <c r="BG38" s="96">
        <f>Modeloutput!G822/1000</f>
        <v>0</v>
      </c>
      <c r="BH38" s="96">
        <f>Modeloutput!H822/1000</f>
        <v>0</v>
      </c>
      <c r="BI38" s="96">
        <f>Modeloutput!I822/1000</f>
        <v>0</v>
      </c>
      <c r="BJ38" s="96">
        <f>Modeloutput!J822/1000</f>
        <v>0</v>
      </c>
      <c r="BK38" s="97">
        <f>Modeloutput!K822/1000</f>
        <v>3.1203510900000002E-2</v>
      </c>
      <c r="BL38" s="97">
        <f>Modeloutput!L822/1000</f>
        <v>0</v>
      </c>
      <c r="BM38" s="97">
        <f>Modeloutput!M822/1000</f>
        <v>0</v>
      </c>
      <c r="BN38" s="97">
        <f>Modeloutput!N822/1000</f>
        <v>0</v>
      </c>
      <c r="BO38" s="97">
        <f>Modeloutput!O822/1000</f>
        <v>0</v>
      </c>
      <c r="BP38" s="93">
        <f>Modeloutput!P822/1000</f>
        <v>0</v>
      </c>
      <c r="BR38" s="7" t="s">
        <v>3</v>
      </c>
      <c r="BS38" s="93">
        <f>Modeloutput!B1077/1000</f>
        <v>6.6677550299999999E-2</v>
      </c>
      <c r="BT38" s="93">
        <f>Modeloutput!C1077/1000</f>
        <v>0</v>
      </c>
      <c r="BU38" s="93">
        <f>Modeloutput!D1077/1000</f>
        <v>6.6677550299999999E-2</v>
      </c>
      <c r="BV38" s="96">
        <f>Modeloutput!E1077/1000</f>
        <v>5.7677907100000007E-4</v>
      </c>
      <c r="BW38" s="96">
        <f>Modeloutput!F1077/1000</f>
        <v>1.27924923E-5</v>
      </c>
      <c r="BX38" s="96">
        <f>Modeloutput!G1077/1000</f>
        <v>6.2843732900000001E-5</v>
      </c>
      <c r="BY38" s="96">
        <f>Modeloutput!H1077/1000</f>
        <v>0</v>
      </c>
      <c r="BZ38" s="96">
        <f>Modeloutput!I1077/1000</f>
        <v>0</v>
      </c>
      <c r="CA38" s="96">
        <f>Modeloutput!J1077/1000</f>
        <v>0</v>
      </c>
      <c r="CB38" s="97">
        <f>Modeloutput!K1077/1000</f>
        <v>4.5127400499999998E-2</v>
      </c>
      <c r="CC38" s="97">
        <f>Modeloutput!L1077/1000</f>
        <v>2.0897734599999999E-2</v>
      </c>
      <c r="CD38" s="97">
        <f>Modeloutput!M1077/1000</f>
        <v>0</v>
      </c>
      <c r="CE38" s="97">
        <f>Modeloutput!N1077/1000</f>
        <v>0</v>
      </c>
      <c r="CF38" s="97">
        <f>Modeloutput!O1077/1000</f>
        <v>0</v>
      </c>
      <c r="CG38" s="93">
        <f>Modeloutput!P1077/1000</f>
        <v>0</v>
      </c>
    </row>
    <row r="39" spans="2:85" s="7" customFormat="1" x14ac:dyDescent="0.25">
      <c r="B39" s="7" t="s">
        <v>4</v>
      </c>
      <c r="C39" s="93">
        <f>Modeloutput!B58/1000</f>
        <v>0.179331396</v>
      </c>
      <c r="D39" s="93">
        <f>Modeloutput!C58/1000</f>
        <v>0</v>
      </c>
      <c r="E39" s="93">
        <f>Modeloutput!D58/1000</f>
        <v>0.179331396</v>
      </c>
      <c r="F39" s="98">
        <f>Modeloutput!E58/1000</f>
        <v>8.1918568800000008E-2</v>
      </c>
      <c r="G39" s="98">
        <f>Modeloutput!F58/1000</f>
        <v>1.22382241E-2</v>
      </c>
      <c r="H39" s="98">
        <f>Modeloutput!G58/1000</f>
        <v>7.6506796899999993E-2</v>
      </c>
      <c r="I39" s="98">
        <f>Modeloutput!H58/1000</f>
        <v>3.80537384E-3</v>
      </c>
      <c r="J39" s="98">
        <f>Modeloutput!I58/1000</f>
        <v>0</v>
      </c>
      <c r="K39" s="98">
        <f>Modeloutput!J58/1000</f>
        <v>0</v>
      </c>
      <c r="L39" s="95">
        <f>Modeloutput!K58/1000</f>
        <v>0</v>
      </c>
      <c r="M39" s="95">
        <f>Modeloutput!L58/1000</f>
        <v>0</v>
      </c>
      <c r="N39" s="95">
        <f>Modeloutput!M58/1000</f>
        <v>4.8624320799999995E-3</v>
      </c>
      <c r="O39" s="95">
        <f>Modeloutput!N58/1000</f>
        <v>0</v>
      </c>
      <c r="P39" s="95">
        <f>Modeloutput!O58/1000</f>
        <v>0</v>
      </c>
      <c r="Q39" s="93">
        <f>Modeloutput!P58/1000</f>
        <v>0</v>
      </c>
      <c r="S39" s="7" t="s">
        <v>4</v>
      </c>
      <c r="T39" s="93">
        <f>Modeloutput!B313/1000</f>
        <v>0.17930078900000002</v>
      </c>
      <c r="U39" s="93">
        <f>Modeloutput!C313/1000</f>
        <v>0</v>
      </c>
      <c r="V39" s="93">
        <f>Modeloutput!D313/1000</f>
        <v>0.17930078900000002</v>
      </c>
      <c r="W39" s="98">
        <f>Modeloutput!E313/1000</f>
        <v>8.1918568800000008E-2</v>
      </c>
      <c r="X39" s="98">
        <f>Modeloutput!F313/1000</f>
        <v>1.22382241E-2</v>
      </c>
      <c r="Y39" s="98">
        <f>Modeloutput!G313/1000</f>
        <v>7.6505990800000007E-2</v>
      </c>
      <c r="Z39" s="98">
        <f>Modeloutput!H313/1000</f>
        <v>3.80537384E-3</v>
      </c>
      <c r="AA39" s="98">
        <f>Modeloutput!I313/1000</f>
        <v>0</v>
      </c>
      <c r="AB39" s="98">
        <f>Modeloutput!J313/1000</f>
        <v>0</v>
      </c>
      <c r="AC39" s="95">
        <f>Modeloutput!K313/1000</f>
        <v>0</v>
      </c>
      <c r="AD39" s="95">
        <f>Modeloutput!L313/1000</f>
        <v>0</v>
      </c>
      <c r="AE39" s="95">
        <f>Modeloutput!M313/1000</f>
        <v>4.8326311E-3</v>
      </c>
      <c r="AF39" s="95">
        <f>Modeloutput!N313/1000</f>
        <v>0</v>
      </c>
      <c r="AG39" s="95">
        <f>Modeloutput!O313/1000</f>
        <v>0</v>
      </c>
      <c r="AH39" s="93">
        <f>Modeloutput!P313/1000</f>
        <v>0</v>
      </c>
      <c r="AJ39" s="7" t="s">
        <v>4</v>
      </c>
      <c r="AK39" s="93">
        <f>Modeloutput!B568/1000</f>
        <v>0.209847331</v>
      </c>
      <c r="AL39" s="93">
        <f>Modeloutput!C568/1000</f>
        <v>0</v>
      </c>
      <c r="AM39" s="93">
        <f>Modeloutput!D568/1000</f>
        <v>0.209847331</v>
      </c>
      <c r="AN39" s="98">
        <f>Modeloutput!E568/1000</f>
        <v>8.1918568800000008E-2</v>
      </c>
      <c r="AO39" s="98">
        <f>Modeloutput!F568/1000</f>
        <v>1.22382241E-2</v>
      </c>
      <c r="AP39" s="98">
        <f>Modeloutput!G568/1000</f>
        <v>7.4471662100000002E-2</v>
      </c>
      <c r="AQ39" s="98">
        <f>Modeloutput!H568/1000</f>
        <v>3.80537384E-3</v>
      </c>
      <c r="AR39" s="98">
        <f>Modeloutput!I568/1000</f>
        <v>0</v>
      </c>
      <c r="AS39" s="98">
        <f>Modeloutput!J568/1000</f>
        <v>0</v>
      </c>
      <c r="AT39" s="95">
        <f>Modeloutput!K568/1000</f>
        <v>0</v>
      </c>
      <c r="AU39" s="95">
        <f>Modeloutput!L568/1000</f>
        <v>0</v>
      </c>
      <c r="AV39" s="95">
        <f>Modeloutput!M568/1000</f>
        <v>3.74135019E-2</v>
      </c>
      <c r="AW39" s="95">
        <f>Modeloutput!N568/1000</f>
        <v>0</v>
      </c>
      <c r="AX39" s="95">
        <f>Modeloutput!O568/1000</f>
        <v>0</v>
      </c>
      <c r="AY39" s="93">
        <f>Modeloutput!P568/1000</f>
        <v>0</v>
      </c>
      <c r="BA39" s="7" t="s">
        <v>4</v>
      </c>
      <c r="BB39" s="93">
        <f>Modeloutput!B823/1000</f>
        <v>0.19819463800000001</v>
      </c>
      <c r="BC39" s="93">
        <f>Modeloutput!C823/1000</f>
        <v>0</v>
      </c>
      <c r="BD39" s="93">
        <f>Modeloutput!D823/1000</f>
        <v>0.19819463800000001</v>
      </c>
      <c r="BE39" s="98">
        <f>Modeloutput!E823/1000</f>
        <v>9.9360681099999987E-2</v>
      </c>
      <c r="BF39" s="98">
        <f>Modeloutput!F823/1000</f>
        <v>1.4284342199999999E-2</v>
      </c>
      <c r="BG39" s="98">
        <f>Modeloutput!G823/1000</f>
        <v>8.0070483400000003E-2</v>
      </c>
      <c r="BH39" s="98">
        <f>Modeloutput!H823/1000</f>
        <v>4.4791313700000002E-3</v>
      </c>
      <c r="BI39" s="98">
        <f>Modeloutput!I823/1000</f>
        <v>0</v>
      </c>
      <c r="BJ39" s="98">
        <f>Modeloutput!J823/1000</f>
        <v>0</v>
      </c>
      <c r="BK39" s="95">
        <f>Modeloutput!K823/1000</f>
        <v>0</v>
      </c>
      <c r="BL39" s="95">
        <f>Modeloutput!L823/1000</f>
        <v>0</v>
      </c>
      <c r="BM39" s="95">
        <f>Modeloutput!M823/1000</f>
        <v>0</v>
      </c>
      <c r="BN39" s="95">
        <f>Modeloutput!N823/1000</f>
        <v>0</v>
      </c>
      <c r="BO39" s="95">
        <f>Modeloutput!O823/1000</f>
        <v>0</v>
      </c>
      <c r="BP39" s="93">
        <f>Modeloutput!P823/1000</f>
        <v>0</v>
      </c>
      <c r="BR39" s="7" t="s">
        <v>4</v>
      </c>
      <c r="BS39" s="93">
        <f>Modeloutput!B1078/1000</f>
        <v>0.17533383900000002</v>
      </c>
      <c r="BT39" s="93">
        <f>Modeloutput!C1078/1000</f>
        <v>0</v>
      </c>
      <c r="BU39" s="93">
        <f>Modeloutput!D1078/1000</f>
        <v>0.17533383900000002</v>
      </c>
      <c r="BV39" s="98">
        <f>Modeloutput!E1078/1000</f>
        <v>8.1918568800000008E-2</v>
      </c>
      <c r="BW39" s="98">
        <f>Modeloutput!F1078/1000</f>
        <v>1.22382241E-2</v>
      </c>
      <c r="BX39" s="98">
        <f>Modeloutput!G1078/1000</f>
        <v>7.6847504400000002E-2</v>
      </c>
      <c r="BY39" s="98">
        <f>Modeloutput!H1078/1000</f>
        <v>4.2856148100000003E-3</v>
      </c>
      <c r="BZ39" s="98">
        <f>Modeloutput!I1078/1000</f>
        <v>0</v>
      </c>
      <c r="CA39" s="98">
        <f>Modeloutput!J1078/1000</f>
        <v>0</v>
      </c>
      <c r="CB39" s="95">
        <f>Modeloutput!K1078/1000</f>
        <v>0</v>
      </c>
      <c r="CC39" s="95">
        <f>Modeloutput!L1078/1000</f>
        <v>0</v>
      </c>
      <c r="CD39" s="95">
        <f>Modeloutput!M1078/1000</f>
        <v>4.3927330399999997E-5</v>
      </c>
      <c r="CE39" s="95">
        <f>Modeloutput!N1078/1000</f>
        <v>0</v>
      </c>
      <c r="CF39" s="95">
        <f>Modeloutput!O1078/1000</f>
        <v>0</v>
      </c>
      <c r="CG39" s="93">
        <f>Modeloutput!P1078/1000</f>
        <v>0</v>
      </c>
    </row>
    <row r="40" spans="2:85" s="7" customFormat="1" x14ac:dyDescent="0.25">
      <c r="B40" s="7" t="s">
        <v>5</v>
      </c>
      <c r="C40" s="93">
        <f>Modeloutput!B59/1000</f>
        <v>3.09511944E-2</v>
      </c>
      <c r="D40" s="93">
        <f>Modeloutput!C59/1000</f>
        <v>3.09511944E-2</v>
      </c>
      <c r="E40" s="93">
        <f>Modeloutput!D59/1000</f>
        <v>-3.5527136800000002E-18</v>
      </c>
      <c r="F40" s="99">
        <f>Modeloutput!E59/1000</f>
        <v>1.71961396E-2</v>
      </c>
      <c r="G40" s="99">
        <f>Modeloutput!F59/1000</f>
        <v>2.7277068000000002E-3</v>
      </c>
      <c r="H40" s="99">
        <f>Modeloutput!G59/1000</f>
        <v>1.0832287900000001E-2</v>
      </c>
      <c r="I40" s="99">
        <f>Modeloutput!H59/1000</f>
        <v>1.95060114E-4</v>
      </c>
      <c r="J40" s="99">
        <f>Modeloutput!I59/1000</f>
        <v>0</v>
      </c>
      <c r="K40" s="99">
        <f>Modeloutput!J59/1000</f>
        <v>0</v>
      </c>
      <c r="L40" s="93">
        <f>Modeloutput!K59/1000</f>
        <v>0</v>
      </c>
      <c r="M40" s="93">
        <f>Modeloutput!L59/1000</f>
        <v>0</v>
      </c>
      <c r="N40" s="93">
        <f>Modeloutput!M59/1000</f>
        <v>0</v>
      </c>
      <c r="O40" s="93">
        <f>Modeloutput!N59/1000</f>
        <v>0</v>
      </c>
      <c r="P40" s="93">
        <f>Modeloutput!O59/1000</f>
        <v>0</v>
      </c>
      <c r="Q40" s="93">
        <f>Modeloutput!P59/1000</f>
        <v>0</v>
      </c>
      <c r="S40" s="7" t="s">
        <v>5</v>
      </c>
      <c r="T40" s="93">
        <f>Modeloutput!B314/1000</f>
        <v>2.2665477400000002E-2</v>
      </c>
      <c r="U40" s="93">
        <f>Modeloutput!C314/1000</f>
        <v>2.2665477400000002E-2</v>
      </c>
      <c r="V40" s="93">
        <f>Modeloutput!D314/1000</f>
        <v>0</v>
      </c>
      <c r="W40" s="99">
        <f>Modeloutput!E314/1000</f>
        <v>1.4995084300000001E-2</v>
      </c>
      <c r="X40" s="99">
        <f>Modeloutput!F314/1000</f>
        <v>2.7277068000000002E-3</v>
      </c>
      <c r="Y40" s="99">
        <f>Modeloutput!G314/1000</f>
        <v>4.7476261999999997E-3</v>
      </c>
      <c r="Z40" s="99">
        <f>Modeloutput!H314/1000</f>
        <v>1.95060114E-4</v>
      </c>
      <c r="AA40" s="99">
        <f>Modeloutput!I314/1000</f>
        <v>0</v>
      </c>
      <c r="AB40" s="99">
        <f>Modeloutput!J314/1000</f>
        <v>0</v>
      </c>
      <c r="AC40" s="93">
        <f>Modeloutput!K314/1000</f>
        <v>0</v>
      </c>
      <c r="AD40" s="93">
        <f>Modeloutput!L314/1000</f>
        <v>0</v>
      </c>
      <c r="AE40" s="93">
        <f>Modeloutput!M314/1000</f>
        <v>0</v>
      </c>
      <c r="AF40" s="93">
        <f>Modeloutput!N314/1000</f>
        <v>0</v>
      </c>
      <c r="AG40" s="93">
        <f>Modeloutput!O314/1000</f>
        <v>0</v>
      </c>
      <c r="AH40" s="93">
        <f>Modeloutput!P314/1000</f>
        <v>0</v>
      </c>
      <c r="AJ40" s="7" t="s">
        <v>5</v>
      </c>
      <c r="AK40" s="93">
        <f>Modeloutput!B569/1000</f>
        <v>1.5709929899999999E-2</v>
      </c>
      <c r="AL40" s="93">
        <f>Modeloutput!C569/1000</f>
        <v>1.5709929899999999E-2</v>
      </c>
      <c r="AM40" s="93">
        <f>Modeloutput!D569/1000</f>
        <v>-1.7763568400000001E-18</v>
      </c>
      <c r="AN40" s="99">
        <f>Modeloutput!E569/1000</f>
        <v>9.8427108600000011E-3</v>
      </c>
      <c r="AO40" s="99">
        <f>Modeloutput!F569/1000</f>
        <v>2.7277068000000002E-3</v>
      </c>
      <c r="AP40" s="99">
        <f>Modeloutput!G569/1000</f>
        <v>2.9444521199999997E-3</v>
      </c>
      <c r="AQ40" s="99">
        <f>Modeloutput!H569/1000</f>
        <v>1.95060114E-4</v>
      </c>
      <c r="AR40" s="99">
        <f>Modeloutput!I569/1000</f>
        <v>0</v>
      </c>
      <c r="AS40" s="99">
        <f>Modeloutput!J569/1000</f>
        <v>0</v>
      </c>
      <c r="AT40" s="93">
        <f>Modeloutput!K569/1000</f>
        <v>0</v>
      </c>
      <c r="AU40" s="93">
        <f>Modeloutput!L569/1000</f>
        <v>0</v>
      </c>
      <c r="AV40" s="93">
        <f>Modeloutput!M569/1000</f>
        <v>0</v>
      </c>
      <c r="AW40" s="93">
        <f>Modeloutput!N569/1000</f>
        <v>0</v>
      </c>
      <c r="AX40" s="93">
        <f>Modeloutput!O569/1000</f>
        <v>0</v>
      </c>
      <c r="AY40" s="93">
        <f>Modeloutput!P569/1000</f>
        <v>0</v>
      </c>
      <c r="BA40" s="7" t="s">
        <v>5</v>
      </c>
      <c r="BB40" s="93">
        <f>Modeloutput!B824/1000</f>
        <v>3.1203510900000002E-2</v>
      </c>
      <c r="BC40" s="93">
        <f>Modeloutput!C824/1000</f>
        <v>3.1203510900000002E-2</v>
      </c>
      <c r="BD40" s="93">
        <f>Modeloutput!D824/1000</f>
        <v>-3.5527136800000002E-18</v>
      </c>
      <c r="BE40" s="99">
        <f>Modeloutput!E824/1000</f>
        <v>1.7448456100000002E-2</v>
      </c>
      <c r="BF40" s="99">
        <f>Modeloutput!F824/1000</f>
        <v>2.7277068000000002E-3</v>
      </c>
      <c r="BG40" s="99">
        <f>Modeloutput!G824/1000</f>
        <v>1.0832287900000001E-2</v>
      </c>
      <c r="BH40" s="99">
        <f>Modeloutput!H824/1000</f>
        <v>1.95060114E-4</v>
      </c>
      <c r="BI40" s="99">
        <f>Modeloutput!I824/1000</f>
        <v>0</v>
      </c>
      <c r="BJ40" s="99">
        <f>Modeloutput!J824/1000</f>
        <v>0</v>
      </c>
      <c r="BK40" s="93">
        <f>Modeloutput!K824/1000</f>
        <v>0</v>
      </c>
      <c r="BL40" s="93">
        <f>Modeloutput!L824/1000</f>
        <v>0</v>
      </c>
      <c r="BM40" s="93">
        <f>Modeloutput!M824/1000</f>
        <v>0</v>
      </c>
      <c r="BN40" s="93">
        <f>Modeloutput!N824/1000</f>
        <v>0</v>
      </c>
      <c r="BO40" s="93">
        <f>Modeloutput!O824/1000</f>
        <v>0</v>
      </c>
      <c r="BP40" s="93">
        <f>Modeloutput!P824/1000</f>
        <v>0</v>
      </c>
      <c r="BR40" s="7" t="s">
        <v>5</v>
      </c>
      <c r="BS40" s="93">
        <f>Modeloutput!B1079/1000</f>
        <v>7.13319387E-2</v>
      </c>
      <c r="BT40" s="93">
        <f>Modeloutput!C1079/1000</f>
        <v>7.13319387E-2</v>
      </c>
      <c r="BU40" s="93">
        <f>Modeloutput!D1079/1000</f>
        <v>0</v>
      </c>
      <c r="BV40" s="99">
        <f>Modeloutput!E1079/1000</f>
        <v>4.8901768700000001E-2</v>
      </c>
      <c r="BW40" s="99">
        <f>Modeloutput!F1079/1000</f>
        <v>6.1537440299999999E-3</v>
      </c>
      <c r="BX40" s="99">
        <f>Modeloutput!G1079/1000</f>
        <v>1.5870340100000001E-2</v>
      </c>
      <c r="BY40" s="99">
        <f>Modeloutput!H1079/1000</f>
        <v>4.0608591600000001E-4</v>
      </c>
      <c r="BZ40" s="99">
        <f>Modeloutput!I1079/1000</f>
        <v>0</v>
      </c>
      <c r="CA40" s="99">
        <f>Modeloutput!J1079/1000</f>
        <v>0</v>
      </c>
      <c r="CB40" s="93">
        <f>Modeloutput!K1079/1000</f>
        <v>0</v>
      </c>
      <c r="CC40" s="93">
        <f>Modeloutput!L1079/1000</f>
        <v>0</v>
      </c>
      <c r="CD40" s="93">
        <f>Modeloutput!M1079/1000</f>
        <v>0</v>
      </c>
      <c r="CE40" s="93">
        <f>Modeloutput!N1079/1000</f>
        <v>0</v>
      </c>
      <c r="CF40" s="93">
        <f>Modeloutput!O1079/1000</f>
        <v>0</v>
      </c>
      <c r="CG40" s="93">
        <f>Modeloutput!P1079/1000</f>
        <v>0</v>
      </c>
    </row>
    <row r="41" spans="2:85" s="7" customFormat="1" x14ac:dyDescent="0.25">
      <c r="B41" s="7" t="s">
        <v>6</v>
      </c>
      <c r="C41" s="93">
        <f>Modeloutput!B60/1000</f>
        <v>0</v>
      </c>
      <c r="D41" s="93">
        <f>Modeloutput!C60/1000</f>
        <v>0</v>
      </c>
      <c r="E41" s="93">
        <f>Modeloutput!D60/1000</f>
        <v>0</v>
      </c>
      <c r="F41" s="99">
        <f>Modeloutput!E60/1000</f>
        <v>0</v>
      </c>
      <c r="G41" s="99">
        <f>Modeloutput!F60/1000</f>
        <v>0</v>
      </c>
      <c r="H41" s="99">
        <f>Modeloutput!G60/1000</f>
        <v>0</v>
      </c>
      <c r="I41" s="99">
        <f>Modeloutput!H60/1000</f>
        <v>0</v>
      </c>
      <c r="J41" s="99">
        <f>Modeloutput!I60/1000</f>
        <v>0</v>
      </c>
      <c r="K41" s="99">
        <f>Modeloutput!J60/1000</f>
        <v>0</v>
      </c>
      <c r="L41" s="93">
        <f>Modeloutput!K60/1000</f>
        <v>0</v>
      </c>
      <c r="M41" s="93">
        <f>Modeloutput!L60/1000</f>
        <v>0</v>
      </c>
      <c r="N41" s="93">
        <f>Modeloutput!M60/1000</f>
        <v>0</v>
      </c>
      <c r="O41" s="93">
        <f>Modeloutput!N60/1000</f>
        <v>0</v>
      </c>
      <c r="P41" s="93">
        <f>Modeloutput!O60/1000</f>
        <v>0</v>
      </c>
      <c r="Q41" s="93">
        <f>Modeloutput!P60/1000</f>
        <v>0</v>
      </c>
      <c r="S41" s="7" t="s">
        <v>6</v>
      </c>
      <c r="T41" s="93">
        <f>Modeloutput!B315/1000</f>
        <v>0</v>
      </c>
      <c r="U41" s="93">
        <f>Modeloutput!C315/1000</f>
        <v>0</v>
      </c>
      <c r="V41" s="93">
        <f>Modeloutput!D315/1000</f>
        <v>0</v>
      </c>
      <c r="W41" s="99">
        <f>Modeloutput!E315/1000</f>
        <v>0</v>
      </c>
      <c r="X41" s="99">
        <f>Modeloutput!F315/1000</f>
        <v>0</v>
      </c>
      <c r="Y41" s="99">
        <f>Modeloutput!G315/1000</f>
        <v>0</v>
      </c>
      <c r="Z41" s="99">
        <f>Modeloutput!H315/1000</f>
        <v>0</v>
      </c>
      <c r="AA41" s="99">
        <f>Modeloutput!I315/1000</f>
        <v>0</v>
      </c>
      <c r="AB41" s="99">
        <f>Modeloutput!J315/1000</f>
        <v>0</v>
      </c>
      <c r="AC41" s="93">
        <f>Modeloutput!K315/1000</f>
        <v>0</v>
      </c>
      <c r="AD41" s="93">
        <f>Modeloutput!L315/1000</f>
        <v>0</v>
      </c>
      <c r="AE41" s="93">
        <f>Modeloutput!M315/1000</f>
        <v>0</v>
      </c>
      <c r="AF41" s="93">
        <f>Modeloutput!N315/1000</f>
        <v>0</v>
      </c>
      <c r="AG41" s="93">
        <f>Modeloutput!O315/1000</f>
        <v>0</v>
      </c>
      <c r="AH41" s="93">
        <f>Modeloutput!P315/1000</f>
        <v>0</v>
      </c>
      <c r="AJ41" s="7" t="s">
        <v>6</v>
      </c>
      <c r="AK41" s="93">
        <f>Modeloutput!B570/1000</f>
        <v>0</v>
      </c>
      <c r="AL41" s="93">
        <f>Modeloutput!C570/1000</f>
        <v>0</v>
      </c>
      <c r="AM41" s="93">
        <f>Modeloutput!D570/1000</f>
        <v>0</v>
      </c>
      <c r="AN41" s="99">
        <f>Modeloutput!E570/1000</f>
        <v>0</v>
      </c>
      <c r="AO41" s="99">
        <f>Modeloutput!F570/1000</f>
        <v>0</v>
      </c>
      <c r="AP41" s="99">
        <f>Modeloutput!G570/1000</f>
        <v>0</v>
      </c>
      <c r="AQ41" s="99">
        <f>Modeloutput!H570/1000</f>
        <v>0</v>
      </c>
      <c r="AR41" s="99">
        <f>Modeloutput!I570/1000</f>
        <v>0</v>
      </c>
      <c r="AS41" s="99">
        <f>Modeloutput!J570/1000</f>
        <v>0</v>
      </c>
      <c r="AT41" s="93">
        <f>Modeloutput!K570/1000</f>
        <v>0</v>
      </c>
      <c r="AU41" s="93">
        <f>Modeloutput!L570/1000</f>
        <v>0</v>
      </c>
      <c r="AV41" s="93">
        <f>Modeloutput!M570/1000</f>
        <v>0</v>
      </c>
      <c r="AW41" s="93">
        <f>Modeloutput!N570/1000</f>
        <v>0</v>
      </c>
      <c r="AX41" s="93">
        <f>Modeloutput!O570/1000</f>
        <v>0</v>
      </c>
      <c r="AY41" s="93">
        <f>Modeloutput!P570/1000</f>
        <v>0</v>
      </c>
      <c r="BA41" s="7" t="s">
        <v>6</v>
      </c>
      <c r="BB41" s="93">
        <f>Modeloutput!B825/1000</f>
        <v>0</v>
      </c>
      <c r="BC41" s="93">
        <f>Modeloutput!C825/1000</f>
        <v>0</v>
      </c>
      <c r="BD41" s="93">
        <f>Modeloutput!D825/1000</f>
        <v>0</v>
      </c>
      <c r="BE41" s="99">
        <f>Modeloutput!E825/1000</f>
        <v>0</v>
      </c>
      <c r="BF41" s="99">
        <f>Modeloutput!F825/1000</f>
        <v>0</v>
      </c>
      <c r="BG41" s="99">
        <f>Modeloutput!G825/1000</f>
        <v>0</v>
      </c>
      <c r="BH41" s="99">
        <f>Modeloutput!H825/1000</f>
        <v>0</v>
      </c>
      <c r="BI41" s="99">
        <f>Modeloutput!I825/1000</f>
        <v>0</v>
      </c>
      <c r="BJ41" s="99">
        <f>Modeloutput!J825/1000</f>
        <v>0</v>
      </c>
      <c r="BK41" s="93">
        <f>Modeloutput!K825/1000</f>
        <v>0</v>
      </c>
      <c r="BL41" s="93">
        <f>Modeloutput!L825/1000</f>
        <v>0</v>
      </c>
      <c r="BM41" s="93">
        <f>Modeloutput!M825/1000</f>
        <v>0</v>
      </c>
      <c r="BN41" s="93">
        <f>Modeloutput!N825/1000</f>
        <v>0</v>
      </c>
      <c r="BO41" s="93">
        <f>Modeloutput!O825/1000</f>
        <v>0</v>
      </c>
      <c r="BP41" s="93">
        <f>Modeloutput!P825/1000</f>
        <v>0</v>
      </c>
      <c r="BR41" s="7" t="s">
        <v>6</v>
      </c>
      <c r="BS41" s="93">
        <f>Modeloutput!B1080/1000</f>
        <v>2.0897734599999999E-2</v>
      </c>
      <c r="BT41" s="93">
        <f>Modeloutput!C1080/1000</f>
        <v>2.0897734599999999E-2</v>
      </c>
      <c r="BU41" s="93">
        <f>Modeloutput!D1080/1000</f>
        <v>3.5527136800000002E-18</v>
      </c>
      <c r="BV41" s="99">
        <f>Modeloutput!E1080/1000</f>
        <v>1.63980024E-2</v>
      </c>
      <c r="BW41" s="99">
        <f>Modeloutput!F1080/1000</f>
        <v>1.2250708800000001E-3</v>
      </c>
      <c r="BX41" s="99">
        <f>Modeloutput!G1080/1000</f>
        <v>3.1099036199999999E-3</v>
      </c>
      <c r="BY41" s="99">
        <f>Modeloutput!H1080/1000</f>
        <v>1.64757643E-4</v>
      </c>
      <c r="BZ41" s="99">
        <f>Modeloutput!I1080/1000</f>
        <v>0</v>
      </c>
      <c r="CA41" s="99">
        <f>Modeloutput!J1080/1000</f>
        <v>0</v>
      </c>
      <c r="CB41" s="93">
        <f>Modeloutput!K1080/1000</f>
        <v>0</v>
      </c>
      <c r="CC41" s="93">
        <f>Modeloutput!L1080/1000</f>
        <v>0</v>
      </c>
      <c r="CD41" s="93">
        <f>Modeloutput!M1080/1000</f>
        <v>0</v>
      </c>
      <c r="CE41" s="93">
        <f>Modeloutput!N1080/1000</f>
        <v>0</v>
      </c>
      <c r="CF41" s="93">
        <f>Modeloutput!O1080/1000</f>
        <v>0</v>
      </c>
      <c r="CG41" s="93">
        <f>Modeloutput!P1080/1000</f>
        <v>0</v>
      </c>
    </row>
    <row r="42" spans="2:85" s="7" customFormat="1" x14ac:dyDescent="0.25">
      <c r="B42" s="7" t="s">
        <v>7</v>
      </c>
      <c r="C42" s="93">
        <f>Modeloutput!B61/1000</f>
        <v>4.8624320799999995E-3</v>
      </c>
      <c r="D42" s="93">
        <f>Modeloutput!C61/1000</f>
        <v>4.8624320799999995E-3</v>
      </c>
      <c r="E42" s="93">
        <f>Modeloutput!D61/1000</f>
        <v>-8.8817842000000005E-19</v>
      </c>
      <c r="F42" s="99">
        <f>Modeloutput!E61/1000</f>
        <v>0</v>
      </c>
      <c r="G42" s="99">
        <f>Modeloutput!F61/1000</f>
        <v>3.7329420199999999E-3</v>
      </c>
      <c r="H42" s="99">
        <f>Modeloutput!G61/1000</f>
        <v>7.9107899000000002E-4</v>
      </c>
      <c r="I42" s="99">
        <f>Modeloutput!H61/1000</f>
        <v>3.3841107199999998E-4</v>
      </c>
      <c r="J42" s="99">
        <f>Modeloutput!I61/1000</f>
        <v>0</v>
      </c>
      <c r="K42" s="99">
        <f>Modeloutput!J61/1000</f>
        <v>0</v>
      </c>
      <c r="L42" s="93">
        <f>Modeloutput!K61/1000</f>
        <v>0</v>
      </c>
      <c r="M42" s="93">
        <f>Modeloutput!L61/1000</f>
        <v>0</v>
      </c>
      <c r="N42" s="93">
        <f>Modeloutput!M61/1000</f>
        <v>0</v>
      </c>
      <c r="O42" s="93">
        <f>Modeloutput!N61/1000</f>
        <v>0</v>
      </c>
      <c r="P42" s="93">
        <f>Modeloutput!O61/1000</f>
        <v>0</v>
      </c>
      <c r="Q42" s="93">
        <f>Modeloutput!P61/1000</f>
        <v>0</v>
      </c>
      <c r="S42" s="7" t="s">
        <v>7</v>
      </c>
      <c r="T42" s="93">
        <f>Modeloutput!B316/1000</f>
        <v>4.8326311E-3</v>
      </c>
      <c r="U42" s="93">
        <f>Modeloutput!C316/1000</f>
        <v>4.8326311E-3</v>
      </c>
      <c r="V42" s="93">
        <f>Modeloutput!D316/1000</f>
        <v>0</v>
      </c>
      <c r="W42" s="99">
        <f>Modeloutput!E316/1000</f>
        <v>0</v>
      </c>
      <c r="X42" s="99">
        <f>Modeloutput!F316/1000</f>
        <v>3.7030481299999999E-3</v>
      </c>
      <c r="Y42" s="99">
        <f>Modeloutput!G316/1000</f>
        <v>7.9113996900000009E-4</v>
      </c>
      <c r="Z42" s="99">
        <f>Modeloutput!H316/1000</f>
        <v>3.3844300100000001E-4</v>
      </c>
      <c r="AA42" s="99">
        <f>Modeloutput!I316/1000</f>
        <v>0</v>
      </c>
      <c r="AB42" s="99">
        <f>Modeloutput!J316/1000</f>
        <v>0</v>
      </c>
      <c r="AC42" s="93">
        <f>Modeloutput!K316/1000</f>
        <v>0</v>
      </c>
      <c r="AD42" s="93">
        <f>Modeloutput!L316/1000</f>
        <v>0</v>
      </c>
      <c r="AE42" s="93">
        <f>Modeloutput!M316/1000</f>
        <v>0</v>
      </c>
      <c r="AF42" s="93">
        <f>Modeloutput!N316/1000</f>
        <v>0</v>
      </c>
      <c r="AG42" s="93">
        <f>Modeloutput!O316/1000</f>
        <v>0</v>
      </c>
      <c r="AH42" s="93">
        <f>Modeloutput!P316/1000</f>
        <v>0</v>
      </c>
      <c r="AJ42" s="7" t="s">
        <v>7</v>
      </c>
      <c r="AK42" s="93">
        <f>Modeloutput!B571/1000</f>
        <v>3.74135019E-2</v>
      </c>
      <c r="AL42" s="93">
        <f>Modeloutput!C571/1000</f>
        <v>3.74135019E-2</v>
      </c>
      <c r="AM42" s="93">
        <f>Modeloutput!D571/1000</f>
        <v>7.1054273600000004E-18</v>
      </c>
      <c r="AN42" s="99">
        <f>Modeloutput!E571/1000</f>
        <v>2.7963288599999997E-2</v>
      </c>
      <c r="AO42" s="99">
        <f>Modeloutput!F571/1000</f>
        <v>4.0000655099999994E-3</v>
      </c>
      <c r="AP42" s="99">
        <f>Modeloutput!G571/1000</f>
        <v>5.0917552099999999E-3</v>
      </c>
      <c r="AQ42" s="99">
        <f>Modeloutput!H571/1000</f>
        <v>3.5839253100000001E-4</v>
      </c>
      <c r="AR42" s="99">
        <f>Modeloutput!I571/1000</f>
        <v>0</v>
      </c>
      <c r="AS42" s="99">
        <f>Modeloutput!J571/1000</f>
        <v>0</v>
      </c>
      <c r="AT42" s="93">
        <f>Modeloutput!K571/1000</f>
        <v>0</v>
      </c>
      <c r="AU42" s="93">
        <f>Modeloutput!L571/1000</f>
        <v>0</v>
      </c>
      <c r="AV42" s="93">
        <f>Modeloutput!M571/1000</f>
        <v>0</v>
      </c>
      <c r="AW42" s="93">
        <f>Modeloutput!N571/1000</f>
        <v>0</v>
      </c>
      <c r="AX42" s="93">
        <f>Modeloutput!O571/1000</f>
        <v>0</v>
      </c>
      <c r="AY42" s="93">
        <f>Modeloutput!P571/1000</f>
        <v>0</v>
      </c>
      <c r="BA42" s="7" t="s">
        <v>7</v>
      </c>
      <c r="BB42" s="93">
        <f>Modeloutput!B826/1000</f>
        <v>0</v>
      </c>
      <c r="BC42" s="93">
        <f>Modeloutput!C826/1000</f>
        <v>0</v>
      </c>
      <c r="BD42" s="93">
        <f>Modeloutput!D826/1000</f>
        <v>0</v>
      </c>
      <c r="BE42" s="99">
        <f>Modeloutput!E826/1000</f>
        <v>0</v>
      </c>
      <c r="BF42" s="99">
        <f>Modeloutput!F826/1000</f>
        <v>0</v>
      </c>
      <c r="BG42" s="99">
        <f>Modeloutput!G826/1000</f>
        <v>0</v>
      </c>
      <c r="BH42" s="99">
        <f>Modeloutput!H826/1000</f>
        <v>0</v>
      </c>
      <c r="BI42" s="99">
        <f>Modeloutput!I826/1000</f>
        <v>0</v>
      </c>
      <c r="BJ42" s="99">
        <f>Modeloutput!J826/1000</f>
        <v>0</v>
      </c>
      <c r="BK42" s="93">
        <f>Modeloutput!K826/1000</f>
        <v>0</v>
      </c>
      <c r="BL42" s="93">
        <f>Modeloutput!L826/1000</f>
        <v>0</v>
      </c>
      <c r="BM42" s="93">
        <f>Modeloutput!M826/1000</f>
        <v>0</v>
      </c>
      <c r="BN42" s="93">
        <f>Modeloutput!N826/1000</f>
        <v>0</v>
      </c>
      <c r="BO42" s="93">
        <f>Modeloutput!O826/1000</f>
        <v>0</v>
      </c>
      <c r="BP42" s="93">
        <f>Modeloutput!P826/1000</f>
        <v>0</v>
      </c>
      <c r="BR42" s="7" t="s">
        <v>7</v>
      </c>
      <c r="BS42" s="93">
        <f>Modeloutput!B1081/1000</f>
        <v>4.3927330399999997E-5</v>
      </c>
      <c r="BT42" s="93">
        <f>Modeloutput!C1081/1000</f>
        <v>4.3927330399999997E-5</v>
      </c>
      <c r="BU42" s="93">
        <f>Modeloutput!D1081/1000</f>
        <v>6.9388938999999997E-21</v>
      </c>
      <c r="BV42" s="99">
        <f>Modeloutput!E1081/1000</f>
        <v>0</v>
      </c>
      <c r="BW42" s="99">
        <f>Modeloutput!F1081/1000</f>
        <v>2.3202963900000001E-5</v>
      </c>
      <c r="BX42" s="99">
        <f>Modeloutput!G1081/1000</f>
        <v>1.0888857199999999E-5</v>
      </c>
      <c r="BY42" s="99">
        <f>Modeloutput!H1081/1000</f>
        <v>9.8355092700000009E-6</v>
      </c>
      <c r="BZ42" s="99">
        <f>Modeloutput!I1081/1000</f>
        <v>0</v>
      </c>
      <c r="CA42" s="99">
        <f>Modeloutput!J1081/1000</f>
        <v>0</v>
      </c>
      <c r="CB42" s="93">
        <f>Modeloutput!K1081/1000</f>
        <v>0</v>
      </c>
      <c r="CC42" s="93">
        <f>Modeloutput!L1081/1000</f>
        <v>0</v>
      </c>
      <c r="CD42" s="93">
        <f>Modeloutput!M1081/1000</f>
        <v>0</v>
      </c>
      <c r="CE42" s="93">
        <f>Modeloutput!N1081/1000</f>
        <v>0</v>
      </c>
      <c r="CF42" s="93">
        <f>Modeloutput!O1081/1000</f>
        <v>0</v>
      </c>
      <c r="CG42" s="93">
        <f>Modeloutput!P1081/1000</f>
        <v>0</v>
      </c>
    </row>
    <row r="43" spans="2:85" s="7" customFormat="1" x14ac:dyDescent="0.25">
      <c r="B43" s="7" t="s">
        <v>8</v>
      </c>
      <c r="C43" s="93">
        <f>Modeloutput!B62/1000</f>
        <v>0</v>
      </c>
      <c r="D43" s="93">
        <f>Modeloutput!C62/1000</f>
        <v>0</v>
      </c>
      <c r="E43" s="93">
        <f>Modeloutput!D62/1000</f>
        <v>0</v>
      </c>
      <c r="F43" s="99">
        <f>Modeloutput!E62/1000</f>
        <v>0</v>
      </c>
      <c r="G43" s="99">
        <f>Modeloutput!F62/1000</f>
        <v>0</v>
      </c>
      <c r="H43" s="99">
        <f>Modeloutput!G62/1000</f>
        <v>0</v>
      </c>
      <c r="I43" s="99">
        <f>Modeloutput!H62/1000</f>
        <v>0</v>
      </c>
      <c r="J43" s="99">
        <f>Modeloutput!I62/1000</f>
        <v>0</v>
      </c>
      <c r="K43" s="99">
        <f>Modeloutput!J62/1000</f>
        <v>0</v>
      </c>
      <c r="L43" s="93">
        <f>Modeloutput!K62/1000</f>
        <v>0</v>
      </c>
      <c r="M43" s="93">
        <f>Modeloutput!L62/1000</f>
        <v>0</v>
      </c>
      <c r="N43" s="93">
        <f>Modeloutput!M62/1000</f>
        <v>0</v>
      </c>
      <c r="O43" s="93">
        <f>Modeloutput!N62/1000</f>
        <v>0</v>
      </c>
      <c r="P43" s="93">
        <f>Modeloutput!O62/1000</f>
        <v>0</v>
      </c>
      <c r="Q43" s="93">
        <f>Modeloutput!P62/1000</f>
        <v>0</v>
      </c>
      <c r="S43" s="7" t="s">
        <v>8</v>
      </c>
      <c r="T43" s="93">
        <f>Modeloutput!B317/1000</f>
        <v>0</v>
      </c>
      <c r="U43" s="93">
        <f>Modeloutput!C317/1000</f>
        <v>0</v>
      </c>
      <c r="V43" s="93">
        <f>Modeloutput!D317/1000</f>
        <v>0</v>
      </c>
      <c r="W43" s="99">
        <f>Modeloutput!E317/1000</f>
        <v>0</v>
      </c>
      <c r="X43" s="99">
        <f>Modeloutput!F317/1000</f>
        <v>0</v>
      </c>
      <c r="Y43" s="99">
        <f>Modeloutput!G317/1000</f>
        <v>0</v>
      </c>
      <c r="Z43" s="99">
        <f>Modeloutput!H317/1000</f>
        <v>0</v>
      </c>
      <c r="AA43" s="99">
        <f>Modeloutput!I317/1000</f>
        <v>0</v>
      </c>
      <c r="AB43" s="99">
        <f>Modeloutput!J317/1000</f>
        <v>0</v>
      </c>
      <c r="AC43" s="93">
        <f>Modeloutput!K317/1000</f>
        <v>0</v>
      </c>
      <c r="AD43" s="93">
        <f>Modeloutput!L317/1000</f>
        <v>0</v>
      </c>
      <c r="AE43" s="93">
        <f>Modeloutput!M317/1000</f>
        <v>0</v>
      </c>
      <c r="AF43" s="93">
        <f>Modeloutput!N317/1000</f>
        <v>0</v>
      </c>
      <c r="AG43" s="93">
        <f>Modeloutput!O317/1000</f>
        <v>0</v>
      </c>
      <c r="AH43" s="93">
        <f>Modeloutput!P317/1000</f>
        <v>0</v>
      </c>
      <c r="AJ43" s="7" t="s">
        <v>8</v>
      </c>
      <c r="AK43" s="93">
        <f>Modeloutput!B572/1000</f>
        <v>0</v>
      </c>
      <c r="AL43" s="93">
        <f>Modeloutput!C572/1000</f>
        <v>0</v>
      </c>
      <c r="AM43" s="93">
        <f>Modeloutput!D572/1000</f>
        <v>0</v>
      </c>
      <c r="AN43" s="99">
        <f>Modeloutput!E572/1000</f>
        <v>0</v>
      </c>
      <c r="AO43" s="99">
        <f>Modeloutput!F572/1000</f>
        <v>0</v>
      </c>
      <c r="AP43" s="99">
        <f>Modeloutput!G572/1000</f>
        <v>0</v>
      </c>
      <c r="AQ43" s="99">
        <f>Modeloutput!H572/1000</f>
        <v>0</v>
      </c>
      <c r="AR43" s="99">
        <f>Modeloutput!I572/1000</f>
        <v>0</v>
      </c>
      <c r="AS43" s="99">
        <f>Modeloutput!J572/1000</f>
        <v>0</v>
      </c>
      <c r="AT43" s="93">
        <f>Modeloutput!K572/1000</f>
        <v>0</v>
      </c>
      <c r="AU43" s="93">
        <f>Modeloutput!L572/1000</f>
        <v>0</v>
      </c>
      <c r="AV43" s="93">
        <f>Modeloutput!M572/1000</f>
        <v>0</v>
      </c>
      <c r="AW43" s="93">
        <f>Modeloutput!N572/1000</f>
        <v>0</v>
      </c>
      <c r="AX43" s="93">
        <f>Modeloutput!O572/1000</f>
        <v>0</v>
      </c>
      <c r="AY43" s="93">
        <f>Modeloutput!P572/1000</f>
        <v>0</v>
      </c>
      <c r="BA43" s="7" t="s">
        <v>8</v>
      </c>
      <c r="BB43" s="93">
        <f>Modeloutput!B827/1000</f>
        <v>0</v>
      </c>
      <c r="BC43" s="93">
        <f>Modeloutput!C827/1000</f>
        <v>0</v>
      </c>
      <c r="BD43" s="93">
        <f>Modeloutput!D827/1000</f>
        <v>0</v>
      </c>
      <c r="BE43" s="99">
        <f>Modeloutput!E827/1000</f>
        <v>0</v>
      </c>
      <c r="BF43" s="99">
        <f>Modeloutput!F827/1000</f>
        <v>0</v>
      </c>
      <c r="BG43" s="99">
        <f>Modeloutput!G827/1000</f>
        <v>0</v>
      </c>
      <c r="BH43" s="99">
        <f>Modeloutput!H827/1000</f>
        <v>0</v>
      </c>
      <c r="BI43" s="99">
        <f>Modeloutput!I827/1000</f>
        <v>0</v>
      </c>
      <c r="BJ43" s="99">
        <f>Modeloutput!J827/1000</f>
        <v>0</v>
      </c>
      <c r="BK43" s="93">
        <f>Modeloutput!K827/1000</f>
        <v>0</v>
      </c>
      <c r="BL43" s="93">
        <f>Modeloutput!L827/1000</f>
        <v>0</v>
      </c>
      <c r="BM43" s="93">
        <f>Modeloutput!M827/1000</f>
        <v>0</v>
      </c>
      <c r="BN43" s="93">
        <f>Modeloutput!N827/1000</f>
        <v>0</v>
      </c>
      <c r="BO43" s="93">
        <f>Modeloutput!O827/1000</f>
        <v>0</v>
      </c>
      <c r="BP43" s="93">
        <f>Modeloutput!P827/1000</f>
        <v>0</v>
      </c>
      <c r="BR43" s="7" t="s">
        <v>8</v>
      </c>
      <c r="BS43" s="93">
        <f>Modeloutput!B1082/1000</f>
        <v>0</v>
      </c>
      <c r="BT43" s="93">
        <f>Modeloutput!C1082/1000</f>
        <v>0</v>
      </c>
      <c r="BU43" s="93">
        <f>Modeloutput!D1082/1000</f>
        <v>0</v>
      </c>
      <c r="BV43" s="99">
        <f>Modeloutput!E1082/1000</f>
        <v>0</v>
      </c>
      <c r="BW43" s="99">
        <f>Modeloutput!F1082/1000</f>
        <v>0</v>
      </c>
      <c r="BX43" s="99">
        <f>Modeloutput!G1082/1000</f>
        <v>0</v>
      </c>
      <c r="BY43" s="99">
        <f>Modeloutput!H1082/1000</f>
        <v>0</v>
      </c>
      <c r="BZ43" s="99">
        <f>Modeloutput!I1082/1000</f>
        <v>0</v>
      </c>
      <c r="CA43" s="99">
        <f>Modeloutput!J1082/1000</f>
        <v>0</v>
      </c>
      <c r="CB43" s="93">
        <f>Modeloutput!K1082/1000</f>
        <v>0</v>
      </c>
      <c r="CC43" s="93">
        <f>Modeloutput!L1082/1000</f>
        <v>0</v>
      </c>
      <c r="CD43" s="93">
        <f>Modeloutput!M1082/1000</f>
        <v>0</v>
      </c>
      <c r="CE43" s="93">
        <f>Modeloutput!N1082/1000</f>
        <v>0</v>
      </c>
      <c r="CF43" s="93">
        <f>Modeloutput!O1082/1000</f>
        <v>0</v>
      </c>
      <c r="CG43" s="93">
        <f>Modeloutput!P1082/1000</f>
        <v>0</v>
      </c>
    </row>
    <row r="44" spans="2:85" s="7" customFormat="1" x14ac:dyDescent="0.25">
      <c r="B44" s="7" t="s">
        <v>9</v>
      </c>
      <c r="C44" s="93">
        <f>Modeloutput!B63/1000</f>
        <v>0</v>
      </c>
      <c r="D44" s="93">
        <f>Modeloutput!C63/1000</f>
        <v>0</v>
      </c>
      <c r="E44" s="93">
        <f>Modeloutput!D63/1000</f>
        <v>0</v>
      </c>
      <c r="F44" s="99">
        <f>Modeloutput!E63/1000</f>
        <v>0</v>
      </c>
      <c r="G44" s="99">
        <f>Modeloutput!F63/1000</f>
        <v>0</v>
      </c>
      <c r="H44" s="99">
        <f>Modeloutput!G63/1000</f>
        <v>0</v>
      </c>
      <c r="I44" s="99">
        <f>Modeloutput!H63/1000</f>
        <v>0</v>
      </c>
      <c r="J44" s="99">
        <f>Modeloutput!I63/1000</f>
        <v>0</v>
      </c>
      <c r="K44" s="99">
        <f>Modeloutput!J63/1000</f>
        <v>0</v>
      </c>
      <c r="L44" s="93">
        <f>Modeloutput!K63/1000</f>
        <v>0</v>
      </c>
      <c r="M44" s="93">
        <f>Modeloutput!L63/1000</f>
        <v>0</v>
      </c>
      <c r="N44" s="93">
        <f>Modeloutput!M63/1000</f>
        <v>0</v>
      </c>
      <c r="O44" s="93">
        <f>Modeloutput!N63/1000</f>
        <v>0</v>
      </c>
      <c r="P44" s="93">
        <f>Modeloutput!O63/1000</f>
        <v>0</v>
      </c>
      <c r="Q44" s="93">
        <f>Modeloutput!P63/1000</f>
        <v>0</v>
      </c>
      <c r="S44" s="7" t="s">
        <v>9</v>
      </c>
      <c r="T44" s="93">
        <f>Modeloutput!B318/1000</f>
        <v>0</v>
      </c>
      <c r="U44" s="93">
        <f>Modeloutput!C318/1000</f>
        <v>0</v>
      </c>
      <c r="V44" s="93">
        <f>Modeloutput!D318/1000</f>
        <v>0</v>
      </c>
      <c r="W44" s="99">
        <f>Modeloutput!E318/1000</f>
        <v>0</v>
      </c>
      <c r="X44" s="99">
        <f>Modeloutput!F318/1000</f>
        <v>0</v>
      </c>
      <c r="Y44" s="99">
        <f>Modeloutput!G318/1000</f>
        <v>0</v>
      </c>
      <c r="Z44" s="99">
        <f>Modeloutput!H318/1000</f>
        <v>0</v>
      </c>
      <c r="AA44" s="99">
        <f>Modeloutput!I318/1000</f>
        <v>0</v>
      </c>
      <c r="AB44" s="99">
        <f>Modeloutput!J318/1000</f>
        <v>0</v>
      </c>
      <c r="AC44" s="93">
        <f>Modeloutput!K318/1000</f>
        <v>0</v>
      </c>
      <c r="AD44" s="93">
        <f>Modeloutput!L318/1000</f>
        <v>0</v>
      </c>
      <c r="AE44" s="93">
        <f>Modeloutput!M318/1000</f>
        <v>0</v>
      </c>
      <c r="AF44" s="93">
        <f>Modeloutput!N318/1000</f>
        <v>0</v>
      </c>
      <c r="AG44" s="93">
        <f>Modeloutput!O318/1000</f>
        <v>0</v>
      </c>
      <c r="AH44" s="93">
        <f>Modeloutput!P318/1000</f>
        <v>0</v>
      </c>
      <c r="AJ44" s="7" t="s">
        <v>9</v>
      </c>
      <c r="AK44" s="93">
        <f>Modeloutput!B573/1000</f>
        <v>0</v>
      </c>
      <c r="AL44" s="93">
        <f>Modeloutput!C573/1000</f>
        <v>0</v>
      </c>
      <c r="AM44" s="93">
        <f>Modeloutput!D573/1000</f>
        <v>0</v>
      </c>
      <c r="AN44" s="99">
        <f>Modeloutput!E573/1000</f>
        <v>0</v>
      </c>
      <c r="AO44" s="99">
        <f>Modeloutput!F573/1000</f>
        <v>0</v>
      </c>
      <c r="AP44" s="99">
        <f>Modeloutput!G573/1000</f>
        <v>0</v>
      </c>
      <c r="AQ44" s="99">
        <f>Modeloutput!H573/1000</f>
        <v>0</v>
      </c>
      <c r="AR44" s="99">
        <f>Modeloutput!I573/1000</f>
        <v>0</v>
      </c>
      <c r="AS44" s="99">
        <f>Modeloutput!J573/1000</f>
        <v>0</v>
      </c>
      <c r="AT44" s="93">
        <f>Modeloutput!K573/1000</f>
        <v>0</v>
      </c>
      <c r="AU44" s="93">
        <f>Modeloutput!L573/1000</f>
        <v>0</v>
      </c>
      <c r="AV44" s="93">
        <f>Modeloutput!M573/1000</f>
        <v>0</v>
      </c>
      <c r="AW44" s="93">
        <f>Modeloutput!N573/1000</f>
        <v>0</v>
      </c>
      <c r="AX44" s="93">
        <f>Modeloutput!O573/1000</f>
        <v>0</v>
      </c>
      <c r="AY44" s="93">
        <f>Modeloutput!P573/1000</f>
        <v>0</v>
      </c>
      <c r="BA44" s="7" t="s">
        <v>9</v>
      </c>
      <c r="BB44" s="93">
        <f>Modeloutput!B828/1000</f>
        <v>0</v>
      </c>
      <c r="BC44" s="93">
        <f>Modeloutput!C828/1000</f>
        <v>0</v>
      </c>
      <c r="BD44" s="93">
        <f>Modeloutput!D828/1000</f>
        <v>0</v>
      </c>
      <c r="BE44" s="99">
        <f>Modeloutput!E828/1000</f>
        <v>0</v>
      </c>
      <c r="BF44" s="99">
        <f>Modeloutput!F828/1000</f>
        <v>0</v>
      </c>
      <c r="BG44" s="99">
        <f>Modeloutput!G828/1000</f>
        <v>0</v>
      </c>
      <c r="BH44" s="99">
        <f>Modeloutput!H828/1000</f>
        <v>0</v>
      </c>
      <c r="BI44" s="99">
        <f>Modeloutput!I828/1000</f>
        <v>0</v>
      </c>
      <c r="BJ44" s="99">
        <f>Modeloutput!J828/1000</f>
        <v>0</v>
      </c>
      <c r="BK44" s="93">
        <f>Modeloutput!K828/1000</f>
        <v>0</v>
      </c>
      <c r="BL44" s="93">
        <f>Modeloutput!L828/1000</f>
        <v>0</v>
      </c>
      <c r="BM44" s="93">
        <f>Modeloutput!M828/1000</f>
        <v>0</v>
      </c>
      <c r="BN44" s="93">
        <f>Modeloutput!N828/1000</f>
        <v>0</v>
      </c>
      <c r="BO44" s="93">
        <f>Modeloutput!O828/1000</f>
        <v>0</v>
      </c>
      <c r="BP44" s="93">
        <f>Modeloutput!P828/1000</f>
        <v>0</v>
      </c>
      <c r="BR44" s="7" t="s">
        <v>9</v>
      </c>
      <c r="BS44" s="93">
        <f>Modeloutput!B1083/1000</f>
        <v>0</v>
      </c>
      <c r="BT44" s="93">
        <f>Modeloutput!C1083/1000</f>
        <v>0</v>
      </c>
      <c r="BU44" s="93">
        <f>Modeloutput!D1083/1000</f>
        <v>0</v>
      </c>
      <c r="BV44" s="99">
        <f>Modeloutput!E1083/1000</f>
        <v>0</v>
      </c>
      <c r="BW44" s="99">
        <f>Modeloutput!F1083/1000</f>
        <v>0</v>
      </c>
      <c r="BX44" s="99">
        <f>Modeloutput!G1083/1000</f>
        <v>0</v>
      </c>
      <c r="BY44" s="99">
        <f>Modeloutput!H1083/1000</f>
        <v>0</v>
      </c>
      <c r="BZ44" s="99">
        <f>Modeloutput!I1083/1000</f>
        <v>0</v>
      </c>
      <c r="CA44" s="99">
        <f>Modeloutput!J1083/1000</f>
        <v>0</v>
      </c>
      <c r="CB44" s="93">
        <f>Modeloutput!K1083/1000</f>
        <v>0</v>
      </c>
      <c r="CC44" s="93">
        <f>Modeloutput!L1083/1000</f>
        <v>0</v>
      </c>
      <c r="CD44" s="93">
        <f>Modeloutput!M1083/1000</f>
        <v>0</v>
      </c>
      <c r="CE44" s="93">
        <f>Modeloutput!N1083/1000</f>
        <v>0</v>
      </c>
      <c r="CF44" s="93">
        <f>Modeloutput!O1083/1000</f>
        <v>0</v>
      </c>
      <c r="CG44" s="93">
        <f>Modeloutput!P1083/1000</f>
        <v>0</v>
      </c>
    </row>
    <row r="45" spans="2:85" s="7" customFormat="1" x14ac:dyDescent="0.25">
      <c r="B45" s="7" t="s">
        <v>10</v>
      </c>
      <c r="C45" s="93">
        <f>Modeloutput!B64/1000</f>
        <v>0</v>
      </c>
      <c r="D45" s="93">
        <f>Modeloutput!C64/1000</f>
        <v>0</v>
      </c>
      <c r="E45" s="93">
        <f>Modeloutput!D64/1000</f>
        <v>0</v>
      </c>
      <c r="F45" s="93">
        <f>Modeloutput!E64/1000</f>
        <v>0</v>
      </c>
      <c r="G45" s="93">
        <f>Modeloutput!F64/1000</f>
        <v>0</v>
      </c>
      <c r="H45" s="93">
        <f>Modeloutput!G64/1000</f>
        <v>0</v>
      </c>
      <c r="I45" s="93">
        <f>Modeloutput!H64/1000</f>
        <v>0</v>
      </c>
      <c r="J45" s="93">
        <f>Modeloutput!I64/1000</f>
        <v>0</v>
      </c>
      <c r="K45" s="93">
        <f>Modeloutput!J64/1000</f>
        <v>0</v>
      </c>
      <c r="L45" s="93">
        <f>Modeloutput!K64/1000</f>
        <v>0</v>
      </c>
      <c r="M45" s="93">
        <f>Modeloutput!L64/1000</f>
        <v>0</v>
      </c>
      <c r="N45" s="93">
        <f>Modeloutput!M64/1000</f>
        <v>0</v>
      </c>
      <c r="O45" s="93">
        <f>Modeloutput!N64/1000</f>
        <v>0</v>
      </c>
      <c r="P45" s="93">
        <f>Modeloutput!O64/1000</f>
        <v>0</v>
      </c>
      <c r="Q45" s="93">
        <f>Modeloutput!P64/1000</f>
        <v>0</v>
      </c>
      <c r="S45" s="7" t="s">
        <v>10</v>
      </c>
      <c r="T45" s="93">
        <f>Modeloutput!B319/1000</f>
        <v>0</v>
      </c>
      <c r="U45" s="93">
        <f>Modeloutput!C319/1000</f>
        <v>0</v>
      </c>
      <c r="V45" s="93">
        <f>Modeloutput!D319/1000</f>
        <v>0</v>
      </c>
      <c r="W45" s="93">
        <f>Modeloutput!E319/1000</f>
        <v>0</v>
      </c>
      <c r="X45" s="93">
        <f>Modeloutput!F319/1000</f>
        <v>0</v>
      </c>
      <c r="Y45" s="93">
        <f>Modeloutput!G319/1000</f>
        <v>0</v>
      </c>
      <c r="Z45" s="93">
        <f>Modeloutput!H319/1000</f>
        <v>0</v>
      </c>
      <c r="AA45" s="93">
        <f>Modeloutput!I319/1000</f>
        <v>0</v>
      </c>
      <c r="AB45" s="93">
        <f>Modeloutput!J319/1000</f>
        <v>0</v>
      </c>
      <c r="AC45" s="93">
        <f>Modeloutput!K319/1000</f>
        <v>0</v>
      </c>
      <c r="AD45" s="93">
        <f>Modeloutput!L319/1000</f>
        <v>0</v>
      </c>
      <c r="AE45" s="93">
        <f>Modeloutput!M319/1000</f>
        <v>0</v>
      </c>
      <c r="AF45" s="93">
        <f>Modeloutput!N319/1000</f>
        <v>0</v>
      </c>
      <c r="AG45" s="93">
        <f>Modeloutput!O319/1000</f>
        <v>0</v>
      </c>
      <c r="AH45" s="93">
        <f>Modeloutput!P319/1000</f>
        <v>0</v>
      </c>
      <c r="AJ45" s="7" t="s">
        <v>10</v>
      </c>
      <c r="AK45" s="93">
        <f>Modeloutput!B574/1000</f>
        <v>0</v>
      </c>
      <c r="AL45" s="93">
        <f>Modeloutput!C574/1000</f>
        <v>0</v>
      </c>
      <c r="AM45" s="93">
        <f>Modeloutput!D574/1000</f>
        <v>0</v>
      </c>
      <c r="AN45" s="93">
        <f>Modeloutput!E574/1000</f>
        <v>0</v>
      </c>
      <c r="AO45" s="93">
        <f>Modeloutput!F574/1000</f>
        <v>0</v>
      </c>
      <c r="AP45" s="93">
        <f>Modeloutput!G574/1000</f>
        <v>0</v>
      </c>
      <c r="AQ45" s="93">
        <f>Modeloutput!H574/1000</f>
        <v>0</v>
      </c>
      <c r="AR45" s="93">
        <f>Modeloutput!I574/1000</f>
        <v>0</v>
      </c>
      <c r="AS45" s="93">
        <f>Modeloutput!J574/1000</f>
        <v>0</v>
      </c>
      <c r="AT45" s="93">
        <f>Modeloutput!K574/1000</f>
        <v>0</v>
      </c>
      <c r="AU45" s="93">
        <f>Modeloutput!L574/1000</f>
        <v>0</v>
      </c>
      <c r="AV45" s="93">
        <f>Modeloutput!M574/1000</f>
        <v>0</v>
      </c>
      <c r="AW45" s="93">
        <f>Modeloutput!N574/1000</f>
        <v>0</v>
      </c>
      <c r="AX45" s="93">
        <f>Modeloutput!O574/1000</f>
        <v>0</v>
      </c>
      <c r="AY45" s="93">
        <f>Modeloutput!P574/1000</f>
        <v>0</v>
      </c>
      <c r="BA45" s="7" t="s">
        <v>10</v>
      </c>
      <c r="BB45" s="93">
        <f>Modeloutput!B829/1000</f>
        <v>0</v>
      </c>
      <c r="BC45" s="93">
        <f>Modeloutput!C829/1000</f>
        <v>0</v>
      </c>
      <c r="BD45" s="93">
        <f>Modeloutput!D829/1000</f>
        <v>0</v>
      </c>
      <c r="BE45" s="93">
        <f>Modeloutput!E829/1000</f>
        <v>0</v>
      </c>
      <c r="BF45" s="93">
        <f>Modeloutput!F829/1000</f>
        <v>0</v>
      </c>
      <c r="BG45" s="93">
        <f>Modeloutput!G829/1000</f>
        <v>0</v>
      </c>
      <c r="BH45" s="93">
        <f>Modeloutput!H829/1000</f>
        <v>0</v>
      </c>
      <c r="BI45" s="93">
        <f>Modeloutput!I829/1000</f>
        <v>0</v>
      </c>
      <c r="BJ45" s="93">
        <f>Modeloutput!J829/1000</f>
        <v>0</v>
      </c>
      <c r="BK45" s="93">
        <f>Modeloutput!K829/1000</f>
        <v>0</v>
      </c>
      <c r="BL45" s="93">
        <f>Modeloutput!L829/1000</f>
        <v>0</v>
      </c>
      <c r="BM45" s="93">
        <f>Modeloutput!M829/1000</f>
        <v>0</v>
      </c>
      <c r="BN45" s="93">
        <f>Modeloutput!N829/1000</f>
        <v>0</v>
      </c>
      <c r="BO45" s="93">
        <f>Modeloutput!O829/1000</f>
        <v>0</v>
      </c>
      <c r="BP45" s="93">
        <f>Modeloutput!P829/1000</f>
        <v>0</v>
      </c>
      <c r="BR45" s="7" t="s">
        <v>10</v>
      </c>
      <c r="BS45" s="93">
        <f>Modeloutput!B1084/1000</f>
        <v>0</v>
      </c>
      <c r="BT45" s="93">
        <f>Modeloutput!C1084/1000</f>
        <v>0</v>
      </c>
      <c r="BU45" s="93">
        <f>Modeloutput!D1084/1000</f>
        <v>0</v>
      </c>
      <c r="BV45" s="93">
        <f>Modeloutput!E1084/1000</f>
        <v>0</v>
      </c>
      <c r="BW45" s="93">
        <f>Modeloutput!F1084/1000</f>
        <v>0</v>
      </c>
      <c r="BX45" s="93">
        <f>Modeloutput!G1084/1000</f>
        <v>0</v>
      </c>
      <c r="BY45" s="93">
        <f>Modeloutput!H1084/1000</f>
        <v>0</v>
      </c>
      <c r="BZ45" s="93">
        <f>Modeloutput!I1084/1000</f>
        <v>0</v>
      </c>
      <c r="CA45" s="93">
        <f>Modeloutput!J1084/1000</f>
        <v>0</v>
      </c>
      <c r="CB45" s="93">
        <f>Modeloutput!K1084/1000</f>
        <v>0</v>
      </c>
      <c r="CC45" s="93">
        <f>Modeloutput!L1084/1000</f>
        <v>0</v>
      </c>
      <c r="CD45" s="93">
        <f>Modeloutput!M1084/1000</f>
        <v>0</v>
      </c>
      <c r="CE45" s="93">
        <f>Modeloutput!N1084/1000</f>
        <v>0</v>
      </c>
      <c r="CF45" s="93">
        <f>Modeloutput!O1084/1000</f>
        <v>0</v>
      </c>
      <c r="CG45" s="93">
        <f>Modeloutput!P1084/1000</f>
        <v>0</v>
      </c>
    </row>
    <row r="46" spans="2:85" s="7" customFormat="1" x14ac:dyDescent="0.25">
      <c r="B46" s="7" t="s">
        <v>11</v>
      </c>
      <c r="C46" s="93">
        <f>Modeloutput!B65/1000</f>
        <v>0</v>
      </c>
      <c r="D46" s="93">
        <f>Modeloutput!C65/1000</f>
        <v>0</v>
      </c>
      <c r="E46" s="93">
        <f>Modeloutput!D65/1000</f>
        <v>0</v>
      </c>
      <c r="F46" s="93">
        <f>Modeloutput!E65/1000</f>
        <v>0</v>
      </c>
      <c r="G46" s="93">
        <f>Modeloutput!F65/1000</f>
        <v>0</v>
      </c>
      <c r="H46" s="93">
        <f>Modeloutput!G65/1000</f>
        <v>0</v>
      </c>
      <c r="I46" s="93">
        <f>Modeloutput!H65/1000</f>
        <v>0</v>
      </c>
      <c r="J46" s="93">
        <f>Modeloutput!I65/1000</f>
        <v>0</v>
      </c>
      <c r="K46" s="93">
        <f>Modeloutput!J65/1000</f>
        <v>0</v>
      </c>
      <c r="L46" s="93">
        <f>Modeloutput!K65/1000</f>
        <v>0</v>
      </c>
      <c r="M46" s="93">
        <f>Modeloutput!L65/1000</f>
        <v>0</v>
      </c>
      <c r="N46" s="93">
        <f>Modeloutput!M65/1000</f>
        <v>0</v>
      </c>
      <c r="O46" s="93">
        <f>Modeloutput!N65/1000</f>
        <v>0</v>
      </c>
      <c r="P46" s="93">
        <f>Modeloutput!O65/1000</f>
        <v>0</v>
      </c>
      <c r="Q46" s="93">
        <f>Modeloutput!P65/1000</f>
        <v>0</v>
      </c>
      <c r="S46" s="7" t="s">
        <v>11</v>
      </c>
      <c r="T46" s="93">
        <f>Modeloutput!B320/1000</f>
        <v>0</v>
      </c>
      <c r="U46" s="93">
        <f>Modeloutput!C320/1000</f>
        <v>0</v>
      </c>
      <c r="V46" s="93">
        <f>Modeloutput!D320/1000</f>
        <v>0</v>
      </c>
      <c r="W46" s="93">
        <f>Modeloutput!E320/1000</f>
        <v>0</v>
      </c>
      <c r="X46" s="93">
        <f>Modeloutput!F320/1000</f>
        <v>0</v>
      </c>
      <c r="Y46" s="93">
        <f>Modeloutput!G320/1000</f>
        <v>0</v>
      </c>
      <c r="Z46" s="93">
        <f>Modeloutput!H320/1000</f>
        <v>0</v>
      </c>
      <c r="AA46" s="93">
        <f>Modeloutput!I320/1000</f>
        <v>0</v>
      </c>
      <c r="AB46" s="93">
        <f>Modeloutput!J320/1000</f>
        <v>0</v>
      </c>
      <c r="AC46" s="93">
        <f>Modeloutput!K320/1000</f>
        <v>0</v>
      </c>
      <c r="AD46" s="93">
        <f>Modeloutput!L320/1000</f>
        <v>0</v>
      </c>
      <c r="AE46" s="93">
        <f>Modeloutput!M320/1000</f>
        <v>0</v>
      </c>
      <c r="AF46" s="93">
        <f>Modeloutput!N320/1000</f>
        <v>0</v>
      </c>
      <c r="AG46" s="93">
        <f>Modeloutput!O320/1000</f>
        <v>0</v>
      </c>
      <c r="AH46" s="93">
        <f>Modeloutput!P320/1000</f>
        <v>0</v>
      </c>
      <c r="AJ46" s="7" t="s">
        <v>11</v>
      </c>
      <c r="AK46" s="93">
        <f>Modeloutput!B575/1000</f>
        <v>0</v>
      </c>
      <c r="AL46" s="93">
        <f>Modeloutput!C575/1000</f>
        <v>0</v>
      </c>
      <c r="AM46" s="93">
        <f>Modeloutput!D575/1000</f>
        <v>0</v>
      </c>
      <c r="AN46" s="93">
        <f>Modeloutput!E575/1000</f>
        <v>0</v>
      </c>
      <c r="AO46" s="93">
        <f>Modeloutput!F575/1000</f>
        <v>0</v>
      </c>
      <c r="AP46" s="93">
        <f>Modeloutput!G575/1000</f>
        <v>0</v>
      </c>
      <c r="AQ46" s="93">
        <f>Modeloutput!H575/1000</f>
        <v>0</v>
      </c>
      <c r="AR46" s="93">
        <f>Modeloutput!I575/1000</f>
        <v>0</v>
      </c>
      <c r="AS46" s="93">
        <f>Modeloutput!J575/1000</f>
        <v>0</v>
      </c>
      <c r="AT46" s="93">
        <f>Modeloutput!K575/1000</f>
        <v>0</v>
      </c>
      <c r="AU46" s="93">
        <f>Modeloutput!L575/1000</f>
        <v>0</v>
      </c>
      <c r="AV46" s="93">
        <f>Modeloutput!M575/1000</f>
        <v>0</v>
      </c>
      <c r="AW46" s="93">
        <f>Modeloutput!N575/1000</f>
        <v>0</v>
      </c>
      <c r="AX46" s="93">
        <f>Modeloutput!O575/1000</f>
        <v>0</v>
      </c>
      <c r="AY46" s="93">
        <f>Modeloutput!P575/1000</f>
        <v>0</v>
      </c>
      <c r="BA46" s="7" t="s">
        <v>11</v>
      </c>
      <c r="BB46" s="93">
        <f>Modeloutput!B830/1000</f>
        <v>0</v>
      </c>
      <c r="BC46" s="93">
        <f>Modeloutput!C830/1000</f>
        <v>0</v>
      </c>
      <c r="BD46" s="93">
        <f>Modeloutput!D830/1000</f>
        <v>0</v>
      </c>
      <c r="BE46" s="93">
        <f>Modeloutput!E830/1000</f>
        <v>0</v>
      </c>
      <c r="BF46" s="93">
        <f>Modeloutput!F830/1000</f>
        <v>0</v>
      </c>
      <c r="BG46" s="93">
        <f>Modeloutput!G830/1000</f>
        <v>0</v>
      </c>
      <c r="BH46" s="93">
        <f>Modeloutput!H830/1000</f>
        <v>0</v>
      </c>
      <c r="BI46" s="93">
        <f>Modeloutput!I830/1000</f>
        <v>0</v>
      </c>
      <c r="BJ46" s="93">
        <f>Modeloutput!J830/1000</f>
        <v>0</v>
      </c>
      <c r="BK46" s="93">
        <f>Modeloutput!K830/1000</f>
        <v>0</v>
      </c>
      <c r="BL46" s="93">
        <f>Modeloutput!L830/1000</f>
        <v>0</v>
      </c>
      <c r="BM46" s="93">
        <f>Modeloutput!M830/1000</f>
        <v>0</v>
      </c>
      <c r="BN46" s="93">
        <f>Modeloutput!N830/1000</f>
        <v>0</v>
      </c>
      <c r="BO46" s="93">
        <f>Modeloutput!O830/1000</f>
        <v>0</v>
      </c>
      <c r="BP46" s="93">
        <f>Modeloutput!P830/1000</f>
        <v>0</v>
      </c>
      <c r="BR46" s="7" t="s">
        <v>11</v>
      </c>
      <c r="BS46" s="93">
        <f>Modeloutput!B1085/1000</f>
        <v>0</v>
      </c>
      <c r="BT46" s="93">
        <f>Modeloutput!C1085/1000</f>
        <v>0</v>
      </c>
      <c r="BU46" s="93">
        <f>Modeloutput!D1085/1000</f>
        <v>0</v>
      </c>
      <c r="BV46" s="93">
        <f>Modeloutput!E1085/1000</f>
        <v>0</v>
      </c>
      <c r="BW46" s="93">
        <f>Modeloutput!F1085/1000</f>
        <v>0</v>
      </c>
      <c r="BX46" s="93">
        <f>Modeloutput!G1085/1000</f>
        <v>0</v>
      </c>
      <c r="BY46" s="93">
        <f>Modeloutput!H1085/1000</f>
        <v>0</v>
      </c>
      <c r="BZ46" s="93">
        <f>Modeloutput!I1085/1000</f>
        <v>0</v>
      </c>
      <c r="CA46" s="93">
        <f>Modeloutput!J1085/1000</f>
        <v>0</v>
      </c>
      <c r="CB46" s="93">
        <f>Modeloutput!K1085/1000</f>
        <v>0</v>
      </c>
      <c r="CC46" s="93">
        <f>Modeloutput!L1085/1000</f>
        <v>0</v>
      </c>
      <c r="CD46" s="93">
        <f>Modeloutput!M1085/1000</f>
        <v>0</v>
      </c>
      <c r="CE46" s="93">
        <f>Modeloutput!N1085/1000</f>
        <v>0</v>
      </c>
      <c r="CF46" s="93">
        <f>Modeloutput!O1085/1000</f>
        <v>0</v>
      </c>
      <c r="CG46" s="93">
        <f>Modeloutput!P1085/1000</f>
        <v>0</v>
      </c>
    </row>
    <row r="47" spans="2:85" s="7" customFormat="1" x14ac:dyDescent="0.25">
      <c r="B47" s="7" t="s">
        <v>12</v>
      </c>
      <c r="C47" s="93">
        <f>Modeloutput!B66/1000</f>
        <v>0</v>
      </c>
      <c r="D47" s="93">
        <f>Modeloutput!C66/1000</f>
        <v>0</v>
      </c>
      <c r="E47" s="93">
        <f>Modeloutput!D66/1000</f>
        <v>0</v>
      </c>
      <c r="F47" s="93">
        <f>Modeloutput!E66/1000</f>
        <v>0</v>
      </c>
      <c r="G47" s="93">
        <f>Modeloutput!F66/1000</f>
        <v>0</v>
      </c>
      <c r="H47" s="93">
        <f>Modeloutput!G66/1000</f>
        <v>0</v>
      </c>
      <c r="I47" s="93">
        <f>Modeloutput!H66/1000</f>
        <v>0</v>
      </c>
      <c r="J47" s="93">
        <f>Modeloutput!I66/1000</f>
        <v>0</v>
      </c>
      <c r="K47" s="93">
        <f>Modeloutput!J66/1000</f>
        <v>0</v>
      </c>
      <c r="L47" s="93">
        <f>Modeloutput!K66/1000</f>
        <v>0</v>
      </c>
      <c r="M47" s="93">
        <f>Modeloutput!L66/1000</f>
        <v>0</v>
      </c>
      <c r="N47" s="93">
        <f>Modeloutput!M66/1000</f>
        <v>0</v>
      </c>
      <c r="O47" s="93">
        <f>Modeloutput!N66/1000</f>
        <v>0</v>
      </c>
      <c r="P47" s="93">
        <f>Modeloutput!O66/1000</f>
        <v>0</v>
      </c>
      <c r="Q47" s="93">
        <f>Modeloutput!P66/1000</f>
        <v>0</v>
      </c>
      <c r="S47" s="7" t="s">
        <v>12</v>
      </c>
      <c r="T47" s="93">
        <f>Modeloutput!B321/1000</f>
        <v>0</v>
      </c>
      <c r="U47" s="93">
        <f>Modeloutput!C321/1000</f>
        <v>0</v>
      </c>
      <c r="V47" s="93">
        <f>Modeloutput!D321/1000</f>
        <v>0</v>
      </c>
      <c r="W47" s="93">
        <f>Modeloutput!E321/1000</f>
        <v>0</v>
      </c>
      <c r="X47" s="93">
        <f>Modeloutput!F321/1000</f>
        <v>0</v>
      </c>
      <c r="Y47" s="93">
        <f>Modeloutput!G321/1000</f>
        <v>0</v>
      </c>
      <c r="Z47" s="93">
        <f>Modeloutput!H321/1000</f>
        <v>0</v>
      </c>
      <c r="AA47" s="93">
        <f>Modeloutput!I321/1000</f>
        <v>0</v>
      </c>
      <c r="AB47" s="93">
        <f>Modeloutput!J321/1000</f>
        <v>0</v>
      </c>
      <c r="AC47" s="93">
        <f>Modeloutput!K321/1000</f>
        <v>0</v>
      </c>
      <c r="AD47" s="93">
        <f>Modeloutput!L321/1000</f>
        <v>0</v>
      </c>
      <c r="AE47" s="93">
        <f>Modeloutput!M321/1000</f>
        <v>0</v>
      </c>
      <c r="AF47" s="93">
        <f>Modeloutput!N321/1000</f>
        <v>0</v>
      </c>
      <c r="AG47" s="93">
        <f>Modeloutput!O321/1000</f>
        <v>0</v>
      </c>
      <c r="AH47" s="93">
        <f>Modeloutput!P321/1000</f>
        <v>0</v>
      </c>
      <c r="AJ47" s="7" t="s">
        <v>12</v>
      </c>
      <c r="AK47" s="93">
        <f>Modeloutput!B576/1000</f>
        <v>0</v>
      </c>
      <c r="AL47" s="93">
        <f>Modeloutput!C576/1000</f>
        <v>0</v>
      </c>
      <c r="AM47" s="93">
        <f>Modeloutput!D576/1000</f>
        <v>0</v>
      </c>
      <c r="AN47" s="93">
        <f>Modeloutput!E576/1000</f>
        <v>0</v>
      </c>
      <c r="AO47" s="93">
        <f>Modeloutput!F576/1000</f>
        <v>0</v>
      </c>
      <c r="AP47" s="93">
        <f>Modeloutput!G576/1000</f>
        <v>0</v>
      </c>
      <c r="AQ47" s="93">
        <f>Modeloutput!H576/1000</f>
        <v>0</v>
      </c>
      <c r="AR47" s="93">
        <f>Modeloutput!I576/1000</f>
        <v>0</v>
      </c>
      <c r="AS47" s="93">
        <f>Modeloutput!J576/1000</f>
        <v>0</v>
      </c>
      <c r="AT47" s="93">
        <f>Modeloutput!K576/1000</f>
        <v>0</v>
      </c>
      <c r="AU47" s="93">
        <f>Modeloutput!L576/1000</f>
        <v>0</v>
      </c>
      <c r="AV47" s="93">
        <f>Modeloutput!M576/1000</f>
        <v>0</v>
      </c>
      <c r="AW47" s="93">
        <f>Modeloutput!N576/1000</f>
        <v>0</v>
      </c>
      <c r="AX47" s="93">
        <f>Modeloutput!O576/1000</f>
        <v>0</v>
      </c>
      <c r="AY47" s="93">
        <f>Modeloutput!P576/1000</f>
        <v>0</v>
      </c>
      <c r="BA47" s="7" t="s">
        <v>12</v>
      </c>
      <c r="BB47" s="93">
        <f>Modeloutput!B831/1000</f>
        <v>0</v>
      </c>
      <c r="BC47" s="93">
        <f>Modeloutput!C831/1000</f>
        <v>0</v>
      </c>
      <c r="BD47" s="93">
        <f>Modeloutput!D831/1000</f>
        <v>0</v>
      </c>
      <c r="BE47" s="93">
        <f>Modeloutput!E831/1000</f>
        <v>0</v>
      </c>
      <c r="BF47" s="93">
        <f>Modeloutput!F831/1000</f>
        <v>0</v>
      </c>
      <c r="BG47" s="93">
        <f>Modeloutput!G831/1000</f>
        <v>0</v>
      </c>
      <c r="BH47" s="93">
        <f>Modeloutput!H831/1000</f>
        <v>0</v>
      </c>
      <c r="BI47" s="93">
        <f>Modeloutput!I831/1000</f>
        <v>0</v>
      </c>
      <c r="BJ47" s="93">
        <f>Modeloutput!J831/1000</f>
        <v>0</v>
      </c>
      <c r="BK47" s="93">
        <f>Modeloutput!K831/1000</f>
        <v>0</v>
      </c>
      <c r="BL47" s="93">
        <f>Modeloutput!L831/1000</f>
        <v>0</v>
      </c>
      <c r="BM47" s="93">
        <f>Modeloutput!M831/1000</f>
        <v>0</v>
      </c>
      <c r="BN47" s="93">
        <f>Modeloutput!N831/1000</f>
        <v>0</v>
      </c>
      <c r="BO47" s="93">
        <f>Modeloutput!O831/1000</f>
        <v>0</v>
      </c>
      <c r="BP47" s="93">
        <f>Modeloutput!P831/1000</f>
        <v>0</v>
      </c>
      <c r="BR47" s="7" t="s">
        <v>12</v>
      </c>
      <c r="BS47" s="93">
        <f>Modeloutput!B1086/1000</f>
        <v>0</v>
      </c>
      <c r="BT47" s="93">
        <f>Modeloutput!C1086/1000</f>
        <v>0</v>
      </c>
      <c r="BU47" s="93">
        <f>Modeloutput!D1086/1000</f>
        <v>0</v>
      </c>
      <c r="BV47" s="93">
        <f>Modeloutput!E1086/1000</f>
        <v>0</v>
      </c>
      <c r="BW47" s="93">
        <f>Modeloutput!F1086/1000</f>
        <v>0</v>
      </c>
      <c r="BX47" s="93">
        <f>Modeloutput!G1086/1000</f>
        <v>0</v>
      </c>
      <c r="BY47" s="93">
        <f>Modeloutput!H1086/1000</f>
        <v>0</v>
      </c>
      <c r="BZ47" s="93">
        <f>Modeloutput!I1086/1000</f>
        <v>0</v>
      </c>
      <c r="CA47" s="93">
        <f>Modeloutput!J1086/1000</f>
        <v>0</v>
      </c>
      <c r="CB47" s="93">
        <f>Modeloutput!K1086/1000</f>
        <v>0</v>
      </c>
      <c r="CC47" s="93">
        <f>Modeloutput!L1086/1000</f>
        <v>0</v>
      </c>
      <c r="CD47" s="93">
        <f>Modeloutput!M1086/1000</f>
        <v>0</v>
      </c>
      <c r="CE47" s="93">
        <f>Modeloutput!N1086/1000</f>
        <v>0</v>
      </c>
      <c r="CF47" s="93">
        <f>Modeloutput!O1086/1000</f>
        <v>0</v>
      </c>
      <c r="CG47" s="93">
        <f>Modeloutput!P1086/1000</f>
        <v>0</v>
      </c>
    </row>
    <row r="48" spans="2:85" s="7" customFormat="1" x14ac:dyDescent="0.25">
      <c r="B48" s="7" t="s">
        <v>13</v>
      </c>
      <c r="C48" s="93">
        <f>Modeloutput!B67/1000</f>
        <v>0</v>
      </c>
      <c r="D48" s="93">
        <f>Modeloutput!C67/1000</f>
        <v>0</v>
      </c>
      <c r="E48" s="93">
        <f>Modeloutput!D67/1000</f>
        <v>0</v>
      </c>
      <c r="F48" s="93">
        <f>Modeloutput!E67/1000</f>
        <v>0</v>
      </c>
      <c r="G48" s="93">
        <f>Modeloutput!F67/1000</f>
        <v>0</v>
      </c>
      <c r="H48" s="93">
        <f>Modeloutput!G67/1000</f>
        <v>0</v>
      </c>
      <c r="I48" s="93">
        <f>Modeloutput!H67/1000</f>
        <v>0</v>
      </c>
      <c r="J48" s="93">
        <f>Modeloutput!I67/1000</f>
        <v>0</v>
      </c>
      <c r="K48" s="93">
        <f>Modeloutput!J67/1000</f>
        <v>0</v>
      </c>
      <c r="L48" s="93">
        <f>Modeloutput!K67/1000</f>
        <v>0</v>
      </c>
      <c r="M48" s="93">
        <f>Modeloutput!L67/1000</f>
        <v>0</v>
      </c>
      <c r="N48" s="93">
        <f>Modeloutput!M67/1000</f>
        <v>0</v>
      </c>
      <c r="O48" s="93">
        <f>Modeloutput!N67/1000</f>
        <v>0</v>
      </c>
      <c r="P48" s="93">
        <f>Modeloutput!O67/1000</f>
        <v>0</v>
      </c>
      <c r="Q48" s="93">
        <f>Modeloutput!P67/1000</f>
        <v>0</v>
      </c>
      <c r="S48" s="7" t="s">
        <v>13</v>
      </c>
      <c r="T48" s="93">
        <f>Modeloutput!B322/1000</f>
        <v>0</v>
      </c>
      <c r="U48" s="93">
        <f>Modeloutput!C322/1000</f>
        <v>0</v>
      </c>
      <c r="V48" s="93">
        <f>Modeloutput!D322/1000</f>
        <v>0</v>
      </c>
      <c r="W48" s="93">
        <f>Modeloutput!E322/1000</f>
        <v>0</v>
      </c>
      <c r="X48" s="93">
        <f>Modeloutput!F322/1000</f>
        <v>0</v>
      </c>
      <c r="Y48" s="93">
        <f>Modeloutput!G322/1000</f>
        <v>0</v>
      </c>
      <c r="Z48" s="93">
        <f>Modeloutput!H322/1000</f>
        <v>0</v>
      </c>
      <c r="AA48" s="93">
        <f>Modeloutput!I322/1000</f>
        <v>0</v>
      </c>
      <c r="AB48" s="93">
        <f>Modeloutput!J322/1000</f>
        <v>0</v>
      </c>
      <c r="AC48" s="93">
        <f>Modeloutput!K322/1000</f>
        <v>0</v>
      </c>
      <c r="AD48" s="93">
        <f>Modeloutput!L322/1000</f>
        <v>0</v>
      </c>
      <c r="AE48" s="93">
        <f>Modeloutput!M322/1000</f>
        <v>0</v>
      </c>
      <c r="AF48" s="93">
        <f>Modeloutput!N322/1000</f>
        <v>0</v>
      </c>
      <c r="AG48" s="93">
        <f>Modeloutput!O322/1000</f>
        <v>0</v>
      </c>
      <c r="AH48" s="93">
        <f>Modeloutput!P322/1000</f>
        <v>0</v>
      </c>
      <c r="AJ48" s="7" t="s">
        <v>13</v>
      </c>
      <c r="AK48" s="93">
        <f>Modeloutput!B577/1000</f>
        <v>0</v>
      </c>
      <c r="AL48" s="93">
        <f>Modeloutput!C577/1000</f>
        <v>0</v>
      </c>
      <c r="AM48" s="93">
        <f>Modeloutput!D577/1000</f>
        <v>0</v>
      </c>
      <c r="AN48" s="93">
        <f>Modeloutput!E577/1000</f>
        <v>0</v>
      </c>
      <c r="AO48" s="93">
        <f>Modeloutput!F577/1000</f>
        <v>0</v>
      </c>
      <c r="AP48" s="93">
        <f>Modeloutput!G577/1000</f>
        <v>0</v>
      </c>
      <c r="AQ48" s="93">
        <f>Modeloutput!H577/1000</f>
        <v>0</v>
      </c>
      <c r="AR48" s="93">
        <f>Modeloutput!I577/1000</f>
        <v>0</v>
      </c>
      <c r="AS48" s="93">
        <f>Modeloutput!J577/1000</f>
        <v>0</v>
      </c>
      <c r="AT48" s="93">
        <f>Modeloutput!K577/1000</f>
        <v>0</v>
      </c>
      <c r="AU48" s="93">
        <f>Modeloutput!L577/1000</f>
        <v>0</v>
      </c>
      <c r="AV48" s="93">
        <f>Modeloutput!M577/1000</f>
        <v>0</v>
      </c>
      <c r="AW48" s="93">
        <f>Modeloutput!N577/1000</f>
        <v>0</v>
      </c>
      <c r="AX48" s="93">
        <f>Modeloutput!O577/1000</f>
        <v>0</v>
      </c>
      <c r="AY48" s="93">
        <f>Modeloutput!P577/1000</f>
        <v>0</v>
      </c>
      <c r="BA48" s="7" t="s">
        <v>13</v>
      </c>
      <c r="BB48" s="93">
        <f>Modeloutput!B832/1000</f>
        <v>0</v>
      </c>
      <c r="BC48" s="93">
        <f>Modeloutput!C832/1000</f>
        <v>0</v>
      </c>
      <c r="BD48" s="93">
        <f>Modeloutput!D832/1000</f>
        <v>0</v>
      </c>
      <c r="BE48" s="93">
        <f>Modeloutput!E832/1000</f>
        <v>0</v>
      </c>
      <c r="BF48" s="93">
        <f>Modeloutput!F832/1000</f>
        <v>0</v>
      </c>
      <c r="BG48" s="93">
        <f>Modeloutput!G832/1000</f>
        <v>0</v>
      </c>
      <c r="BH48" s="93">
        <f>Modeloutput!H832/1000</f>
        <v>0</v>
      </c>
      <c r="BI48" s="93">
        <f>Modeloutput!I832/1000</f>
        <v>0</v>
      </c>
      <c r="BJ48" s="93">
        <f>Modeloutput!J832/1000</f>
        <v>0</v>
      </c>
      <c r="BK48" s="93">
        <f>Modeloutput!K832/1000</f>
        <v>0</v>
      </c>
      <c r="BL48" s="93">
        <f>Modeloutput!L832/1000</f>
        <v>0</v>
      </c>
      <c r="BM48" s="93">
        <f>Modeloutput!M832/1000</f>
        <v>0</v>
      </c>
      <c r="BN48" s="93">
        <f>Modeloutput!N832/1000</f>
        <v>0</v>
      </c>
      <c r="BO48" s="93">
        <f>Modeloutput!O832/1000</f>
        <v>0</v>
      </c>
      <c r="BP48" s="93">
        <f>Modeloutput!P832/1000</f>
        <v>0</v>
      </c>
      <c r="BR48" s="7" t="s">
        <v>13</v>
      </c>
      <c r="BS48" s="93">
        <f>Modeloutput!B1087/1000</f>
        <v>0</v>
      </c>
      <c r="BT48" s="93">
        <f>Modeloutput!C1087/1000</f>
        <v>0</v>
      </c>
      <c r="BU48" s="93">
        <f>Modeloutput!D1087/1000</f>
        <v>0</v>
      </c>
      <c r="BV48" s="93">
        <f>Modeloutput!E1087/1000</f>
        <v>0</v>
      </c>
      <c r="BW48" s="93">
        <f>Modeloutput!F1087/1000</f>
        <v>0</v>
      </c>
      <c r="BX48" s="93">
        <f>Modeloutput!G1087/1000</f>
        <v>0</v>
      </c>
      <c r="BY48" s="93">
        <f>Modeloutput!H1087/1000</f>
        <v>0</v>
      </c>
      <c r="BZ48" s="93">
        <f>Modeloutput!I1087/1000</f>
        <v>0</v>
      </c>
      <c r="CA48" s="93">
        <f>Modeloutput!J1087/1000</f>
        <v>0</v>
      </c>
      <c r="CB48" s="93">
        <f>Modeloutput!K1087/1000</f>
        <v>0</v>
      </c>
      <c r="CC48" s="93">
        <f>Modeloutput!L1087/1000</f>
        <v>0</v>
      </c>
      <c r="CD48" s="93">
        <f>Modeloutput!M1087/1000</f>
        <v>0</v>
      </c>
      <c r="CE48" s="93">
        <f>Modeloutput!N1087/1000</f>
        <v>0</v>
      </c>
      <c r="CF48" s="93">
        <f>Modeloutput!O1087/1000</f>
        <v>0</v>
      </c>
      <c r="CG48" s="93">
        <f>Modeloutput!P1087/1000</f>
        <v>0</v>
      </c>
    </row>
    <row r="49" spans="1:85" s="7" customFormat="1" x14ac:dyDescent="0.25">
      <c r="B49" s="7" t="s">
        <v>14</v>
      </c>
      <c r="C49" s="93">
        <f>Modeloutput!B68/1000</f>
        <v>0</v>
      </c>
      <c r="D49" s="93">
        <f>Modeloutput!C68/1000</f>
        <v>0</v>
      </c>
      <c r="E49" s="93">
        <f>Modeloutput!D68/1000</f>
        <v>0</v>
      </c>
      <c r="F49" s="93">
        <f>Modeloutput!E68/1000</f>
        <v>0</v>
      </c>
      <c r="G49" s="93">
        <f>Modeloutput!F68/1000</f>
        <v>0</v>
      </c>
      <c r="H49" s="93">
        <f>Modeloutput!G68/1000</f>
        <v>0</v>
      </c>
      <c r="I49" s="93">
        <f>Modeloutput!H68/1000</f>
        <v>0</v>
      </c>
      <c r="J49" s="93">
        <f>Modeloutput!I68/1000</f>
        <v>0</v>
      </c>
      <c r="K49" s="93">
        <f>Modeloutput!J68/1000</f>
        <v>0</v>
      </c>
      <c r="L49" s="93">
        <f>Modeloutput!K68/1000</f>
        <v>0</v>
      </c>
      <c r="M49" s="93">
        <f>Modeloutput!L68/1000</f>
        <v>0</v>
      </c>
      <c r="N49" s="93">
        <f>Modeloutput!M68/1000</f>
        <v>0</v>
      </c>
      <c r="O49" s="93">
        <f>Modeloutput!N68/1000</f>
        <v>0</v>
      </c>
      <c r="P49" s="93">
        <f>Modeloutput!O68/1000</f>
        <v>0</v>
      </c>
      <c r="Q49" s="93">
        <f>Modeloutput!P68/1000</f>
        <v>0</v>
      </c>
      <c r="S49" s="7" t="s">
        <v>14</v>
      </c>
      <c r="T49" s="93">
        <f>Modeloutput!B323/1000</f>
        <v>0</v>
      </c>
      <c r="U49" s="93">
        <f>Modeloutput!C323/1000</f>
        <v>0</v>
      </c>
      <c r="V49" s="93">
        <f>Modeloutput!D323/1000</f>
        <v>0</v>
      </c>
      <c r="W49" s="93">
        <f>Modeloutput!E323/1000</f>
        <v>0</v>
      </c>
      <c r="X49" s="93">
        <f>Modeloutput!F323/1000</f>
        <v>0</v>
      </c>
      <c r="Y49" s="93">
        <f>Modeloutput!G323/1000</f>
        <v>0</v>
      </c>
      <c r="Z49" s="93">
        <f>Modeloutput!H323/1000</f>
        <v>0</v>
      </c>
      <c r="AA49" s="93">
        <f>Modeloutput!I323/1000</f>
        <v>0</v>
      </c>
      <c r="AB49" s="93">
        <f>Modeloutput!J323/1000</f>
        <v>0</v>
      </c>
      <c r="AC49" s="93">
        <f>Modeloutput!K323/1000</f>
        <v>0</v>
      </c>
      <c r="AD49" s="93">
        <f>Modeloutput!L323/1000</f>
        <v>0</v>
      </c>
      <c r="AE49" s="93">
        <f>Modeloutput!M323/1000</f>
        <v>0</v>
      </c>
      <c r="AF49" s="93">
        <f>Modeloutput!N323/1000</f>
        <v>0</v>
      </c>
      <c r="AG49" s="93">
        <f>Modeloutput!O323/1000</f>
        <v>0</v>
      </c>
      <c r="AH49" s="93">
        <f>Modeloutput!P323/1000</f>
        <v>0</v>
      </c>
      <c r="AJ49" s="7" t="s">
        <v>14</v>
      </c>
      <c r="AK49" s="93">
        <f>Modeloutput!B578/1000</f>
        <v>0</v>
      </c>
      <c r="AL49" s="93">
        <f>Modeloutput!C578/1000</f>
        <v>0</v>
      </c>
      <c r="AM49" s="93">
        <f>Modeloutput!D578/1000</f>
        <v>0</v>
      </c>
      <c r="AN49" s="93">
        <f>Modeloutput!E578/1000</f>
        <v>0</v>
      </c>
      <c r="AO49" s="93">
        <f>Modeloutput!F578/1000</f>
        <v>0</v>
      </c>
      <c r="AP49" s="93">
        <f>Modeloutput!G578/1000</f>
        <v>0</v>
      </c>
      <c r="AQ49" s="93">
        <f>Modeloutput!H578/1000</f>
        <v>0</v>
      </c>
      <c r="AR49" s="93">
        <f>Modeloutput!I578/1000</f>
        <v>0</v>
      </c>
      <c r="AS49" s="93">
        <f>Modeloutput!J578/1000</f>
        <v>0</v>
      </c>
      <c r="AT49" s="93">
        <f>Modeloutput!K578/1000</f>
        <v>0</v>
      </c>
      <c r="AU49" s="93">
        <f>Modeloutput!L578/1000</f>
        <v>0</v>
      </c>
      <c r="AV49" s="93">
        <f>Modeloutput!M578/1000</f>
        <v>0</v>
      </c>
      <c r="AW49" s="93">
        <f>Modeloutput!N578/1000</f>
        <v>0</v>
      </c>
      <c r="AX49" s="93">
        <f>Modeloutput!O578/1000</f>
        <v>0</v>
      </c>
      <c r="AY49" s="93">
        <f>Modeloutput!P578/1000</f>
        <v>0</v>
      </c>
      <c r="BA49" s="7" t="s">
        <v>14</v>
      </c>
      <c r="BB49" s="93">
        <f>Modeloutput!B833/1000</f>
        <v>0</v>
      </c>
      <c r="BC49" s="93">
        <f>Modeloutput!C833/1000</f>
        <v>0</v>
      </c>
      <c r="BD49" s="93">
        <f>Modeloutput!D833/1000</f>
        <v>0</v>
      </c>
      <c r="BE49" s="93">
        <f>Modeloutput!E833/1000</f>
        <v>0</v>
      </c>
      <c r="BF49" s="93">
        <f>Modeloutput!F833/1000</f>
        <v>0</v>
      </c>
      <c r="BG49" s="93">
        <f>Modeloutput!G833/1000</f>
        <v>0</v>
      </c>
      <c r="BH49" s="93">
        <f>Modeloutput!H833/1000</f>
        <v>0</v>
      </c>
      <c r="BI49" s="93">
        <f>Modeloutput!I833/1000</f>
        <v>0</v>
      </c>
      <c r="BJ49" s="93">
        <f>Modeloutput!J833/1000</f>
        <v>0</v>
      </c>
      <c r="BK49" s="93">
        <f>Modeloutput!K833/1000</f>
        <v>0</v>
      </c>
      <c r="BL49" s="93">
        <f>Modeloutput!L833/1000</f>
        <v>0</v>
      </c>
      <c r="BM49" s="93">
        <f>Modeloutput!M833/1000</f>
        <v>0</v>
      </c>
      <c r="BN49" s="93">
        <f>Modeloutput!N833/1000</f>
        <v>0</v>
      </c>
      <c r="BO49" s="93">
        <f>Modeloutput!O833/1000</f>
        <v>0</v>
      </c>
      <c r="BP49" s="93">
        <f>Modeloutput!P833/1000</f>
        <v>0</v>
      </c>
      <c r="BR49" s="7" t="s">
        <v>14</v>
      </c>
      <c r="BS49" s="93">
        <f>Modeloutput!B1088/1000</f>
        <v>0</v>
      </c>
      <c r="BT49" s="93">
        <f>Modeloutput!C1088/1000</f>
        <v>0</v>
      </c>
      <c r="BU49" s="93">
        <f>Modeloutput!D1088/1000</f>
        <v>0</v>
      </c>
      <c r="BV49" s="93">
        <f>Modeloutput!E1088/1000</f>
        <v>0</v>
      </c>
      <c r="BW49" s="93">
        <f>Modeloutput!F1088/1000</f>
        <v>0</v>
      </c>
      <c r="BX49" s="93">
        <f>Modeloutput!G1088/1000</f>
        <v>0</v>
      </c>
      <c r="BY49" s="93">
        <f>Modeloutput!H1088/1000</f>
        <v>0</v>
      </c>
      <c r="BZ49" s="93">
        <f>Modeloutput!I1088/1000</f>
        <v>0</v>
      </c>
      <c r="CA49" s="93">
        <f>Modeloutput!J1088/1000</f>
        <v>0</v>
      </c>
      <c r="CB49" s="93">
        <f>Modeloutput!K1088/1000</f>
        <v>0</v>
      </c>
      <c r="CC49" s="93">
        <f>Modeloutput!L1088/1000</f>
        <v>0</v>
      </c>
      <c r="CD49" s="93">
        <f>Modeloutput!M1088/1000</f>
        <v>0</v>
      </c>
      <c r="CE49" s="93">
        <f>Modeloutput!N1088/1000</f>
        <v>0</v>
      </c>
      <c r="CF49" s="93">
        <f>Modeloutput!O1088/1000</f>
        <v>0</v>
      </c>
      <c r="CG49" s="93">
        <f>Modeloutput!P1088/1000</f>
        <v>0</v>
      </c>
    </row>
    <row r="50" spans="1:85" s="7" customFormat="1" x14ac:dyDescent="0.25">
      <c r="B50" s="28" t="s">
        <v>18</v>
      </c>
      <c r="C50" s="100">
        <f t="shared" ref="C50:Q50" si="5">SUM(C36:C49)</f>
        <v>0.45698590747999995</v>
      </c>
      <c r="D50" s="100">
        <f t="shared" si="5"/>
        <v>3.5813626479999999E-2</v>
      </c>
      <c r="E50" s="100">
        <f t="shared" si="5"/>
        <v>0.42117228099999998</v>
      </c>
      <c r="F50" s="100">
        <f t="shared" si="5"/>
        <v>0.2567214364</v>
      </c>
      <c r="G50" s="100">
        <f t="shared" si="5"/>
        <v>1.9150202187E-2</v>
      </c>
      <c r="H50" s="100">
        <f t="shared" si="5"/>
        <v>0.14086952069</v>
      </c>
      <c r="I50" s="100">
        <f t="shared" si="5"/>
        <v>4.4311210906000003E-3</v>
      </c>
      <c r="J50" s="100">
        <f t="shared" si="5"/>
        <v>0</v>
      </c>
      <c r="K50" s="100">
        <f t="shared" si="5"/>
        <v>0</v>
      </c>
      <c r="L50" s="100">
        <f t="shared" si="5"/>
        <v>3.09511944E-2</v>
      </c>
      <c r="M50" s="100">
        <f t="shared" si="5"/>
        <v>0</v>
      </c>
      <c r="N50" s="100">
        <f t="shared" si="5"/>
        <v>4.8624320799999995E-3</v>
      </c>
      <c r="O50" s="100">
        <f t="shared" si="5"/>
        <v>0</v>
      </c>
      <c r="P50" s="100">
        <f t="shared" si="5"/>
        <v>0</v>
      </c>
      <c r="Q50" s="100">
        <f t="shared" si="5"/>
        <v>0</v>
      </c>
      <c r="S50" s="28" t="s">
        <v>18</v>
      </c>
      <c r="T50" s="100">
        <f t="shared" ref="T50:AH50" si="6">SUM(T36:T49)</f>
        <v>0.39164629449999999</v>
      </c>
      <c r="U50" s="100">
        <f t="shared" si="6"/>
        <v>2.74981085E-2</v>
      </c>
      <c r="V50" s="100">
        <f t="shared" si="6"/>
        <v>0.36414818599999998</v>
      </c>
      <c r="W50" s="100">
        <f t="shared" si="6"/>
        <v>0.22872561809999997</v>
      </c>
      <c r="X50" s="100">
        <f t="shared" si="6"/>
        <v>1.9196072187999999E-2</v>
      </c>
      <c r="Y50" s="100">
        <f t="shared" si="6"/>
        <v>0.111795342469</v>
      </c>
      <c r="Z50" s="100">
        <f t="shared" si="6"/>
        <v>4.4311530196000006E-3</v>
      </c>
      <c r="AA50" s="100">
        <f t="shared" si="6"/>
        <v>0</v>
      </c>
      <c r="AB50" s="100">
        <f t="shared" si="6"/>
        <v>0</v>
      </c>
      <c r="AC50" s="100">
        <f t="shared" si="6"/>
        <v>2.2665477400000002E-2</v>
      </c>
      <c r="AD50" s="100">
        <f t="shared" si="6"/>
        <v>0</v>
      </c>
      <c r="AE50" s="100">
        <f t="shared" si="6"/>
        <v>4.8326311E-3</v>
      </c>
      <c r="AF50" s="100">
        <f t="shared" si="6"/>
        <v>0</v>
      </c>
      <c r="AG50" s="100">
        <f t="shared" si="6"/>
        <v>0</v>
      </c>
      <c r="AH50" s="100">
        <f t="shared" si="6"/>
        <v>0</v>
      </c>
      <c r="AJ50" s="28" t="s">
        <v>18</v>
      </c>
      <c r="AK50" s="100">
        <f t="shared" ref="AK50:AY50" si="7">SUM(AK36:AK49)</f>
        <v>0.30995317449999993</v>
      </c>
      <c r="AL50" s="100">
        <f t="shared" si="7"/>
        <v>5.3123431799999996E-2</v>
      </c>
      <c r="AM50" s="100">
        <f t="shared" si="7"/>
        <v>0.25682974269999997</v>
      </c>
      <c r="AN50" s="100">
        <f t="shared" si="7"/>
        <v>0.14182944716000001</v>
      </c>
      <c r="AO50" s="100">
        <f t="shared" si="7"/>
        <v>1.9306958982000001E-2</v>
      </c>
      <c r="AP50" s="100">
        <f t="shared" si="7"/>
        <v>9.1242233739999984E-2</v>
      </c>
      <c r="AQ50" s="100">
        <f t="shared" si="7"/>
        <v>4.4511025496000002E-3</v>
      </c>
      <c r="AR50" s="100">
        <f t="shared" si="7"/>
        <v>0</v>
      </c>
      <c r="AS50" s="100">
        <f t="shared" si="7"/>
        <v>0</v>
      </c>
      <c r="AT50" s="100">
        <f t="shared" si="7"/>
        <v>1.5709929899999999E-2</v>
      </c>
      <c r="AU50" s="100">
        <f t="shared" si="7"/>
        <v>0</v>
      </c>
      <c r="AV50" s="100">
        <f t="shared" si="7"/>
        <v>3.74135019E-2</v>
      </c>
      <c r="AW50" s="100">
        <f t="shared" si="7"/>
        <v>0</v>
      </c>
      <c r="AX50" s="100">
        <f t="shared" si="7"/>
        <v>0</v>
      </c>
      <c r="AY50" s="100">
        <f t="shared" si="7"/>
        <v>0</v>
      </c>
      <c r="BA50" s="28" t="s">
        <v>18</v>
      </c>
      <c r="BB50" s="100">
        <f t="shared" ref="BB50:BP50" si="8">SUM(BB36:BB49)</f>
        <v>0.2606016598</v>
      </c>
      <c r="BC50" s="100">
        <f t="shared" si="8"/>
        <v>3.1203510900000002E-2</v>
      </c>
      <c r="BD50" s="100">
        <f t="shared" si="8"/>
        <v>0.22939814890000002</v>
      </c>
      <c r="BE50" s="100">
        <f t="shared" si="8"/>
        <v>0.1168091372</v>
      </c>
      <c r="BF50" s="100">
        <f t="shared" si="8"/>
        <v>1.7012049000000001E-2</v>
      </c>
      <c r="BG50" s="100">
        <f t="shared" si="8"/>
        <v>9.0902771300000004E-2</v>
      </c>
      <c r="BH50" s="100">
        <f t="shared" si="8"/>
        <v>4.6741914840000001E-3</v>
      </c>
      <c r="BI50" s="100">
        <f t="shared" si="8"/>
        <v>0</v>
      </c>
      <c r="BJ50" s="100">
        <f t="shared" si="8"/>
        <v>0</v>
      </c>
      <c r="BK50" s="100">
        <f t="shared" si="8"/>
        <v>3.1203510900000002E-2</v>
      </c>
      <c r="BL50" s="100">
        <f t="shared" si="8"/>
        <v>0</v>
      </c>
      <c r="BM50" s="100">
        <f t="shared" si="8"/>
        <v>0</v>
      </c>
      <c r="BN50" s="100">
        <f t="shared" si="8"/>
        <v>0</v>
      </c>
      <c r="BO50" s="100">
        <f t="shared" si="8"/>
        <v>0</v>
      </c>
      <c r="BP50" s="100">
        <f t="shared" si="8"/>
        <v>0</v>
      </c>
      <c r="BR50" s="28" t="s">
        <v>18</v>
      </c>
      <c r="BS50" s="100">
        <f t="shared" ref="BS50:CG50" si="9">SUM(BS36:BS49)</f>
        <v>0.36048952813039997</v>
      </c>
      <c r="BT50" s="100">
        <f t="shared" si="9"/>
        <v>9.2273600630399993E-2</v>
      </c>
      <c r="BU50" s="100">
        <f t="shared" si="9"/>
        <v>0.26821592750000001</v>
      </c>
      <c r="BV50" s="100">
        <f t="shared" si="9"/>
        <v>0.14779511897100001</v>
      </c>
      <c r="BW50" s="100">
        <f t="shared" si="9"/>
        <v>1.9653034466200005E-2</v>
      </c>
      <c r="BX50" s="100">
        <f t="shared" si="9"/>
        <v>9.5901480710100004E-2</v>
      </c>
      <c r="BY50" s="100">
        <f t="shared" si="9"/>
        <v>4.8662938782700008E-3</v>
      </c>
      <c r="BZ50" s="100">
        <f t="shared" si="9"/>
        <v>0</v>
      </c>
      <c r="CA50" s="100">
        <f t="shared" si="9"/>
        <v>0</v>
      </c>
      <c r="CB50" s="100">
        <f t="shared" si="9"/>
        <v>7.13319387E-2</v>
      </c>
      <c r="CC50" s="100">
        <f t="shared" si="9"/>
        <v>2.0897734599999999E-2</v>
      </c>
      <c r="CD50" s="100">
        <f t="shared" si="9"/>
        <v>4.3927330399999997E-5</v>
      </c>
      <c r="CE50" s="100">
        <f t="shared" si="9"/>
        <v>0</v>
      </c>
      <c r="CF50" s="100">
        <f t="shared" si="9"/>
        <v>0</v>
      </c>
      <c r="CG50" s="100">
        <f t="shared" si="9"/>
        <v>0</v>
      </c>
    </row>
    <row r="51" spans="1:85" s="7" customFormat="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</row>
    <row r="52" spans="1:85" s="7" customFormat="1" x14ac:dyDescent="0.25">
      <c r="B52" s="21" t="s">
        <v>3</v>
      </c>
      <c r="C52" s="86">
        <f>SUM(F38:K38)</f>
        <v>0.21088969023160001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S52" s="21" t="s">
        <v>3</v>
      </c>
      <c r="T52" s="86">
        <f>SUM(W38:AB38)</f>
        <v>0.16218191972259999</v>
      </c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J52" s="21" t="s">
        <v>3</v>
      </c>
      <c r="AK52" s="86">
        <f>SUM(AN38:AS38)</f>
        <v>3.1272481846599996E-2</v>
      </c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BA52" s="21" t="s">
        <v>3</v>
      </c>
      <c r="BB52" s="86">
        <f>SUM(BE38:BJ38)</f>
        <v>0</v>
      </c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R52" s="21" t="s">
        <v>3</v>
      </c>
      <c r="BS52" s="86">
        <f>SUM(BV38:CA38)</f>
        <v>6.5241529620000001E-4</v>
      </c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</row>
    <row r="53" spans="1:85" s="7" customFormat="1" x14ac:dyDescent="0.25">
      <c r="B53" s="12" t="s">
        <v>38</v>
      </c>
      <c r="C53" s="87">
        <f>SUM(F39:K39)</f>
        <v>0.17446896364</v>
      </c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S53" s="12" t="s">
        <v>38</v>
      </c>
      <c r="T53" s="87">
        <f>SUM(W39:AB39)</f>
        <v>0.17446815754</v>
      </c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J53" s="12" t="s">
        <v>38</v>
      </c>
      <c r="AK53" s="87">
        <f>SUM(AN39:AS39)</f>
        <v>0.17243382884</v>
      </c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BA53" s="12" t="s">
        <v>38</v>
      </c>
      <c r="BB53" s="87">
        <f>SUM(BE39:BJ39)</f>
        <v>0.19819463806999998</v>
      </c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R53" s="12" t="s">
        <v>38</v>
      </c>
      <c r="BS53" s="87">
        <f>SUM(BV39:CA39)</f>
        <v>0.17528991211</v>
      </c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</row>
    <row r="54" spans="1:85" s="7" customFormat="1" x14ac:dyDescent="0.25">
      <c r="B54" s="26" t="s">
        <v>39</v>
      </c>
      <c r="C54" s="88">
        <f>SUM(F40:K44)-C56</f>
        <v>4.8624320959999995E-3</v>
      </c>
      <c r="D54" s="8"/>
      <c r="E54" s="92" t="s">
        <v>374</v>
      </c>
      <c r="F54" s="91"/>
      <c r="G54" s="91"/>
      <c r="H54" s="91"/>
      <c r="I54" s="8"/>
      <c r="J54" s="8"/>
      <c r="K54" s="8"/>
      <c r="L54" s="8"/>
      <c r="M54" s="8"/>
      <c r="N54" s="8"/>
      <c r="O54" s="8"/>
      <c r="P54" s="8"/>
      <c r="Q54" s="8"/>
      <c r="S54" s="26" t="s">
        <v>39</v>
      </c>
      <c r="T54" s="88">
        <f>SUM(W40:AB44)-T56</f>
        <v>4.8326311140000043E-3</v>
      </c>
      <c r="U54" s="8"/>
      <c r="V54" s="92" t="s">
        <v>374</v>
      </c>
      <c r="W54" s="91"/>
      <c r="X54" s="91"/>
      <c r="Y54" s="91"/>
      <c r="Z54" s="8"/>
      <c r="AA54" s="8"/>
      <c r="AB54" s="8"/>
      <c r="AC54" s="8"/>
      <c r="AD54" s="8"/>
      <c r="AE54" s="8"/>
      <c r="AF54" s="8"/>
      <c r="AG54" s="8"/>
      <c r="AH54" s="8"/>
      <c r="AJ54" s="26" t="s">
        <v>39</v>
      </c>
      <c r="AK54" s="88">
        <f>SUM(AN40:AS44)-AK56</f>
        <v>3.7413501844999988E-2</v>
      </c>
      <c r="AL54" s="8"/>
      <c r="AM54" s="92" t="s">
        <v>374</v>
      </c>
      <c r="AN54" s="91"/>
      <c r="AO54" s="91"/>
      <c r="AP54" s="91"/>
      <c r="AQ54" s="8"/>
      <c r="AR54" s="8"/>
      <c r="AS54" s="8"/>
      <c r="AT54" s="8"/>
      <c r="AU54" s="8"/>
      <c r="AV54" s="8"/>
      <c r="AW54" s="8"/>
      <c r="AX54" s="8"/>
      <c r="AY54" s="8"/>
      <c r="BA54" s="26" t="s">
        <v>39</v>
      </c>
      <c r="BB54" s="88">
        <f>SUM(BE40:BJ44)-BB56</f>
        <v>1.4000002546143975E-11</v>
      </c>
      <c r="BC54" s="8"/>
      <c r="BD54" s="92" t="s">
        <v>374</v>
      </c>
      <c r="BE54" s="91"/>
      <c r="BF54" s="91"/>
      <c r="BG54" s="91"/>
      <c r="BH54" s="8"/>
      <c r="BI54" s="8"/>
      <c r="BJ54" s="8"/>
      <c r="BK54" s="8"/>
      <c r="BL54" s="8"/>
      <c r="BM54" s="8"/>
      <c r="BN54" s="8"/>
      <c r="BO54" s="8"/>
      <c r="BP54" s="8"/>
      <c r="BR54" s="26" t="s">
        <v>39</v>
      </c>
      <c r="BS54" s="88">
        <f>SUM(BV40:CA44)-BS56</f>
        <v>2.6248465519370018E-2</v>
      </c>
      <c r="BT54" s="8"/>
      <c r="BU54" s="92" t="s">
        <v>374</v>
      </c>
      <c r="BV54" s="91"/>
      <c r="BW54" s="91"/>
      <c r="BX54" s="91"/>
      <c r="BY54" s="8"/>
      <c r="BZ54" s="8"/>
      <c r="CA54" s="8"/>
      <c r="CB54" s="8"/>
      <c r="CC54" s="8"/>
      <c r="CD54" s="8"/>
      <c r="CE54" s="8"/>
      <c r="CF54" s="8"/>
      <c r="CG54" s="8"/>
    </row>
    <row r="55" spans="1:85" s="7" customFormat="1" x14ac:dyDescent="0.25">
      <c r="B55" s="10" t="s">
        <v>40</v>
      </c>
      <c r="C55" s="89">
        <f>SUM(F37:K37)</f>
        <v>0</v>
      </c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S55" s="10" t="s">
        <v>40</v>
      </c>
      <c r="T55" s="89">
        <f>SUM(W37:AB37)</f>
        <v>0</v>
      </c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J55" s="10" t="s">
        <v>40</v>
      </c>
      <c r="AK55" s="89">
        <f>SUM(AN37:AS37)</f>
        <v>0</v>
      </c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BA55" s="10" t="s">
        <v>40</v>
      </c>
      <c r="BB55" s="89">
        <f>SUM(BE37:BJ37)</f>
        <v>0</v>
      </c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R55" s="10" t="s">
        <v>40</v>
      </c>
      <c r="BS55" s="89">
        <f>SUM(BV37:CA37)</f>
        <v>0</v>
      </c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</row>
    <row r="56" spans="1:85" x14ac:dyDescent="0.25">
      <c r="B56" s="20" t="s">
        <v>41</v>
      </c>
      <c r="C56" s="90">
        <f>SUM(L38:P38)</f>
        <v>3.09511944E-2</v>
      </c>
      <c r="S56" s="20" t="s">
        <v>41</v>
      </c>
      <c r="T56" s="90">
        <f>SUM(AC38:AG38)</f>
        <v>2.2665477400000002E-2</v>
      </c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J56" s="20" t="s">
        <v>41</v>
      </c>
      <c r="AK56" s="90">
        <f>SUM(AT38:AX38)</f>
        <v>1.5709929899999999E-2</v>
      </c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BA56" s="20" t="s">
        <v>41</v>
      </c>
      <c r="BB56" s="90">
        <f>SUM(BK38:BO38)</f>
        <v>3.1203510900000002E-2</v>
      </c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R56" s="20" t="s">
        <v>41</v>
      </c>
      <c r="BS56" s="90">
        <f>SUM(CB38:CF38)</f>
        <v>6.6025135099999993E-2</v>
      </c>
      <c r="BT56" s="84"/>
      <c r="BU56" s="84"/>
      <c r="BV56" s="84"/>
      <c r="BW56" s="84"/>
      <c r="BX56" s="84"/>
      <c r="BY56" s="84"/>
      <c r="BZ56" s="84"/>
      <c r="CA56" s="84"/>
      <c r="CB56" s="84"/>
      <c r="CC56" s="84"/>
      <c r="CD56" s="84"/>
      <c r="CE56" s="84"/>
      <c r="CF56" s="84"/>
      <c r="CG56" s="84"/>
    </row>
    <row r="57" spans="1:85" ht="21" x14ac:dyDescent="0.35">
      <c r="A57" s="5">
        <v>2030</v>
      </c>
      <c r="R57" s="5">
        <v>2030</v>
      </c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5">
        <v>2030</v>
      </c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5">
        <v>2030</v>
      </c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5">
        <v>2030</v>
      </c>
      <c r="BS57" s="84"/>
      <c r="BT57" s="84"/>
      <c r="BU57" s="84"/>
      <c r="BV57" s="84"/>
      <c r="BW57" s="84"/>
      <c r="BX57" s="84"/>
      <c r="BY57" s="84"/>
      <c r="BZ57" s="84"/>
      <c r="CA57" s="84"/>
      <c r="CB57" s="84"/>
      <c r="CC57" s="84"/>
      <c r="CD57" s="84"/>
      <c r="CE57" s="84"/>
      <c r="CF57" s="84"/>
      <c r="CG57" s="84"/>
    </row>
    <row r="58" spans="1:85" x14ac:dyDescent="0.25">
      <c r="B58" s="4" t="str">
        <f>$B$6</f>
        <v>ReferentieUtrecht</v>
      </c>
      <c r="S58" s="4" t="str">
        <f>$S$6</f>
        <v>Utrecht_Label B</v>
      </c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J58" s="4" t="str">
        <f>AJ$6</f>
        <v>Utrecht_Label Aplus</v>
      </c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BA58" s="4" t="str">
        <f>BA$6</f>
        <v>Utrecht_Label Aplus, met eWP</v>
      </c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R58" s="4" t="str">
        <f>BR$6</f>
        <v>Utrecht_Label B_Warmtenetten</v>
      </c>
      <c r="BS58" s="84"/>
      <c r="BT58" s="84"/>
      <c r="BU58" s="84"/>
      <c r="BV58" s="84"/>
      <c r="BW58" s="84"/>
      <c r="BX58" s="84"/>
      <c r="BY58" s="84"/>
      <c r="BZ58" s="84"/>
      <c r="CA58" s="84"/>
      <c r="CB58" s="84"/>
      <c r="CC58" s="84"/>
      <c r="CD58" s="84"/>
      <c r="CE58" s="84"/>
      <c r="CF58" s="84"/>
      <c r="CG58" s="84"/>
    </row>
    <row r="59" spans="1:85" x14ac:dyDescent="0.25">
      <c r="C59" s="1" t="s">
        <v>18</v>
      </c>
      <c r="D59" s="1" t="s">
        <v>19</v>
      </c>
      <c r="E59" s="1" t="s">
        <v>20</v>
      </c>
      <c r="F59" s="1" t="s">
        <v>21</v>
      </c>
      <c r="G59" s="1" t="s">
        <v>22</v>
      </c>
      <c r="H59" s="1" t="s">
        <v>23</v>
      </c>
      <c r="I59" s="1" t="s">
        <v>24</v>
      </c>
      <c r="J59" s="1" t="s">
        <v>25</v>
      </c>
      <c r="K59" s="1" t="s">
        <v>26</v>
      </c>
      <c r="L59" s="1" t="s">
        <v>5</v>
      </c>
      <c r="M59" s="1" t="s">
        <v>6</v>
      </c>
      <c r="N59" s="1" t="s">
        <v>7</v>
      </c>
      <c r="O59" s="1" t="s">
        <v>8</v>
      </c>
      <c r="P59" s="1" t="s">
        <v>9</v>
      </c>
      <c r="Q59" s="1" t="s">
        <v>27</v>
      </c>
      <c r="T59" s="1" t="s">
        <v>18</v>
      </c>
      <c r="U59" s="1" t="s">
        <v>19</v>
      </c>
      <c r="V59" s="1" t="s">
        <v>20</v>
      </c>
      <c r="W59" s="1" t="s">
        <v>21</v>
      </c>
      <c r="X59" s="1" t="s">
        <v>22</v>
      </c>
      <c r="Y59" s="1" t="s">
        <v>23</v>
      </c>
      <c r="Z59" s="1" t="s">
        <v>24</v>
      </c>
      <c r="AA59" s="1" t="s">
        <v>25</v>
      </c>
      <c r="AB59" s="1" t="s">
        <v>26</v>
      </c>
      <c r="AC59" s="1" t="s">
        <v>5</v>
      </c>
      <c r="AD59" s="1" t="s">
        <v>6</v>
      </c>
      <c r="AE59" s="1" t="s">
        <v>7</v>
      </c>
      <c r="AF59" s="1" t="s">
        <v>8</v>
      </c>
      <c r="AG59" s="1" t="s">
        <v>9</v>
      </c>
      <c r="AH59" s="1" t="s">
        <v>27</v>
      </c>
      <c r="AK59" s="1" t="s">
        <v>18</v>
      </c>
      <c r="AL59" s="1" t="s">
        <v>19</v>
      </c>
      <c r="AM59" s="1" t="s">
        <v>20</v>
      </c>
      <c r="AN59" s="1" t="s">
        <v>21</v>
      </c>
      <c r="AO59" s="1" t="s">
        <v>22</v>
      </c>
      <c r="AP59" s="1" t="s">
        <v>23</v>
      </c>
      <c r="AQ59" s="1" t="s">
        <v>24</v>
      </c>
      <c r="AR59" s="1" t="s">
        <v>25</v>
      </c>
      <c r="AS59" s="1" t="s">
        <v>26</v>
      </c>
      <c r="AT59" s="1" t="s">
        <v>5</v>
      </c>
      <c r="AU59" s="1" t="s">
        <v>6</v>
      </c>
      <c r="AV59" s="1" t="s">
        <v>7</v>
      </c>
      <c r="AW59" s="1" t="s">
        <v>8</v>
      </c>
      <c r="AX59" s="1" t="s">
        <v>9</v>
      </c>
      <c r="AY59" s="1" t="s">
        <v>27</v>
      </c>
      <c r="BB59" s="1" t="s">
        <v>18</v>
      </c>
      <c r="BC59" s="1" t="s">
        <v>19</v>
      </c>
      <c r="BD59" s="1" t="s">
        <v>20</v>
      </c>
      <c r="BE59" s="1" t="s">
        <v>21</v>
      </c>
      <c r="BF59" s="1" t="s">
        <v>22</v>
      </c>
      <c r="BG59" s="1" t="s">
        <v>23</v>
      </c>
      <c r="BH59" s="1" t="s">
        <v>24</v>
      </c>
      <c r="BI59" s="1" t="s">
        <v>25</v>
      </c>
      <c r="BJ59" s="1" t="s">
        <v>26</v>
      </c>
      <c r="BK59" s="1" t="s">
        <v>5</v>
      </c>
      <c r="BL59" s="1" t="s">
        <v>6</v>
      </c>
      <c r="BM59" s="1" t="s">
        <v>7</v>
      </c>
      <c r="BN59" s="1" t="s">
        <v>8</v>
      </c>
      <c r="BO59" s="1" t="s">
        <v>9</v>
      </c>
      <c r="BP59" s="1" t="s">
        <v>27</v>
      </c>
      <c r="BS59" s="1" t="s">
        <v>18</v>
      </c>
      <c r="BT59" s="1" t="s">
        <v>19</v>
      </c>
      <c r="BU59" s="1" t="s">
        <v>20</v>
      </c>
      <c r="BV59" s="1" t="s">
        <v>21</v>
      </c>
      <c r="BW59" s="1" t="s">
        <v>22</v>
      </c>
      <c r="BX59" s="1" t="s">
        <v>23</v>
      </c>
      <c r="BY59" s="1" t="s">
        <v>24</v>
      </c>
      <c r="BZ59" s="1" t="s">
        <v>25</v>
      </c>
      <c r="CA59" s="1" t="s">
        <v>26</v>
      </c>
      <c r="CB59" s="1" t="s">
        <v>5</v>
      </c>
      <c r="CC59" s="1" t="s">
        <v>6</v>
      </c>
      <c r="CD59" s="1" t="s">
        <v>7</v>
      </c>
      <c r="CE59" s="1" t="s">
        <v>8</v>
      </c>
      <c r="CF59" s="1" t="s">
        <v>9</v>
      </c>
      <c r="CG59" s="1" t="s">
        <v>27</v>
      </c>
    </row>
    <row r="60" spans="1:85" x14ac:dyDescent="0.25">
      <c r="C60" s="1" t="s">
        <v>30</v>
      </c>
      <c r="D60" s="1" t="s">
        <v>30</v>
      </c>
      <c r="E60" s="1" t="s">
        <v>30</v>
      </c>
      <c r="F60" s="1" t="s">
        <v>30</v>
      </c>
      <c r="G60" s="1" t="s">
        <v>30</v>
      </c>
      <c r="H60" s="1" t="s">
        <v>30</v>
      </c>
      <c r="I60" s="1" t="s">
        <v>30</v>
      </c>
      <c r="J60" s="1" t="s">
        <v>30</v>
      </c>
      <c r="K60" s="1" t="s">
        <v>30</v>
      </c>
      <c r="L60" s="1" t="s">
        <v>30</v>
      </c>
      <c r="M60" s="1" t="s">
        <v>30</v>
      </c>
      <c r="N60" s="1" t="s">
        <v>30</v>
      </c>
      <c r="O60" s="1" t="s">
        <v>30</v>
      </c>
      <c r="P60" s="1" t="s">
        <v>30</v>
      </c>
      <c r="Q60" s="1" t="s">
        <v>30</v>
      </c>
      <c r="T60" s="1" t="s">
        <v>30</v>
      </c>
      <c r="U60" s="1" t="s">
        <v>30</v>
      </c>
      <c r="V60" s="1" t="s">
        <v>30</v>
      </c>
      <c r="W60" s="1" t="s">
        <v>30</v>
      </c>
      <c r="X60" s="1" t="s">
        <v>30</v>
      </c>
      <c r="Y60" s="1" t="s">
        <v>30</v>
      </c>
      <c r="Z60" s="1" t="s">
        <v>30</v>
      </c>
      <c r="AA60" s="1" t="s">
        <v>30</v>
      </c>
      <c r="AB60" s="1" t="s">
        <v>30</v>
      </c>
      <c r="AC60" s="1" t="s">
        <v>30</v>
      </c>
      <c r="AD60" s="1" t="s">
        <v>30</v>
      </c>
      <c r="AE60" s="1" t="s">
        <v>30</v>
      </c>
      <c r="AF60" s="1" t="s">
        <v>30</v>
      </c>
      <c r="AG60" s="1" t="s">
        <v>30</v>
      </c>
      <c r="AH60" s="1" t="s">
        <v>30</v>
      </c>
      <c r="AK60" s="1" t="s">
        <v>30</v>
      </c>
      <c r="AL60" s="1" t="s">
        <v>30</v>
      </c>
      <c r="AM60" s="1" t="s">
        <v>30</v>
      </c>
      <c r="AN60" s="1" t="s">
        <v>30</v>
      </c>
      <c r="AO60" s="1" t="s">
        <v>30</v>
      </c>
      <c r="AP60" s="1" t="s">
        <v>30</v>
      </c>
      <c r="AQ60" s="1" t="s">
        <v>30</v>
      </c>
      <c r="AR60" s="1" t="s">
        <v>30</v>
      </c>
      <c r="AS60" s="1" t="s">
        <v>30</v>
      </c>
      <c r="AT60" s="1" t="s">
        <v>30</v>
      </c>
      <c r="AU60" s="1" t="s">
        <v>30</v>
      </c>
      <c r="AV60" s="1" t="s">
        <v>30</v>
      </c>
      <c r="AW60" s="1" t="s">
        <v>30</v>
      </c>
      <c r="AX60" s="1" t="s">
        <v>30</v>
      </c>
      <c r="AY60" s="1" t="s">
        <v>30</v>
      </c>
      <c r="BB60" s="1" t="s">
        <v>30</v>
      </c>
      <c r="BC60" s="1" t="s">
        <v>30</v>
      </c>
      <c r="BD60" s="1" t="s">
        <v>30</v>
      </c>
      <c r="BE60" s="1" t="s">
        <v>30</v>
      </c>
      <c r="BF60" s="1" t="s">
        <v>30</v>
      </c>
      <c r="BG60" s="1" t="s">
        <v>30</v>
      </c>
      <c r="BH60" s="1" t="s">
        <v>30</v>
      </c>
      <c r="BI60" s="1" t="s">
        <v>30</v>
      </c>
      <c r="BJ60" s="1" t="s">
        <v>30</v>
      </c>
      <c r="BK60" s="1" t="s">
        <v>30</v>
      </c>
      <c r="BL60" s="1" t="s">
        <v>30</v>
      </c>
      <c r="BM60" s="1" t="s">
        <v>30</v>
      </c>
      <c r="BN60" s="1" t="s">
        <v>30</v>
      </c>
      <c r="BO60" s="1" t="s">
        <v>30</v>
      </c>
      <c r="BP60" s="1" t="s">
        <v>30</v>
      </c>
      <c r="BS60" s="1" t="s">
        <v>30</v>
      </c>
      <c r="BT60" s="1" t="s">
        <v>30</v>
      </c>
      <c r="BU60" s="1" t="s">
        <v>30</v>
      </c>
      <c r="BV60" s="1" t="s">
        <v>30</v>
      </c>
      <c r="BW60" s="1" t="s">
        <v>30</v>
      </c>
      <c r="BX60" s="1" t="s">
        <v>30</v>
      </c>
      <c r="BY60" s="1" t="s">
        <v>30</v>
      </c>
      <c r="BZ60" s="1" t="s">
        <v>30</v>
      </c>
      <c r="CA60" s="1" t="s">
        <v>30</v>
      </c>
      <c r="CB60" s="1" t="s">
        <v>30</v>
      </c>
      <c r="CC60" s="1" t="s">
        <v>30</v>
      </c>
      <c r="CD60" s="1" t="s">
        <v>30</v>
      </c>
      <c r="CE60" s="1" t="s">
        <v>30</v>
      </c>
      <c r="CF60" s="1" t="s">
        <v>30</v>
      </c>
      <c r="CG60" s="1" t="s">
        <v>30</v>
      </c>
    </row>
    <row r="61" spans="1:85" s="7" customFormat="1" x14ac:dyDescent="0.25">
      <c r="B61" s="7" t="s">
        <v>1</v>
      </c>
      <c r="C61" s="93">
        <f>Modeloutput!B106/1000</f>
        <v>0</v>
      </c>
      <c r="D61" s="93">
        <f>Modeloutput!C106/1000</f>
        <v>0</v>
      </c>
      <c r="E61" s="93">
        <f>Modeloutput!D106/1000</f>
        <v>0</v>
      </c>
      <c r="F61" s="93">
        <f>Modeloutput!E106/1000</f>
        <v>0</v>
      </c>
      <c r="G61" s="93">
        <f>Modeloutput!F106/1000</f>
        <v>0</v>
      </c>
      <c r="H61" s="93">
        <f>Modeloutput!G106/1000</f>
        <v>0</v>
      </c>
      <c r="I61" s="93">
        <f>Modeloutput!H106/1000</f>
        <v>0</v>
      </c>
      <c r="J61" s="93">
        <f>Modeloutput!I106/1000</f>
        <v>0</v>
      </c>
      <c r="K61" s="93">
        <f>Modeloutput!J106/1000</f>
        <v>0</v>
      </c>
      <c r="L61" s="93">
        <f>Modeloutput!K106/1000</f>
        <v>0</v>
      </c>
      <c r="M61" s="93">
        <f>Modeloutput!L106/1000</f>
        <v>0</v>
      </c>
      <c r="N61" s="93">
        <f>Modeloutput!M106/1000</f>
        <v>0</v>
      </c>
      <c r="O61" s="93">
        <f>Modeloutput!N106/1000</f>
        <v>0</v>
      </c>
      <c r="P61" s="93">
        <f>Modeloutput!O106/1000</f>
        <v>0</v>
      </c>
      <c r="Q61" s="93">
        <f>Modeloutput!P106/1000</f>
        <v>0</v>
      </c>
      <c r="S61" s="7" t="s">
        <v>1</v>
      </c>
      <c r="T61" s="93">
        <f>Modeloutput!B361/1000</f>
        <v>0</v>
      </c>
      <c r="U61" s="93">
        <f>Modeloutput!C361/1000</f>
        <v>0</v>
      </c>
      <c r="V61" s="93">
        <f>Modeloutput!D361/1000</f>
        <v>0</v>
      </c>
      <c r="W61" s="93">
        <f>Modeloutput!E361/1000</f>
        <v>0</v>
      </c>
      <c r="X61" s="93">
        <f>Modeloutput!F361/1000</f>
        <v>0</v>
      </c>
      <c r="Y61" s="93">
        <f>Modeloutput!G361/1000</f>
        <v>0</v>
      </c>
      <c r="Z61" s="93">
        <f>Modeloutput!H361/1000</f>
        <v>0</v>
      </c>
      <c r="AA61" s="93">
        <f>Modeloutput!I361/1000</f>
        <v>0</v>
      </c>
      <c r="AB61" s="93">
        <f>Modeloutput!J361/1000</f>
        <v>0</v>
      </c>
      <c r="AC61" s="93">
        <f>Modeloutput!K361/1000</f>
        <v>0</v>
      </c>
      <c r="AD61" s="93">
        <f>Modeloutput!L361/1000</f>
        <v>0</v>
      </c>
      <c r="AE61" s="93">
        <f>Modeloutput!M361/1000</f>
        <v>0</v>
      </c>
      <c r="AF61" s="93">
        <f>Modeloutput!N361/1000</f>
        <v>0</v>
      </c>
      <c r="AG61" s="93">
        <f>Modeloutput!O361/1000</f>
        <v>0</v>
      </c>
      <c r="AH61" s="93">
        <f>Modeloutput!P361/1000</f>
        <v>0</v>
      </c>
      <c r="AJ61" s="7" t="s">
        <v>1</v>
      </c>
      <c r="AK61" s="93">
        <f>Modeloutput!B616/1000</f>
        <v>0</v>
      </c>
      <c r="AL61" s="93">
        <f>Modeloutput!C616/1000</f>
        <v>0</v>
      </c>
      <c r="AM61" s="93">
        <f>Modeloutput!D616/1000</f>
        <v>0</v>
      </c>
      <c r="AN61" s="93">
        <f>Modeloutput!E616/1000</f>
        <v>0</v>
      </c>
      <c r="AO61" s="93">
        <f>Modeloutput!F616/1000</f>
        <v>0</v>
      </c>
      <c r="AP61" s="93">
        <f>Modeloutput!G616/1000</f>
        <v>0</v>
      </c>
      <c r="AQ61" s="93">
        <f>Modeloutput!H616/1000</f>
        <v>0</v>
      </c>
      <c r="AR61" s="93">
        <f>Modeloutput!I616/1000</f>
        <v>0</v>
      </c>
      <c r="AS61" s="93">
        <f>Modeloutput!J616/1000</f>
        <v>0</v>
      </c>
      <c r="AT61" s="93">
        <f>Modeloutput!K616/1000</f>
        <v>0</v>
      </c>
      <c r="AU61" s="93">
        <f>Modeloutput!L616/1000</f>
        <v>0</v>
      </c>
      <c r="AV61" s="93">
        <f>Modeloutput!M616/1000</f>
        <v>0</v>
      </c>
      <c r="AW61" s="93">
        <f>Modeloutput!N616/1000</f>
        <v>0</v>
      </c>
      <c r="AX61" s="93">
        <f>Modeloutput!O616/1000</f>
        <v>0</v>
      </c>
      <c r="AY61" s="93">
        <f>Modeloutput!P616/1000</f>
        <v>0</v>
      </c>
      <c r="BA61" s="7" t="s">
        <v>1</v>
      </c>
      <c r="BB61" s="93">
        <f>Modeloutput!B871/1000</f>
        <v>0</v>
      </c>
      <c r="BC61" s="93">
        <f>Modeloutput!C871/1000</f>
        <v>0</v>
      </c>
      <c r="BD61" s="93">
        <f>Modeloutput!D871/1000</f>
        <v>0</v>
      </c>
      <c r="BE61" s="93">
        <f>Modeloutput!E871/1000</f>
        <v>0</v>
      </c>
      <c r="BF61" s="93">
        <f>Modeloutput!F871/1000</f>
        <v>0</v>
      </c>
      <c r="BG61" s="93">
        <f>Modeloutput!G871/1000</f>
        <v>0</v>
      </c>
      <c r="BH61" s="93">
        <f>Modeloutput!H871/1000</f>
        <v>0</v>
      </c>
      <c r="BI61" s="93">
        <f>Modeloutput!I871/1000</f>
        <v>0</v>
      </c>
      <c r="BJ61" s="93">
        <f>Modeloutput!J871/1000</f>
        <v>0</v>
      </c>
      <c r="BK61" s="93">
        <f>Modeloutput!K871/1000</f>
        <v>0</v>
      </c>
      <c r="BL61" s="93">
        <f>Modeloutput!L871/1000</f>
        <v>0</v>
      </c>
      <c r="BM61" s="93">
        <f>Modeloutput!M871/1000</f>
        <v>0</v>
      </c>
      <c r="BN61" s="93">
        <f>Modeloutput!N871/1000</f>
        <v>0</v>
      </c>
      <c r="BO61" s="93">
        <f>Modeloutput!O871/1000</f>
        <v>0</v>
      </c>
      <c r="BP61" s="93">
        <f>Modeloutput!P871/1000</f>
        <v>0</v>
      </c>
      <c r="BR61" s="7" t="s">
        <v>1</v>
      </c>
      <c r="BS61" s="93">
        <f>Modeloutput!B1126/1000</f>
        <v>0</v>
      </c>
      <c r="BT61" s="93">
        <f>Modeloutput!C1126/1000</f>
        <v>0</v>
      </c>
      <c r="BU61" s="93">
        <f>Modeloutput!D1126/1000</f>
        <v>0</v>
      </c>
      <c r="BV61" s="93">
        <f>Modeloutput!E1126/1000</f>
        <v>0</v>
      </c>
      <c r="BW61" s="93">
        <f>Modeloutput!F1126/1000</f>
        <v>0</v>
      </c>
      <c r="BX61" s="93">
        <f>Modeloutput!G1126/1000</f>
        <v>0</v>
      </c>
      <c r="BY61" s="93">
        <f>Modeloutput!H1126/1000</f>
        <v>0</v>
      </c>
      <c r="BZ61" s="93">
        <f>Modeloutput!I1126/1000</f>
        <v>0</v>
      </c>
      <c r="CA61" s="93">
        <f>Modeloutput!J1126/1000</f>
        <v>0</v>
      </c>
      <c r="CB61" s="93">
        <f>Modeloutput!K1126/1000</f>
        <v>0</v>
      </c>
      <c r="CC61" s="93">
        <f>Modeloutput!L1126/1000</f>
        <v>0</v>
      </c>
      <c r="CD61" s="93">
        <f>Modeloutput!M1126/1000</f>
        <v>0</v>
      </c>
      <c r="CE61" s="93">
        <f>Modeloutput!N1126/1000</f>
        <v>0</v>
      </c>
      <c r="CF61" s="93">
        <f>Modeloutput!O1126/1000</f>
        <v>0</v>
      </c>
      <c r="CG61" s="93">
        <f>Modeloutput!P1126/1000</f>
        <v>0</v>
      </c>
    </row>
    <row r="62" spans="1:85" s="7" customFormat="1" x14ac:dyDescent="0.25">
      <c r="B62" s="7" t="s">
        <v>2</v>
      </c>
      <c r="C62" s="93">
        <f>Modeloutput!B107/1000</f>
        <v>0</v>
      </c>
      <c r="D62" s="93">
        <f>Modeloutput!C107/1000</f>
        <v>0</v>
      </c>
      <c r="E62" s="93">
        <f>Modeloutput!D107/1000</f>
        <v>0</v>
      </c>
      <c r="F62" s="94">
        <f>Modeloutput!E107/1000</f>
        <v>0</v>
      </c>
      <c r="G62" s="94">
        <f>Modeloutput!F107/1000</f>
        <v>0</v>
      </c>
      <c r="H62" s="94">
        <f>Modeloutput!G107/1000</f>
        <v>0</v>
      </c>
      <c r="I62" s="94">
        <f>Modeloutput!H107/1000</f>
        <v>0</v>
      </c>
      <c r="J62" s="94">
        <f>Modeloutput!I107/1000</f>
        <v>0</v>
      </c>
      <c r="K62" s="94">
        <f>Modeloutput!J107/1000</f>
        <v>0</v>
      </c>
      <c r="L62" s="95">
        <f>Modeloutput!K107/1000</f>
        <v>0</v>
      </c>
      <c r="M62" s="95">
        <f>Modeloutput!L107/1000</f>
        <v>0</v>
      </c>
      <c r="N62" s="95">
        <f>Modeloutput!M107/1000</f>
        <v>0</v>
      </c>
      <c r="O62" s="95">
        <f>Modeloutput!N107/1000</f>
        <v>0</v>
      </c>
      <c r="P62" s="95">
        <f>Modeloutput!O107/1000</f>
        <v>0</v>
      </c>
      <c r="Q62" s="93">
        <f>Modeloutput!P107/1000</f>
        <v>0</v>
      </c>
      <c r="S62" s="7" t="s">
        <v>2</v>
      </c>
      <c r="T62" s="93">
        <f>Modeloutput!B362/1000</f>
        <v>0</v>
      </c>
      <c r="U62" s="93">
        <f>Modeloutput!C362/1000</f>
        <v>0</v>
      </c>
      <c r="V62" s="93">
        <f>Modeloutput!D362/1000</f>
        <v>0</v>
      </c>
      <c r="W62" s="94">
        <f>Modeloutput!E362/1000</f>
        <v>0</v>
      </c>
      <c r="X62" s="94">
        <f>Modeloutput!F362/1000</f>
        <v>0</v>
      </c>
      <c r="Y62" s="94">
        <f>Modeloutput!G362/1000</f>
        <v>0</v>
      </c>
      <c r="Z62" s="94">
        <f>Modeloutput!H362/1000</f>
        <v>0</v>
      </c>
      <c r="AA62" s="94">
        <f>Modeloutput!I362/1000</f>
        <v>0</v>
      </c>
      <c r="AB62" s="94">
        <f>Modeloutput!J362/1000</f>
        <v>0</v>
      </c>
      <c r="AC62" s="95">
        <f>Modeloutput!K362/1000</f>
        <v>0</v>
      </c>
      <c r="AD62" s="95">
        <f>Modeloutput!L362/1000</f>
        <v>0</v>
      </c>
      <c r="AE62" s="95">
        <f>Modeloutput!M362/1000</f>
        <v>0</v>
      </c>
      <c r="AF62" s="95">
        <f>Modeloutput!N362/1000</f>
        <v>0</v>
      </c>
      <c r="AG62" s="95">
        <f>Modeloutput!O362/1000</f>
        <v>0</v>
      </c>
      <c r="AH62" s="93">
        <f>Modeloutput!P362/1000</f>
        <v>0</v>
      </c>
      <c r="AJ62" s="7" t="s">
        <v>2</v>
      </c>
      <c r="AK62" s="93">
        <f>Modeloutput!B617/1000</f>
        <v>0</v>
      </c>
      <c r="AL62" s="93">
        <f>Modeloutput!C617/1000</f>
        <v>0</v>
      </c>
      <c r="AM62" s="93">
        <f>Modeloutput!D617/1000</f>
        <v>0</v>
      </c>
      <c r="AN62" s="94">
        <f>Modeloutput!E617/1000</f>
        <v>0</v>
      </c>
      <c r="AO62" s="94">
        <f>Modeloutput!F617/1000</f>
        <v>0</v>
      </c>
      <c r="AP62" s="94">
        <f>Modeloutput!G617/1000</f>
        <v>0</v>
      </c>
      <c r="AQ62" s="94">
        <f>Modeloutput!H617/1000</f>
        <v>0</v>
      </c>
      <c r="AR62" s="94">
        <f>Modeloutput!I617/1000</f>
        <v>0</v>
      </c>
      <c r="AS62" s="94">
        <f>Modeloutput!J617/1000</f>
        <v>0</v>
      </c>
      <c r="AT62" s="95">
        <f>Modeloutput!K617/1000</f>
        <v>0</v>
      </c>
      <c r="AU62" s="95">
        <f>Modeloutput!L617/1000</f>
        <v>0</v>
      </c>
      <c r="AV62" s="95">
        <f>Modeloutput!M617/1000</f>
        <v>0</v>
      </c>
      <c r="AW62" s="95">
        <f>Modeloutput!N617/1000</f>
        <v>0</v>
      </c>
      <c r="AX62" s="95">
        <f>Modeloutput!O617/1000</f>
        <v>0</v>
      </c>
      <c r="AY62" s="93">
        <f>Modeloutput!P617/1000</f>
        <v>0</v>
      </c>
      <c r="BA62" s="7" t="s">
        <v>2</v>
      </c>
      <c r="BB62" s="93">
        <f>Modeloutput!B872/1000</f>
        <v>0</v>
      </c>
      <c r="BC62" s="93">
        <f>Modeloutput!C872/1000</f>
        <v>0</v>
      </c>
      <c r="BD62" s="93">
        <f>Modeloutput!D872/1000</f>
        <v>0</v>
      </c>
      <c r="BE62" s="94">
        <f>Modeloutput!E872/1000</f>
        <v>0</v>
      </c>
      <c r="BF62" s="94">
        <f>Modeloutput!F872/1000</f>
        <v>0</v>
      </c>
      <c r="BG62" s="94">
        <f>Modeloutput!G872/1000</f>
        <v>0</v>
      </c>
      <c r="BH62" s="94">
        <f>Modeloutput!H872/1000</f>
        <v>0</v>
      </c>
      <c r="BI62" s="94">
        <f>Modeloutput!I872/1000</f>
        <v>0</v>
      </c>
      <c r="BJ62" s="94">
        <f>Modeloutput!J872/1000</f>
        <v>0</v>
      </c>
      <c r="BK62" s="95">
        <f>Modeloutput!K872/1000</f>
        <v>0</v>
      </c>
      <c r="BL62" s="95">
        <f>Modeloutput!L872/1000</f>
        <v>0</v>
      </c>
      <c r="BM62" s="95">
        <f>Modeloutput!M872/1000</f>
        <v>0</v>
      </c>
      <c r="BN62" s="95">
        <f>Modeloutput!N872/1000</f>
        <v>0</v>
      </c>
      <c r="BO62" s="95">
        <f>Modeloutput!O872/1000</f>
        <v>0</v>
      </c>
      <c r="BP62" s="93">
        <f>Modeloutput!P872/1000</f>
        <v>0</v>
      </c>
      <c r="BR62" s="7" t="s">
        <v>2</v>
      </c>
      <c r="BS62" s="93">
        <f>Modeloutput!B1127/1000</f>
        <v>2.5595875000000001E-2</v>
      </c>
      <c r="BT62" s="93">
        <f>Modeloutput!C1127/1000</f>
        <v>0</v>
      </c>
      <c r="BU62" s="93">
        <f>Modeloutput!D1127/1000</f>
        <v>2.5595875000000001E-2</v>
      </c>
      <c r="BV62" s="94">
        <f>Modeloutput!E1127/1000</f>
        <v>0</v>
      </c>
      <c r="BW62" s="94">
        <f>Modeloutput!F1127/1000</f>
        <v>0</v>
      </c>
      <c r="BX62" s="94">
        <f>Modeloutput!G1127/1000</f>
        <v>0</v>
      </c>
      <c r="BY62" s="94">
        <f>Modeloutput!H1127/1000</f>
        <v>0</v>
      </c>
      <c r="BZ62" s="94">
        <f>Modeloutput!I1127/1000</f>
        <v>0</v>
      </c>
      <c r="CA62" s="94">
        <f>Modeloutput!J1127/1000</f>
        <v>0</v>
      </c>
      <c r="CB62" s="95">
        <f>Modeloutput!K1127/1000</f>
        <v>2.5595875000000001E-2</v>
      </c>
      <c r="CC62" s="95">
        <f>Modeloutput!L1127/1000</f>
        <v>0</v>
      </c>
      <c r="CD62" s="95">
        <f>Modeloutput!M1127/1000</f>
        <v>0</v>
      </c>
      <c r="CE62" s="95">
        <f>Modeloutput!N1127/1000</f>
        <v>0</v>
      </c>
      <c r="CF62" s="95">
        <f>Modeloutput!O1127/1000</f>
        <v>0</v>
      </c>
      <c r="CG62" s="93">
        <f>Modeloutput!P1127/1000</f>
        <v>0</v>
      </c>
    </row>
    <row r="63" spans="1:85" s="7" customFormat="1" x14ac:dyDescent="0.25">
      <c r="B63" s="7" t="s">
        <v>3</v>
      </c>
      <c r="C63" s="93">
        <f>Modeloutput!B108/1000</f>
        <v>0.236252506</v>
      </c>
      <c r="D63" s="93">
        <f>Modeloutput!C108/1000</f>
        <v>0</v>
      </c>
      <c r="E63" s="93">
        <f>Modeloutput!D108/1000</f>
        <v>0.236252506</v>
      </c>
      <c r="F63" s="96">
        <f>Modeloutput!E108/1000</f>
        <v>0.154269025</v>
      </c>
      <c r="G63" s="96">
        <f>Modeloutput!F108/1000</f>
        <v>4.4259515599999997E-4</v>
      </c>
      <c r="H63" s="96">
        <f>Modeloutput!G108/1000</f>
        <v>5.1254886999999999E-2</v>
      </c>
      <c r="I63" s="96">
        <f>Modeloutput!H108/1000</f>
        <v>8.9976255699999999E-5</v>
      </c>
      <c r="J63" s="96">
        <f>Modeloutput!I108/1000</f>
        <v>0</v>
      </c>
      <c r="K63" s="96">
        <f>Modeloutput!J108/1000</f>
        <v>0</v>
      </c>
      <c r="L63" s="97">
        <f>Modeloutput!K108/1000</f>
        <v>3.0196023299999999E-2</v>
      </c>
      <c r="M63" s="97">
        <f>Modeloutput!L108/1000</f>
        <v>0</v>
      </c>
      <c r="N63" s="97">
        <f>Modeloutput!M108/1000</f>
        <v>0</v>
      </c>
      <c r="O63" s="97">
        <f>Modeloutput!N108/1000</f>
        <v>0</v>
      </c>
      <c r="P63" s="97">
        <f>Modeloutput!O108/1000</f>
        <v>0</v>
      </c>
      <c r="Q63" s="93">
        <f>Modeloutput!P108/1000</f>
        <v>0</v>
      </c>
      <c r="S63" s="7" t="s">
        <v>3</v>
      </c>
      <c r="T63" s="93">
        <f>Modeloutput!B363/1000</f>
        <v>0.18082405499999998</v>
      </c>
      <c r="U63" s="93">
        <f>Modeloutput!C363/1000</f>
        <v>0</v>
      </c>
      <c r="V63" s="93">
        <f>Modeloutput!D363/1000</f>
        <v>0.18082405499999998</v>
      </c>
      <c r="W63" s="96">
        <f>Modeloutput!E363/1000</f>
        <v>0.12919873999999998</v>
      </c>
      <c r="X63" s="96">
        <f>Modeloutput!F363/1000</f>
        <v>5.1687463900000001E-4</v>
      </c>
      <c r="Y63" s="96">
        <f>Modeloutput!G363/1000</f>
        <v>2.8875367499999999E-2</v>
      </c>
      <c r="Z63" s="96">
        <f>Modeloutput!H363/1000</f>
        <v>8.9976255699999999E-5</v>
      </c>
      <c r="AA63" s="96">
        <f>Modeloutput!I363/1000</f>
        <v>0</v>
      </c>
      <c r="AB63" s="96">
        <f>Modeloutput!J363/1000</f>
        <v>0</v>
      </c>
      <c r="AC63" s="97">
        <f>Modeloutput!K363/1000</f>
        <v>2.2143096899999999E-2</v>
      </c>
      <c r="AD63" s="97">
        <f>Modeloutput!L363/1000</f>
        <v>0</v>
      </c>
      <c r="AE63" s="97">
        <f>Modeloutput!M363/1000</f>
        <v>0</v>
      </c>
      <c r="AF63" s="97">
        <f>Modeloutput!N363/1000</f>
        <v>0</v>
      </c>
      <c r="AG63" s="97">
        <f>Modeloutput!O363/1000</f>
        <v>0</v>
      </c>
      <c r="AH63" s="93">
        <f>Modeloutput!P363/1000</f>
        <v>0</v>
      </c>
      <c r="AJ63" s="7" t="s">
        <v>3</v>
      </c>
      <c r="AK63" s="93">
        <f>Modeloutput!B618/1000</f>
        <v>4.3500128699999994E-2</v>
      </c>
      <c r="AL63" s="93">
        <f>Modeloutput!C618/1000</f>
        <v>0</v>
      </c>
      <c r="AM63" s="93">
        <f>Modeloutput!D618/1000</f>
        <v>4.3500128699999994E-2</v>
      </c>
      <c r="AN63" s="96">
        <f>Modeloutput!E618/1000</f>
        <v>2.11489534E-2</v>
      </c>
      <c r="AO63" s="96">
        <f>Modeloutput!F618/1000</f>
        <v>3.2778671500000001E-4</v>
      </c>
      <c r="AP63" s="96">
        <f>Modeloutput!G618/1000</f>
        <v>6.55051062E-3</v>
      </c>
      <c r="AQ63" s="96">
        <f>Modeloutput!H618/1000</f>
        <v>8.9976255699999999E-5</v>
      </c>
      <c r="AR63" s="96">
        <f>Modeloutput!I618/1000</f>
        <v>0</v>
      </c>
      <c r="AS63" s="96">
        <f>Modeloutput!J618/1000</f>
        <v>0</v>
      </c>
      <c r="AT63" s="97">
        <f>Modeloutput!K618/1000</f>
        <v>1.53829017E-2</v>
      </c>
      <c r="AU63" s="97">
        <f>Modeloutput!L618/1000</f>
        <v>0</v>
      </c>
      <c r="AV63" s="97">
        <f>Modeloutput!M618/1000</f>
        <v>0</v>
      </c>
      <c r="AW63" s="97">
        <f>Modeloutput!N618/1000</f>
        <v>0</v>
      </c>
      <c r="AX63" s="97">
        <f>Modeloutput!O618/1000</f>
        <v>0</v>
      </c>
      <c r="AY63" s="93">
        <f>Modeloutput!P618/1000</f>
        <v>0</v>
      </c>
      <c r="BA63" s="7" t="s">
        <v>3</v>
      </c>
      <c r="BB63" s="93">
        <f>Modeloutput!B873/1000</f>
        <v>3.0202517700000001E-2</v>
      </c>
      <c r="BC63" s="93">
        <f>Modeloutput!C873/1000</f>
        <v>0</v>
      </c>
      <c r="BD63" s="93">
        <f>Modeloutput!D873/1000</f>
        <v>3.0202517700000001E-2</v>
      </c>
      <c r="BE63" s="96">
        <f>Modeloutput!E873/1000</f>
        <v>0</v>
      </c>
      <c r="BF63" s="96">
        <f>Modeloutput!F873/1000</f>
        <v>0</v>
      </c>
      <c r="BG63" s="96">
        <f>Modeloutput!G873/1000</f>
        <v>0</v>
      </c>
      <c r="BH63" s="96">
        <f>Modeloutput!H873/1000</f>
        <v>0</v>
      </c>
      <c r="BI63" s="96">
        <f>Modeloutput!I873/1000</f>
        <v>0</v>
      </c>
      <c r="BJ63" s="96">
        <f>Modeloutput!J873/1000</f>
        <v>0</v>
      </c>
      <c r="BK63" s="97">
        <f>Modeloutput!K873/1000</f>
        <v>3.0202517700000001E-2</v>
      </c>
      <c r="BL63" s="97">
        <f>Modeloutput!L873/1000</f>
        <v>0</v>
      </c>
      <c r="BM63" s="97">
        <f>Modeloutput!M873/1000</f>
        <v>0</v>
      </c>
      <c r="BN63" s="97">
        <f>Modeloutput!N873/1000</f>
        <v>0</v>
      </c>
      <c r="BO63" s="97">
        <f>Modeloutput!O873/1000</f>
        <v>0</v>
      </c>
      <c r="BP63" s="93">
        <f>Modeloutput!P873/1000</f>
        <v>0</v>
      </c>
      <c r="BR63" s="7" t="s">
        <v>3</v>
      </c>
      <c r="BS63" s="93">
        <f>Modeloutput!B1128/1000</f>
        <v>6.5144149600000006E-2</v>
      </c>
      <c r="BT63" s="93">
        <f>Modeloutput!C1128/1000</f>
        <v>0</v>
      </c>
      <c r="BU63" s="93">
        <f>Modeloutput!D1128/1000</f>
        <v>6.5144149600000006E-2</v>
      </c>
      <c r="BV63" s="96">
        <f>Modeloutput!E1128/1000</f>
        <v>5.6472583899999998E-4</v>
      </c>
      <c r="BW63" s="96">
        <f>Modeloutput!F1128/1000</f>
        <v>1.25489042E-5</v>
      </c>
      <c r="BX63" s="96">
        <f>Modeloutput!G1128/1000</f>
        <v>6.1174595300000003E-5</v>
      </c>
      <c r="BY63" s="96">
        <f>Modeloutput!H1128/1000</f>
        <v>0</v>
      </c>
      <c r="BZ63" s="96">
        <f>Modeloutput!I1128/1000</f>
        <v>0</v>
      </c>
      <c r="CA63" s="96">
        <f>Modeloutput!J1128/1000</f>
        <v>0</v>
      </c>
      <c r="CB63" s="97">
        <f>Modeloutput!K1128/1000</f>
        <v>4.4084072499999995E-2</v>
      </c>
      <c r="CC63" s="97">
        <f>Modeloutput!L1128/1000</f>
        <v>2.0421627799999998E-2</v>
      </c>
      <c r="CD63" s="97">
        <f>Modeloutput!M1128/1000</f>
        <v>0</v>
      </c>
      <c r="CE63" s="97">
        <f>Modeloutput!N1128/1000</f>
        <v>0</v>
      </c>
      <c r="CF63" s="97">
        <f>Modeloutput!O1128/1000</f>
        <v>0</v>
      </c>
      <c r="CG63" s="93">
        <f>Modeloutput!P1128/1000</f>
        <v>0</v>
      </c>
    </row>
    <row r="64" spans="1:85" s="7" customFormat="1" x14ac:dyDescent="0.25">
      <c r="B64" s="7" t="s">
        <v>4</v>
      </c>
      <c r="C64" s="93">
        <f>Modeloutput!B109/1000</f>
        <v>5.3079549900000002E-2</v>
      </c>
      <c r="D64" s="93">
        <f>Modeloutput!C109/1000</f>
        <v>0</v>
      </c>
      <c r="E64" s="93">
        <f>Modeloutput!D109/1000</f>
        <v>5.3079549900000002E-2</v>
      </c>
      <c r="F64" s="98">
        <f>Modeloutput!E109/1000</f>
        <v>2.4257440299999999E-2</v>
      </c>
      <c r="G64" s="98">
        <f>Modeloutput!F109/1000</f>
        <v>3.6239401400000003E-3</v>
      </c>
      <c r="H64" s="98">
        <f>Modeloutput!G109/1000</f>
        <v>2.2655757000000002E-2</v>
      </c>
      <c r="I64" s="98">
        <f>Modeloutput!H109/1000</f>
        <v>1.126834E-3</v>
      </c>
      <c r="J64" s="98">
        <f>Modeloutput!I109/1000</f>
        <v>0</v>
      </c>
      <c r="K64" s="98">
        <f>Modeloutput!J109/1000</f>
        <v>0</v>
      </c>
      <c r="L64" s="95">
        <f>Modeloutput!K109/1000</f>
        <v>0</v>
      </c>
      <c r="M64" s="95">
        <f>Modeloutput!L109/1000</f>
        <v>0</v>
      </c>
      <c r="N64" s="95">
        <f>Modeloutput!M109/1000</f>
        <v>1.4155785099999999E-3</v>
      </c>
      <c r="O64" s="95">
        <f>Modeloutput!N109/1000</f>
        <v>0</v>
      </c>
      <c r="P64" s="95">
        <f>Modeloutput!O109/1000</f>
        <v>0</v>
      </c>
      <c r="Q64" s="93">
        <f>Modeloutput!P109/1000</f>
        <v>0</v>
      </c>
      <c r="S64" s="7" t="s">
        <v>4</v>
      </c>
      <c r="T64" s="93">
        <f>Modeloutput!B364/1000</f>
        <v>5.3073429800000002E-2</v>
      </c>
      <c r="U64" s="93">
        <f>Modeloutput!C364/1000</f>
        <v>0</v>
      </c>
      <c r="V64" s="93">
        <f>Modeloutput!D364/1000</f>
        <v>5.3073429800000002E-2</v>
      </c>
      <c r="W64" s="98">
        <f>Modeloutput!E364/1000</f>
        <v>2.4257440299999999E-2</v>
      </c>
      <c r="X64" s="98">
        <f>Modeloutput!F364/1000</f>
        <v>3.6239401400000003E-3</v>
      </c>
      <c r="Y64" s="98">
        <f>Modeloutput!G364/1000</f>
        <v>2.26583167E-2</v>
      </c>
      <c r="Z64" s="98">
        <f>Modeloutput!H364/1000</f>
        <v>1.126834E-3</v>
      </c>
      <c r="AA64" s="98">
        <f>Modeloutput!I364/1000</f>
        <v>0</v>
      </c>
      <c r="AB64" s="98">
        <f>Modeloutput!J364/1000</f>
        <v>0</v>
      </c>
      <c r="AC64" s="95">
        <f>Modeloutput!K364/1000</f>
        <v>0</v>
      </c>
      <c r="AD64" s="95">
        <f>Modeloutput!L364/1000</f>
        <v>0</v>
      </c>
      <c r="AE64" s="95">
        <f>Modeloutput!M364/1000</f>
        <v>1.4068987100000002E-3</v>
      </c>
      <c r="AF64" s="95">
        <f>Modeloutput!N364/1000</f>
        <v>0</v>
      </c>
      <c r="AG64" s="95">
        <f>Modeloutput!O364/1000</f>
        <v>0</v>
      </c>
      <c r="AH64" s="93">
        <f>Modeloutput!P364/1000</f>
        <v>0</v>
      </c>
      <c r="AJ64" s="7" t="s">
        <v>4</v>
      </c>
      <c r="AK64" s="93">
        <f>Modeloutput!B619/1000</f>
        <v>6.2139777100000002E-2</v>
      </c>
      <c r="AL64" s="93">
        <f>Modeloutput!C619/1000</f>
        <v>0</v>
      </c>
      <c r="AM64" s="93">
        <f>Modeloutput!D619/1000</f>
        <v>6.2139777100000002E-2</v>
      </c>
      <c r="AN64" s="98">
        <f>Modeloutput!E619/1000</f>
        <v>2.4257440299999999E-2</v>
      </c>
      <c r="AO64" s="98">
        <f>Modeloutput!F619/1000</f>
        <v>3.6239401400000003E-3</v>
      </c>
      <c r="AP64" s="98">
        <f>Modeloutput!G619/1000</f>
        <v>2.1994769399999999E-2</v>
      </c>
      <c r="AQ64" s="98">
        <f>Modeloutput!H619/1000</f>
        <v>1.126834E-3</v>
      </c>
      <c r="AR64" s="98">
        <f>Modeloutput!I619/1000</f>
        <v>0</v>
      </c>
      <c r="AS64" s="98">
        <f>Modeloutput!J619/1000</f>
        <v>0</v>
      </c>
      <c r="AT64" s="95">
        <f>Modeloutput!K619/1000</f>
        <v>0</v>
      </c>
      <c r="AU64" s="95">
        <f>Modeloutput!L619/1000</f>
        <v>0</v>
      </c>
      <c r="AV64" s="95">
        <f>Modeloutput!M619/1000</f>
        <v>1.11367932E-2</v>
      </c>
      <c r="AW64" s="95">
        <f>Modeloutput!N619/1000</f>
        <v>0</v>
      </c>
      <c r="AX64" s="95">
        <f>Modeloutput!O619/1000</f>
        <v>0</v>
      </c>
      <c r="AY64" s="93">
        <f>Modeloutput!P619/1000</f>
        <v>0</v>
      </c>
      <c r="BA64" s="7" t="s">
        <v>4</v>
      </c>
      <c r="BB64" s="93">
        <f>Modeloutput!B874/1000</f>
        <v>5.8501958299999997E-2</v>
      </c>
      <c r="BC64" s="93">
        <f>Modeloutput!C874/1000</f>
        <v>0</v>
      </c>
      <c r="BD64" s="93">
        <f>Modeloutput!D874/1000</f>
        <v>5.8501958299999997E-2</v>
      </c>
      <c r="BE64" s="98">
        <f>Modeloutput!E874/1000</f>
        <v>2.9295453500000002E-2</v>
      </c>
      <c r="BF64" s="98">
        <f>Modeloutput!F874/1000</f>
        <v>4.2134354600000005E-3</v>
      </c>
      <c r="BG64" s="98">
        <f>Modeloutput!G874/1000</f>
        <v>2.36684531E-2</v>
      </c>
      <c r="BH64" s="98">
        <f>Modeloutput!H874/1000</f>
        <v>1.3246162100000001E-3</v>
      </c>
      <c r="BI64" s="98">
        <f>Modeloutput!I874/1000</f>
        <v>0</v>
      </c>
      <c r="BJ64" s="98">
        <f>Modeloutput!J874/1000</f>
        <v>0</v>
      </c>
      <c r="BK64" s="95">
        <f>Modeloutput!K874/1000</f>
        <v>0</v>
      </c>
      <c r="BL64" s="95">
        <f>Modeloutput!L874/1000</f>
        <v>0</v>
      </c>
      <c r="BM64" s="95">
        <f>Modeloutput!M874/1000</f>
        <v>0</v>
      </c>
      <c r="BN64" s="95">
        <f>Modeloutput!N874/1000</f>
        <v>0</v>
      </c>
      <c r="BO64" s="95">
        <f>Modeloutput!O874/1000</f>
        <v>0</v>
      </c>
      <c r="BP64" s="93">
        <f>Modeloutput!P874/1000</f>
        <v>0</v>
      </c>
      <c r="BR64" s="7" t="s">
        <v>4</v>
      </c>
      <c r="BS64" s="93">
        <f>Modeloutput!B1129/1000</f>
        <v>5.1919008900000001E-2</v>
      </c>
      <c r="BT64" s="93">
        <f>Modeloutput!C1129/1000</f>
        <v>0</v>
      </c>
      <c r="BU64" s="93">
        <f>Modeloutput!D1129/1000</f>
        <v>5.1919008900000001E-2</v>
      </c>
      <c r="BV64" s="98">
        <f>Modeloutput!E1129/1000</f>
        <v>2.4257440299999999E-2</v>
      </c>
      <c r="BW64" s="98">
        <f>Modeloutput!F1129/1000</f>
        <v>3.6239401400000003E-3</v>
      </c>
      <c r="BX64" s="98">
        <f>Modeloutput!G1129/1000</f>
        <v>2.2755814399999998E-2</v>
      </c>
      <c r="BY64" s="98">
        <f>Modeloutput!H1129/1000</f>
        <v>1.26904128E-3</v>
      </c>
      <c r="BZ64" s="98">
        <f>Modeloutput!I1129/1000</f>
        <v>0</v>
      </c>
      <c r="CA64" s="98">
        <f>Modeloutput!J1129/1000</f>
        <v>0</v>
      </c>
      <c r="CB64" s="95">
        <f>Modeloutput!K1129/1000</f>
        <v>0</v>
      </c>
      <c r="CC64" s="95">
        <f>Modeloutput!L1129/1000</f>
        <v>0</v>
      </c>
      <c r="CD64" s="95">
        <f>Modeloutput!M1129/1000</f>
        <v>1.2772741400000001E-5</v>
      </c>
      <c r="CE64" s="95">
        <f>Modeloutput!N1129/1000</f>
        <v>0</v>
      </c>
      <c r="CF64" s="95">
        <f>Modeloutput!O1129/1000</f>
        <v>0</v>
      </c>
      <c r="CG64" s="93">
        <f>Modeloutput!P1129/1000</f>
        <v>0</v>
      </c>
    </row>
    <row r="65" spans="2:85" s="7" customFormat="1" x14ac:dyDescent="0.25">
      <c r="B65" s="7" t="s">
        <v>5</v>
      </c>
      <c r="C65" s="93">
        <f>Modeloutput!B110/1000</f>
        <v>3.0196023299999999E-2</v>
      </c>
      <c r="D65" s="93">
        <f>Modeloutput!C110/1000</f>
        <v>3.0196023299999999E-2</v>
      </c>
      <c r="E65" s="93">
        <f>Modeloutput!D110/1000</f>
        <v>0</v>
      </c>
      <c r="F65" s="99">
        <f>Modeloutput!E110/1000</f>
        <v>1.6804122499999997E-2</v>
      </c>
      <c r="G65" s="99">
        <f>Modeloutput!F110/1000</f>
        <v>2.6681049500000002E-3</v>
      </c>
      <c r="H65" s="99">
        <f>Modeloutput!G110/1000</f>
        <v>1.05339254E-2</v>
      </c>
      <c r="I65" s="99">
        <f>Modeloutput!H110/1000</f>
        <v>1.8987043000000001E-4</v>
      </c>
      <c r="J65" s="99">
        <f>Modeloutput!I110/1000</f>
        <v>0</v>
      </c>
      <c r="K65" s="99">
        <f>Modeloutput!J110/1000</f>
        <v>0</v>
      </c>
      <c r="L65" s="93">
        <f>Modeloutput!K110/1000</f>
        <v>0</v>
      </c>
      <c r="M65" s="93">
        <f>Modeloutput!L110/1000</f>
        <v>0</v>
      </c>
      <c r="N65" s="93">
        <f>Modeloutput!M110/1000</f>
        <v>0</v>
      </c>
      <c r="O65" s="93">
        <f>Modeloutput!N110/1000</f>
        <v>0</v>
      </c>
      <c r="P65" s="93">
        <f>Modeloutput!O110/1000</f>
        <v>0</v>
      </c>
      <c r="Q65" s="93">
        <f>Modeloutput!P110/1000</f>
        <v>0</v>
      </c>
      <c r="S65" s="7" t="s">
        <v>5</v>
      </c>
      <c r="T65" s="93">
        <f>Modeloutput!B365/1000</f>
        <v>2.2143096899999999E-2</v>
      </c>
      <c r="U65" s="93">
        <f>Modeloutput!C365/1000</f>
        <v>2.2143096899999999E-2</v>
      </c>
      <c r="V65" s="93">
        <f>Modeloutput!D365/1000</f>
        <v>0</v>
      </c>
      <c r="W65" s="99">
        <f>Modeloutput!E365/1000</f>
        <v>1.46649008E-2</v>
      </c>
      <c r="X65" s="99">
        <f>Modeloutput!F365/1000</f>
        <v>2.6681049500000002E-3</v>
      </c>
      <c r="Y65" s="99">
        <f>Modeloutput!G365/1000</f>
        <v>4.62022075E-3</v>
      </c>
      <c r="Z65" s="99">
        <f>Modeloutput!H365/1000</f>
        <v>1.8987043000000001E-4</v>
      </c>
      <c r="AA65" s="99">
        <f>Modeloutput!I365/1000</f>
        <v>0</v>
      </c>
      <c r="AB65" s="99">
        <f>Modeloutput!J365/1000</f>
        <v>0</v>
      </c>
      <c r="AC65" s="93">
        <f>Modeloutput!K365/1000</f>
        <v>0</v>
      </c>
      <c r="AD65" s="93">
        <f>Modeloutput!L365/1000</f>
        <v>0</v>
      </c>
      <c r="AE65" s="93">
        <f>Modeloutput!M365/1000</f>
        <v>0</v>
      </c>
      <c r="AF65" s="93">
        <f>Modeloutput!N365/1000</f>
        <v>0</v>
      </c>
      <c r="AG65" s="93">
        <f>Modeloutput!O365/1000</f>
        <v>0</v>
      </c>
      <c r="AH65" s="93">
        <f>Modeloutput!P365/1000</f>
        <v>0</v>
      </c>
      <c r="AJ65" s="7" t="s">
        <v>5</v>
      </c>
      <c r="AK65" s="93">
        <f>Modeloutput!B620/1000</f>
        <v>1.53829017E-2</v>
      </c>
      <c r="AL65" s="93">
        <f>Modeloutput!C620/1000</f>
        <v>1.53829017E-2</v>
      </c>
      <c r="AM65" s="93">
        <f>Modeloutput!D620/1000</f>
        <v>-1.7763568400000001E-18</v>
      </c>
      <c r="AN65" s="99">
        <f>Modeloutput!E620/1000</f>
        <v>9.6572152399999993E-3</v>
      </c>
      <c r="AO65" s="99">
        <f>Modeloutput!F620/1000</f>
        <v>2.6681049500000002E-3</v>
      </c>
      <c r="AP65" s="99">
        <f>Modeloutput!G620/1000</f>
        <v>2.86771105E-3</v>
      </c>
      <c r="AQ65" s="99">
        <f>Modeloutput!H620/1000</f>
        <v>1.8987043000000001E-4</v>
      </c>
      <c r="AR65" s="99">
        <f>Modeloutput!I620/1000</f>
        <v>0</v>
      </c>
      <c r="AS65" s="99">
        <f>Modeloutput!J620/1000</f>
        <v>0</v>
      </c>
      <c r="AT65" s="93">
        <f>Modeloutput!K620/1000</f>
        <v>0</v>
      </c>
      <c r="AU65" s="93">
        <f>Modeloutput!L620/1000</f>
        <v>0</v>
      </c>
      <c r="AV65" s="93">
        <f>Modeloutput!M620/1000</f>
        <v>0</v>
      </c>
      <c r="AW65" s="93">
        <f>Modeloutput!N620/1000</f>
        <v>0</v>
      </c>
      <c r="AX65" s="93">
        <f>Modeloutput!O620/1000</f>
        <v>0</v>
      </c>
      <c r="AY65" s="93">
        <f>Modeloutput!P620/1000</f>
        <v>0</v>
      </c>
      <c r="BA65" s="7" t="s">
        <v>5</v>
      </c>
      <c r="BB65" s="93">
        <f>Modeloutput!B875/1000</f>
        <v>3.0202517700000001E-2</v>
      </c>
      <c r="BC65" s="93">
        <f>Modeloutput!C875/1000</f>
        <v>3.0202517700000001E-2</v>
      </c>
      <c r="BD65" s="93">
        <f>Modeloutput!D875/1000</f>
        <v>-3.5527136800000002E-18</v>
      </c>
      <c r="BE65" s="99">
        <f>Modeloutput!E875/1000</f>
        <v>1.6810616799999997E-2</v>
      </c>
      <c r="BF65" s="99">
        <f>Modeloutput!F875/1000</f>
        <v>2.6681049500000002E-3</v>
      </c>
      <c r="BG65" s="99">
        <f>Modeloutput!G875/1000</f>
        <v>1.05339254E-2</v>
      </c>
      <c r="BH65" s="99">
        <f>Modeloutput!H875/1000</f>
        <v>1.8987043000000001E-4</v>
      </c>
      <c r="BI65" s="99">
        <f>Modeloutput!I875/1000</f>
        <v>0</v>
      </c>
      <c r="BJ65" s="99">
        <f>Modeloutput!J875/1000</f>
        <v>0</v>
      </c>
      <c r="BK65" s="93">
        <f>Modeloutput!K875/1000</f>
        <v>0</v>
      </c>
      <c r="BL65" s="93">
        <f>Modeloutput!L875/1000</f>
        <v>0</v>
      </c>
      <c r="BM65" s="93">
        <f>Modeloutput!M875/1000</f>
        <v>0</v>
      </c>
      <c r="BN65" s="93">
        <f>Modeloutput!N875/1000</f>
        <v>0</v>
      </c>
      <c r="BO65" s="93">
        <f>Modeloutput!O875/1000</f>
        <v>0</v>
      </c>
      <c r="BP65" s="93">
        <f>Modeloutput!P875/1000</f>
        <v>0</v>
      </c>
      <c r="BR65" s="7" t="s">
        <v>5</v>
      </c>
      <c r="BS65" s="93">
        <f>Modeloutput!B1130/1000</f>
        <v>6.9679947499999992E-2</v>
      </c>
      <c r="BT65" s="93">
        <f>Modeloutput!C1130/1000</f>
        <v>6.9679947499999992E-2</v>
      </c>
      <c r="BU65" s="93">
        <f>Modeloutput!D1130/1000</f>
        <v>0</v>
      </c>
      <c r="BV65" s="99">
        <f>Modeloutput!E1130/1000</f>
        <v>4.7817271499999994E-2</v>
      </c>
      <c r="BW65" s="99">
        <f>Modeloutput!F1130/1000</f>
        <v>6.0187842699999999E-3</v>
      </c>
      <c r="BX65" s="99">
        <f>Modeloutput!G1130/1000</f>
        <v>1.54486495E-2</v>
      </c>
      <c r="BY65" s="99">
        <f>Modeloutput!H1130/1000</f>
        <v>3.9524221399999998E-4</v>
      </c>
      <c r="BZ65" s="99">
        <f>Modeloutput!I1130/1000</f>
        <v>0</v>
      </c>
      <c r="CA65" s="99">
        <f>Modeloutput!J1130/1000</f>
        <v>0</v>
      </c>
      <c r="CB65" s="93">
        <f>Modeloutput!K1130/1000</f>
        <v>0</v>
      </c>
      <c r="CC65" s="93">
        <f>Modeloutput!L1130/1000</f>
        <v>0</v>
      </c>
      <c r="CD65" s="93">
        <f>Modeloutput!M1130/1000</f>
        <v>0</v>
      </c>
      <c r="CE65" s="93">
        <f>Modeloutput!N1130/1000</f>
        <v>0</v>
      </c>
      <c r="CF65" s="93">
        <f>Modeloutput!O1130/1000</f>
        <v>0</v>
      </c>
      <c r="CG65" s="93">
        <f>Modeloutput!P1130/1000</f>
        <v>0</v>
      </c>
    </row>
    <row r="66" spans="2:85" s="7" customFormat="1" x14ac:dyDescent="0.25">
      <c r="B66" s="7" t="s">
        <v>6</v>
      </c>
      <c r="C66" s="93">
        <f>Modeloutput!B111/1000</f>
        <v>0</v>
      </c>
      <c r="D66" s="93">
        <f>Modeloutput!C111/1000</f>
        <v>0</v>
      </c>
      <c r="E66" s="93">
        <f>Modeloutput!D111/1000</f>
        <v>0</v>
      </c>
      <c r="F66" s="99">
        <f>Modeloutput!E111/1000</f>
        <v>0</v>
      </c>
      <c r="G66" s="99">
        <f>Modeloutput!F111/1000</f>
        <v>0</v>
      </c>
      <c r="H66" s="99">
        <f>Modeloutput!G111/1000</f>
        <v>0</v>
      </c>
      <c r="I66" s="99">
        <f>Modeloutput!H111/1000</f>
        <v>0</v>
      </c>
      <c r="J66" s="99">
        <f>Modeloutput!I111/1000</f>
        <v>0</v>
      </c>
      <c r="K66" s="99">
        <f>Modeloutput!J111/1000</f>
        <v>0</v>
      </c>
      <c r="L66" s="93">
        <f>Modeloutput!K111/1000</f>
        <v>0</v>
      </c>
      <c r="M66" s="93">
        <f>Modeloutput!L111/1000</f>
        <v>0</v>
      </c>
      <c r="N66" s="93">
        <f>Modeloutput!M111/1000</f>
        <v>0</v>
      </c>
      <c r="O66" s="93">
        <f>Modeloutput!N111/1000</f>
        <v>0</v>
      </c>
      <c r="P66" s="93">
        <f>Modeloutput!O111/1000</f>
        <v>0</v>
      </c>
      <c r="Q66" s="93">
        <f>Modeloutput!P111/1000</f>
        <v>0</v>
      </c>
      <c r="S66" s="7" t="s">
        <v>6</v>
      </c>
      <c r="T66" s="93">
        <f>Modeloutput!B366/1000</f>
        <v>0</v>
      </c>
      <c r="U66" s="93">
        <f>Modeloutput!C366/1000</f>
        <v>0</v>
      </c>
      <c r="V66" s="93">
        <f>Modeloutput!D366/1000</f>
        <v>0</v>
      </c>
      <c r="W66" s="99">
        <f>Modeloutput!E366/1000</f>
        <v>0</v>
      </c>
      <c r="X66" s="99">
        <f>Modeloutput!F366/1000</f>
        <v>0</v>
      </c>
      <c r="Y66" s="99">
        <f>Modeloutput!G366/1000</f>
        <v>0</v>
      </c>
      <c r="Z66" s="99">
        <f>Modeloutput!H366/1000</f>
        <v>0</v>
      </c>
      <c r="AA66" s="99">
        <f>Modeloutput!I366/1000</f>
        <v>0</v>
      </c>
      <c r="AB66" s="99">
        <f>Modeloutput!J366/1000</f>
        <v>0</v>
      </c>
      <c r="AC66" s="93">
        <f>Modeloutput!K366/1000</f>
        <v>0</v>
      </c>
      <c r="AD66" s="93">
        <f>Modeloutput!L366/1000</f>
        <v>0</v>
      </c>
      <c r="AE66" s="93">
        <f>Modeloutput!M366/1000</f>
        <v>0</v>
      </c>
      <c r="AF66" s="93">
        <f>Modeloutput!N366/1000</f>
        <v>0</v>
      </c>
      <c r="AG66" s="93">
        <f>Modeloutput!O366/1000</f>
        <v>0</v>
      </c>
      <c r="AH66" s="93">
        <f>Modeloutput!P366/1000</f>
        <v>0</v>
      </c>
      <c r="AJ66" s="7" t="s">
        <v>6</v>
      </c>
      <c r="AK66" s="93">
        <f>Modeloutput!B621/1000</f>
        <v>0</v>
      </c>
      <c r="AL66" s="93">
        <f>Modeloutput!C621/1000</f>
        <v>0</v>
      </c>
      <c r="AM66" s="93">
        <f>Modeloutput!D621/1000</f>
        <v>0</v>
      </c>
      <c r="AN66" s="99">
        <f>Modeloutput!E621/1000</f>
        <v>0</v>
      </c>
      <c r="AO66" s="99">
        <f>Modeloutput!F621/1000</f>
        <v>0</v>
      </c>
      <c r="AP66" s="99">
        <f>Modeloutput!G621/1000</f>
        <v>0</v>
      </c>
      <c r="AQ66" s="99">
        <f>Modeloutput!H621/1000</f>
        <v>0</v>
      </c>
      <c r="AR66" s="99">
        <f>Modeloutput!I621/1000</f>
        <v>0</v>
      </c>
      <c r="AS66" s="99">
        <f>Modeloutput!J621/1000</f>
        <v>0</v>
      </c>
      <c r="AT66" s="93">
        <f>Modeloutput!K621/1000</f>
        <v>0</v>
      </c>
      <c r="AU66" s="93">
        <f>Modeloutput!L621/1000</f>
        <v>0</v>
      </c>
      <c r="AV66" s="93">
        <f>Modeloutput!M621/1000</f>
        <v>0</v>
      </c>
      <c r="AW66" s="93">
        <f>Modeloutput!N621/1000</f>
        <v>0</v>
      </c>
      <c r="AX66" s="93">
        <f>Modeloutput!O621/1000</f>
        <v>0</v>
      </c>
      <c r="AY66" s="93">
        <f>Modeloutput!P621/1000</f>
        <v>0</v>
      </c>
      <c r="BA66" s="7" t="s">
        <v>6</v>
      </c>
      <c r="BB66" s="93">
        <f>Modeloutput!B876/1000</f>
        <v>0</v>
      </c>
      <c r="BC66" s="93">
        <f>Modeloutput!C876/1000</f>
        <v>0</v>
      </c>
      <c r="BD66" s="93">
        <f>Modeloutput!D876/1000</f>
        <v>0</v>
      </c>
      <c r="BE66" s="99">
        <f>Modeloutput!E876/1000</f>
        <v>0</v>
      </c>
      <c r="BF66" s="99">
        <f>Modeloutput!F876/1000</f>
        <v>0</v>
      </c>
      <c r="BG66" s="99">
        <f>Modeloutput!G876/1000</f>
        <v>0</v>
      </c>
      <c r="BH66" s="99">
        <f>Modeloutput!H876/1000</f>
        <v>0</v>
      </c>
      <c r="BI66" s="99">
        <f>Modeloutput!I876/1000</f>
        <v>0</v>
      </c>
      <c r="BJ66" s="99">
        <f>Modeloutput!J876/1000</f>
        <v>0</v>
      </c>
      <c r="BK66" s="93">
        <f>Modeloutput!K876/1000</f>
        <v>0</v>
      </c>
      <c r="BL66" s="93">
        <f>Modeloutput!L876/1000</f>
        <v>0</v>
      </c>
      <c r="BM66" s="93">
        <f>Modeloutput!M876/1000</f>
        <v>0</v>
      </c>
      <c r="BN66" s="93">
        <f>Modeloutput!N876/1000</f>
        <v>0</v>
      </c>
      <c r="BO66" s="93">
        <f>Modeloutput!O876/1000</f>
        <v>0</v>
      </c>
      <c r="BP66" s="93">
        <f>Modeloutput!P876/1000</f>
        <v>0</v>
      </c>
      <c r="BR66" s="7" t="s">
        <v>6</v>
      </c>
      <c r="BS66" s="93">
        <f>Modeloutput!B1131/1000</f>
        <v>2.0421627799999998E-2</v>
      </c>
      <c r="BT66" s="93">
        <f>Modeloutput!C1131/1000</f>
        <v>2.0421627799999998E-2</v>
      </c>
      <c r="BU66" s="93">
        <f>Modeloutput!D1131/1000</f>
        <v>0</v>
      </c>
      <c r="BV66" s="99">
        <f>Modeloutput!E1131/1000</f>
        <v>1.60362782E-2</v>
      </c>
      <c r="BW66" s="99">
        <f>Modeloutput!F1131/1000</f>
        <v>1.1981330600000001E-3</v>
      </c>
      <c r="BX66" s="99">
        <f>Modeloutput!G1131/1000</f>
        <v>3.0262157600000001E-3</v>
      </c>
      <c r="BY66" s="99">
        <f>Modeloutput!H1131/1000</f>
        <v>1.6100079300000001E-4</v>
      </c>
      <c r="BZ66" s="99">
        <f>Modeloutput!I1131/1000</f>
        <v>0</v>
      </c>
      <c r="CA66" s="99">
        <f>Modeloutput!J1131/1000</f>
        <v>0</v>
      </c>
      <c r="CB66" s="93">
        <f>Modeloutput!K1131/1000</f>
        <v>0</v>
      </c>
      <c r="CC66" s="93">
        <f>Modeloutput!L1131/1000</f>
        <v>0</v>
      </c>
      <c r="CD66" s="93">
        <f>Modeloutput!M1131/1000</f>
        <v>0</v>
      </c>
      <c r="CE66" s="93">
        <f>Modeloutput!N1131/1000</f>
        <v>0</v>
      </c>
      <c r="CF66" s="93">
        <f>Modeloutput!O1131/1000</f>
        <v>0</v>
      </c>
      <c r="CG66" s="93">
        <f>Modeloutput!P1131/1000</f>
        <v>0</v>
      </c>
    </row>
    <row r="67" spans="2:85" s="7" customFormat="1" x14ac:dyDescent="0.25">
      <c r="B67" s="7" t="s">
        <v>7</v>
      </c>
      <c r="C67" s="93">
        <f>Modeloutput!B112/1000</f>
        <v>1.4155785099999999E-3</v>
      </c>
      <c r="D67" s="93">
        <f>Modeloutput!C112/1000</f>
        <v>1.4155785099999999E-3</v>
      </c>
      <c r="E67" s="93">
        <f>Modeloutput!D112/1000</f>
        <v>0</v>
      </c>
      <c r="F67" s="99">
        <f>Modeloutput!E112/1000</f>
        <v>0</v>
      </c>
      <c r="G67" s="99">
        <f>Modeloutput!F112/1000</f>
        <v>1.08777555E-3</v>
      </c>
      <c r="H67" s="99">
        <f>Modeloutput!G112/1000</f>
        <v>2.2936807300000001E-4</v>
      </c>
      <c r="I67" s="99">
        <f>Modeloutput!H112/1000</f>
        <v>9.8434885000000001E-5</v>
      </c>
      <c r="J67" s="99">
        <f>Modeloutput!I112/1000</f>
        <v>0</v>
      </c>
      <c r="K67" s="99">
        <f>Modeloutput!J112/1000</f>
        <v>0</v>
      </c>
      <c r="L67" s="93">
        <f>Modeloutput!K112/1000</f>
        <v>0</v>
      </c>
      <c r="M67" s="93">
        <f>Modeloutput!L112/1000</f>
        <v>0</v>
      </c>
      <c r="N67" s="93">
        <f>Modeloutput!M112/1000</f>
        <v>0</v>
      </c>
      <c r="O67" s="93">
        <f>Modeloutput!N112/1000</f>
        <v>0</v>
      </c>
      <c r="P67" s="93">
        <f>Modeloutput!O112/1000</f>
        <v>0</v>
      </c>
      <c r="Q67" s="93">
        <f>Modeloutput!P112/1000</f>
        <v>0</v>
      </c>
      <c r="S67" s="7" t="s">
        <v>7</v>
      </c>
      <c r="T67" s="93">
        <f>Modeloutput!B367/1000</f>
        <v>1.4068987100000002E-3</v>
      </c>
      <c r="U67" s="93">
        <f>Modeloutput!C367/1000</f>
        <v>1.4068987100000002E-3</v>
      </c>
      <c r="V67" s="93">
        <f>Modeloutput!D367/1000</f>
        <v>0</v>
      </c>
      <c r="W67" s="99">
        <f>Modeloutput!E367/1000</f>
        <v>0</v>
      </c>
      <c r="X67" s="99">
        <f>Modeloutput!F367/1000</f>
        <v>1.0790677099999999E-3</v>
      </c>
      <c r="Y67" s="99">
        <f>Modeloutput!G367/1000</f>
        <v>2.29386498E-4</v>
      </c>
      <c r="Z67" s="99">
        <f>Modeloutput!H367/1000</f>
        <v>9.8444492599999997E-5</v>
      </c>
      <c r="AA67" s="99">
        <f>Modeloutput!I367/1000</f>
        <v>0</v>
      </c>
      <c r="AB67" s="99">
        <f>Modeloutput!J367/1000</f>
        <v>0</v>
      </c>
      <c r="AC67" s="93">
        <f>Modeloutput!K367/1000</f>
        <v>0</v>
      </c>
      <c r="AD67" s="93">
        <f>Modeloutput!L367/1000</f>
        <v>0</v>
      </c>
      <c r="AE67" s="93">
        <f>Modeloutput!M367/1000</f>
        <v>0</v>
      </c>
      <c r="AF67" s="93">
        <f>Modeloutput!N367/1000</f>
        <v>0</v>
      </c>
      <c r="AG67" s="93">
        <f>Modeloutput!O367/1000</f>
        <v>0</v>
      </c>
      <c r="AH67" s="93">
        <f>Modeloutput!P367/1000</f>
        <v>0</v>
      </c>
      <c r="AJ67" s="7" t="s">
        <v>7</v>
      </c>
      <c r="AK67" s="93">
        <f>Modeloutput!B622/1000</f>
        <v>1.11367932E-2</v>
      </c>
      <c r="AL67" s="93">
        <f>Modeloutput!C622/1000</f>
        <v>1.11367932E-2</v>
      </c>
      <c r="AM67" s="93">
        <f>Modeloutput!D622/1000</f>
        <v>1.7763568400000001E-18</v>
      </c>
      <c r="AN67" s="99">
        <f>Modeloutput!E622/1000</f>
        <v>8.2499347400000009E-3</v>
      </c>
      <c r="AO67" s="99">
        <f>Modeloutput!F622/1000</f>
        <v>1.1673393299999999E-3</v>
      </c>
      <c r="AP67" s="99">
        <f>Modeloutput!G622/1000</f>
        <v>1.6151925499999999E-3</v>
      </c>
      <c r="AQ67" s="99">
        <f>Modeloutput!H622/1000</f>
        <v>1.04326608E-4</v>
      </c>
      <c r="AR67" s="99">
        <f>Modeloutput!I622/1000</f>
        <v>0</v>
      </c>
      <c r="AS67" s="99">
        <f>Modeloutput!J622/1000</f>
        <v>0</v>
      </c>
      <c r="AT67" s="93">
        <f>Modeloutput!K622/1000</f>
        <v>0</v>
      </c>
      <c r="AU67" s="93">
        <f>Modeloutput!L622/1000</f>
        <v>0</v>
      </c>
      <c r="AV67" s="93">
        <f>Modeloutput!M622/1000</f>
        <v>0</v>
      </c>
      <c r="AW67" s="93">
        <f>Modeloutput!N622/1000</f>
        <v>0</v>
      </c>
      <c r="AX67" s="93">
        <f>Modeloutput!O622/1000</f>
        <v>0</v>
      </c>
      <c r="AY67" s="93">
        <f>Modeloutput!P622/1000</f>
        <v>0</v>
      </c>
      <c r="BA67" s="7" t="s">
        <v>7</v>
      </c>
      <c r="BB67" s="93">
        <f>Modeloutput!B877/1000</f>
        <v>0</v>
      </c>
      <c r="BC67" s="93">
        <f>Modeloutput!C877/1000</f>
        <v>0</v>
      </c>
      <c r="BD67" s="93">
        <f>Modeloutput!D877/1000</f>
        <v>0</v>
      </c>
      <c r="BE67" s="99">
        <f>Modeloutput!E877/1000</f>
        <v>0</v>
      </c>
      <c r="BF67" s="99">
        <f>Modeloutput!F877/1000</f>
        <v>0</v>
      </c>
      <c r="BG67" s="99">
        <f>Modeloutput!G877/1000</f>
        <v>0</v>
      </c>
      <c r="BH67" s="99">
        <f>Modeloutput!H877/1000</f>
        <v>0</v>
      </c>
      <c r="BI67" s="99">
        <f>Modeloutput!I877/1000</f>
        <v>0</v>
      </c>
      <c r="BJ67" s="99">
        <f>Modeloutput!J877/1000</f>
        <v>0</v>
      </c>
      <c r="BK67" s="93">
        <f>Modeloutput!K877/1000</f>
        <v>0</v>
      </c>
      <c r="BL67" s="93">
        <f>Modeloutput!L877/1000</f>
        <v>0</v>
      </c>
      <c r="BM67" s="93">
        <f>Modeloutput!M877/1000</f>
        <v>0</v>
      </c>
      <c r="BN67" s="93">
        <f>Modeloutput!N877/1000</f>
        <v>0</v>
      </c>
      <c r="BO67" s="93">
        <f>Modeloutput!O877/1000</f>
        <v>0</v>
      </c>
      <c r="BP67" s="93">
        <f>Modeloutput!P877/1000</f>
        <v>0</v>
      </c>
      <c r="BR67" s="7" t="s">
        <v>7</v>
      </c>
      <c r="BS67" s="93">
        <f>Modeloutput!B1132/1000</f>
        <v>1.2772741400000001E-5</v>
      </c>
      <c r="BT67" s="93">
        <f>Modeloutput!C1132/1000</f>
        <v>1.2772741400000001E-5</v>
      </c>
      <c r="BU67" s="93">
        <f>Modeloutput!D1132/1000</f>
        <v>0</v>
      </c>
      <c r="BV67" s="99">
        <f>Modeloutput!E1132/1000</f>
        <v>0</v>
      </c>
      <c r="BW67" s="99">
        <f>Modeloutput!F1132/1000</f>
        <v>6.7648693699999999E-6</v>
      </c>
      <c r="BX67" s="99">
        <f>Modeloutput!G1132/1000</f>
        <v>3.1558676299999998E-6</v>
      </c>
      <c r="BY67" s="99">
        <f>Modeloutput!H1132/1000</f>
        <v>2.8520043699999999E-6</v>
      </c>
      <c r="BZ67" s="99">
        <f>Modeloutput!I1132/1000</f>
        <v>0</v>
      </c>
      <c r="CA67" s="99">
        <f>Modeloutput!J1132/1000</f>
        <v>0</v>
      </c>
      <c r="CB67" s="93">
        <f>Modeloutput!K1132/1000</f>
        <v>0</v>
      </c>
      <c r="CC67" s="93">
        <f>Modeloutput!L1132/1000</f>
        <v>0</v>
      </c>
      <c r="CD67" s="93">
        <f>Modeloutput!M1132/1000</f>
        <v>0</v>
      </c>
      <c r="CE67" s="93">
        <f>Modeloutput!N1132/1000</f>
        <v>0</v>
      </c>
      <c r="CF67" s="93">
        <f>Modeloutput!O1132/1000</f>
        <v>0</v>
      </c>
      <c r="CG67" s="93">
        <f>Modeloutput!P1132/1000</f>
        <v>0</v>
      </c>
    </row>
    <row r="68" spans="2:85" s="7" customFormat="1" x14ac:dyDescent="0.25">
      <c r="B68" s="7" t="s">
        <v>8</v>
      </c>
      <c r="C68" s="93">
        <f>Modeloutput!B113/1000</f>
        <v>0</v>
      </c>
      <c r="D68" s="93">
        <f>Modeloutput!C113/1000</f>
        <v>0</v>
      </c>
      <c r="E68" s="93">
        <f>Modeloutput!D113/1000</f>
        <v>0</v>
      </c>
      <c r="F68" s="99">
        <f>Modeloutput!E113/1000</f>
        <v>0</v>
      </c>
      <c r="G68" s="99">
        <f>Modeloutput!F113/1000</f>
        <v>0</v>
      </c>
      <c r="H68" s="99">
        <f>Modeloutput!G113/1000</f>
        <v>0</v>
      </c>
      <c r="I68" s="99">
        <f>Modeloutput!H113/1000</f>
        <v>0</v>
      </c>
      <c r="J68" s="99">
        <f>Modeloutput!I113/1000</f>
        <v>0</v>
      </c>
      <c r="K68" s="99">
        <f>Modeloutput!J113/1000</f>
        <v>0</v>
      </c>
      <c r="L68" s="93">
        <f>Modeloutput!K113/1000</f>
        <v>0</v>
      </c>
      <c r="M68" s="93">
        <f>Modeloutput!L113/1000</f>
        <v>0</v>
      </c>
      <c r="N68" s="93">
        <f>Modeloutput!M113/1000</f>
        <v>0</v>
      </c>
      <c r="O68" s="93">
        <f>Modeloutput!N113/1000</f>
        <v>0</v>
      </c>
      <c r="P68" s="93">
        <f>Modeloutput!O113/1000</f>
        <v>0</v>
      </c>
      <c r="Q68" s="93">
        <f>Modeloutput!P113/1000</f>
        <v>0</v>
      </c>
      <c r="S68" s="7" t="s">
        <v>8</v>
      </c>
      <c r="T68" s="93">
        <f>Modeloutput!B368/1000</f>
        <v>0</v>
      </c>
      <c r="U68" s="93">
        <f>Modeloutput!C368/1000</f>
        <v>0</v>
      </c>
      <c r="V68" s="93">
        <f>Modeloutput!D368/1000</f>
        <v>0</v>
      </c>
      <c r="W68" s="99">
        <f>Modeloutput!E368/1000</f>
        <v>0</v>
      </c>
      <c r="X68" s="99">
        <f>Modeloutput!F368/1000</f>
        <v>0</v>
      </c>
      <c r="Y68" s="99">
        <f>Modeloutput!G368/1000</f>
        <v>0</v>
      </c>
      <c r="Z68" s="99">
        <f>Modeloutput!H368/1000</f>
        <v>0</v>
      </c>
      <c r="AA68" s="99">
        <f>Modeloutput!I368/1000</f>
        <v>0</v>
      </c>
      <c r="AB68" s="99">
        <f>Modeloutput!J368/1000</f>
        <v>0</v>
      </c>
      <c r="AC68" s="93">
        <f>Modeloutput!K368/1000</f>
        <v>0</v>
      </c>
      <c r="AD68" s="93">
        <f>Modeloutput!L368/1000</f>
        <v>0</v>
      </c>
      <c r="AE68" s="93">
        <f>Modeloutput!M368/1000</f>
        <v>0</v>
      </c>
      <c r="AF68" s="93">
        <f>Modeloutput!N368/1000</f>
        <v>0</v>
      </c>
      <c r="AG68" s="93">
        <f>Modeloutput!O368/1000</f>
        <v>0</v>
      </c>
      <c r="AH68" s="93">
        <f>Modeloutput!P368/1000</f>
        <v>0</v>
      </c>
      <c r="AJ68" s="7" t="s">
        <v>8</v>
      </c>
      <c r="AK68" s="93">
        <f>Modeloutput!B623/1000</f>
        <v>0</v>
      </c>
      <c r="AL68" s="93">
        <f>Modeloutput!C623/1000</f>
        <v>0</v>
      </c>
      <c r="AM68" s="93">
        <f>Modeloutput!D623/1000</f>
        <v>0</v>
      </c>
      <c r="AN68" s="99">
        <f>Modeloutput!E623/1000</f>
        <v>0</v>
      </c>
      <c r="AO68" s="99">
        <f>Modeloutput!F623/1000</f>
        <v>0</v>
      </c>
      <c r="AP68" s="99">
        <f>Modeloutput!G623/1000</f>
        <v>0</v>
      </c>
      <c r="AQ68" s="99">
        <f>Modeloutput!H623/1000</f>
        <v>0</v>
      </c>
      <c r="AR68" s="99">
        <f>Modeloutput!I623/1000</f>
        <v>0</v>
      </c>
      <c r="AS68" s="99">
        <f>Modeloutput!J623/1000</f>
        <v>0</v>
      </c>
      <c r="AT68" s="93">
        <f>Modeloutput!K623/1000</f>
        <v>0</v>
      </c>
      <c r="AU68" s="93">
        <f>Modeloutput!L623/1000</f>
        <v>0</v>
      </c>
      <c r="AV68" s="93">
        <f>Modeloutput!M623/1000</f>
        <v>0</v>
      </c>
      <c r="AW68" s="93">
        <f>Modeloutput!N623/1000</f>
        <v>0</v>
      </c>
      <c r="AX68" s="93">
        <f>Modeloutput!O623/1000</f>
        <v>0</v>
      </c>
      <c r="AY68" s="93">
        <f>Modeloutput!P623/1000</f>
        <v>0</v>
      </c>
      <c r="BA68" s="7" t="s">
        <v>8</v>
      </c>
      <c r="BB68" s="93">
        <f>Modeloutput!B878/1000</f>
        <v>0</v>
      </c>
      <c r="BC68" s="93">
        <f>Modeloutput!C878/1000</f>
        <v>0</v>
      </c>
      <c r="BD68" s="93">
        <f>Modeloutput!D878/1000</f>
        <v>0</v>
      </c>
      <c r="BE68" s="99">
        <f>Modeloutput!E878/1000</f>
        <v>0</v>
      </c>
      <c r="BF68" s="99">
        <f>Modeloutput!F878/1000</f>
        <v>0</v>
      </c>
      <c r="BG68" s="99">
        <f>Modeloutput!G878/1000</f>
        <v>0</v>
      </c>
      <c r="BH68" s="99">
        <f>Modeloutput!H878/1000</f>
        <v>0</v>
      </c>
      <c r="BI68" s="99">
        <f>Modeloutput!I878/1000</f>
        <v>0</v>
      </c>
      <c r="BJ68" s="99">
        <f>Modeloutput!J878/1000</f>
        <v>0</v>
      </c>
      <c r="BK68" s="93">
        <f>Modeloutput!K878/1000</f>
        <v>0</v>
      </c>
      <c r="BL68" s="93">
        <f>Modeloutput!L878/1000</f>
        <v>0</v>
      </c>
      <c r="BM68" s="93">
        <f>Modeloutput!M878/1000</f>
        <v>0</v>
      </c>
      <c r="BN68" s="93">
        <f>Modeloutput!N878/1000</f>
        <v>0</v>
      </c>
      <c r="BO68" s="93">
        <f>Modeloutput!O878/1000</f>
        <v>0</v>
      </c>
      <c r="BP68" s="93">
        <f>Modeloutput!P878/1000</f>
        <v>0</v>
      </c>
      <c r="BR68" s="7" t="s">
        <v>8</v>
      </c>
      <c r="BS68" s="93">
        <f>Modeloutput!B1133/1000</f>
        <v>0</v>
      </c>
      <c r="BT68" s="93">
        <f>Modeloutput!C1133/1000</f>
        <v>0</v>
      </c>
      <c r="BU68" s="93">
        <f>Modeloutput!D1133/1000</f>
        <v>0</v>
      </c>
      <c r="BV68" s="99">
        <f>Modeloutput!E1133/1000</f>
        <v>0</v>
      </c>
      <c r="BW68" s="99">
        <f>Modeloutput!F1133/1000</f>
        <v>0</v>
      </c>
      <c r="BX68" s="99">
        <f>Modeloutput!G1133/1000</f>
        <v>0</v>
      </c>
      <c r="BY68" s="99">
        <f>Modeloutput!H1133/1000</f>
        <v>0</v>
      </c>
      <c r="BZ68" s="99">
        <f>Modeloutput!I1133/1000</f>
        <v>0</v>
      </c>
      <c r="CA68" s="99">
        <f>Modeloutput!J1133/1000</f>
        <v>0</v>
      </c>
      <c r="CB68" s="93">
        <f>Modeloutput!K1133/1000</f>
        <v>0</v>
      </c>
      <c r="CC68" s="93">
        <f>Modeloutput!L1133/1000</f>
        <v>0</v>
      </c>
      <c r="CD68" s="93">
        <f>Modeloutput!M1133/1000</f>
        <v>0</v>
      </c>
      <c r="CE68" s="93">
        <f>Modeloutput!N1133/1000</f>
        <v>0</v>
      </c>
      <c r="CF68" s="93">
        <f>Modeloutput!O1133/1000</f>
        <v>0</v>
      </c>
      <c r="CG68" s="93">
        <f>Modeloutput!P1133/1000</f>
        <v>0</v>
      </c>
    </row>
    <row r="69" spans="2:85" s="7" customFormat="1" x14ac:dyDescent="0.25">
      <c r="B69" s="7" t="s">
        <v>9</v>
      </c>
      <c r="C69" s="93">
        <f>Modeloutput!B114/1000</f>
        <v>0</v>
      </c>
      <c r="D69" s="93">
        <f>Modeloutput!C114/1000</f>
        <v>0</v>
      </c>
      <c r="E69" s="93">
        <f>Modeloutput!D114/1000</f>
        <v>0</v>
      </c>
      <c r="F69" s="99">
        <f>Modeloutput!E114/1000</f>
        <v>0</v>
      </c>
      <c r="G69" s="99">
        <f>Modeloutput!F114/1000</f>
        <v>0</v>
      </c>
      <c r="H69" s="99">
        <f>Modeloutput!G114/1000</f>
        <v>0</v>
      </c>
      <c r="I69" s="99">
        <f>Modeloutput!H114/1000</f>
        <v>0</v>
      </c>
      <c r="J69" s="99">
        <f>Modeloutput!I114/1000</f>
        <v>0</v>
      </c>
      <c r="K69" s="99">
        <f>Modeloutput!J114/1000</f>
        <v>0</v>
      </c>
      <c r="L69" s="93">
        <f>Modeloutput!K114/1000</f>
        <v>0</v>
      </c>
      <c r="M69" s="93">
        <f>Modeloutput!L114/1000</f>
        <v>0</v>
      </c>
      <c r="N69" s="93">
        <f>Modeloutput!M114/1000</f>
        <v>0</v>
      </c>
      <c r="O69" s="93">
        <f>Modeloutput!N114/1000</f>
        <v>0</v>
      </c>
      <c r="P69" s="93">
        <f>Modeloutput!O114/1000</f>
        <v>0</v>
      </c>
      <c r="Q69" s="93">
        <f>Modeloutput!P114/1000</f>
        <v>0</v>
      </c>
      <c r="S69" s="7" t="s">
        <v>9</v>
      </c>
      <c r="T69" s="93">
        <f>Modeloutput!B369/1000</f>
        <v>0</v>
      </c>
      <c r="U69" s="93">
        <f>Modeloutput!C369/1000</f>
        <v>0</v>
      </c>
      <c r="V69" s="93">
        <f>Modeloutput!D369/1000</f>
        <v>0</v>
      </c>
      <c r="W69" s="99">
        <f>Modeloutput!E369/1000</f>
        <v>0</v>
      </c>
      <c r="X69" s="99">
        <f>Modeloutput!F369/1000</f>
        <v>0</v>
      </c>
      <c r="Y69" s="99">
        <f>Modeloutput!G369/1000</f>
        <v>0</v>
      </c>
      <c r="Z69" s="99">
        <f>Modeloutput!H369/1000</f>
        <v>0</v>
      </c>
      <c r="AA69" s="99">
        <f>Modeloutput!I369/1000</f>
        <v>0</v>
      </c>
      <c r="AB69" s="99">
        <f>Modeloutput!J369/1000</f>
        <v>0</v>
      </c>
      <c r="AC69" s="93">
        <f>Modeloutput!K369/1000</f>
        <v>0</v>
      </c>
      <c r="AD69" s="93">
        <f>Modeloutput!L369/1000</f>
        <v>0</v>
      </c>
      <c r="AE69" s="93">
        <f>Modeloutput!M369/1000</f>
        <v>0</v>
      </c>
      <c r="AF69" s="93">
        <f>Modeloutput!N369/1000</f>
        <v>0</v>
      </c>
      <c r="AG69" s="93">
        <f>Modeloutput!O369/1000</f>
        <v>0</v>
      </c>
      <c r="AH69" s="93">
        <f>Modeloutput!P369/1000</f>
        <v>0</v>
      </c>
      <c r="AJ69" s="7" t="s">
        <v>9</v>
      </c>
      <c r="AK69" s="93">
        <f>Modeloutput!B624/1000</f>
        <v>0</v>
      </c>
      <c r="AL69" s="93">
        <f>Modeloutput!C624/1000</f>
        <v>0</v>
      </c>
      <c r="AM69" s="93">
        <f>Modeloutput!D624/1000</f>
        <v>0</v>
      </c>
      <c r="AN69" s="99">
        <f>Modeloutput!E624/1000</f>
        <v>0</v>
      </c>
      <c r="AO69" s="99">
        <f>Modeloutput!F624/1000</f>
        <v>0</v>
      </c>
      <c r="AP69" s="99">
        <f>Modeloutput!G624/1000</f>
        <v>0</v>
      </c>
      <c r="AQ69" s="99">
        <f>Modeloutput!H624/1000</f>
        <v>0</v>
      </c>
      <c r="AR69" s="99">
        <f>Modeloutput!I624/1000</f>
        <v>0</v>
      </c>
      <c r="AS69" s="99">
        <f>Modeloutput!J624/1000</f>
        <v>0</v>
      </c>
      <c r="AT69" s="93">
        <f>Modeloutput!K624/1000</f>
        <v>0</v>
      </c>
      <c r="AU69" s="93">
        <f>Modeloutput!L624/1000</f>
        <v>0</v>
      </c>
      <c r="AV69" s="93">
        <f>Modeloutput!M624/1000</f>
        <v>0</v>
      </c>
      <c r="AW69" s="93">
        <f>Modeloutput!N624/1000</f>
        <v>0</v>
      </c>
      <c r="AX69" s="93">
        <f>Modeloutput!O624/1000</f>
        <v>0</v>
      </c>
      <c r="AY69" s="93">
        <f>Modeloutput!P624/1000</f>
        <v>0</v>
      </c>
      <c r="BA69" s="7" t="s">
        <v>9</v>
      </c>
      <c r="BB69" s="93">
        <f>Modeloutput!B879/1000</f>
        <v>0</v>
      </c>
      <c r="BC69" s="93">
        <f>Modeloutput!C879/1000</f>
        <v>0</v>
      </c>
      <c r="BD69" s="93">
        <f>Modeloutput!D879/1000</f>
        <v>0</v>
      </c>
      <c r="BE69" s="99">
        <f>Modeloutput!E879/1000</f>
        <v>0</v>
      </c>
      <c r="BF69" s="99">
        <f>Modeloutput!F879/1000</f>
        <v>0</v>
      </c>
      <c r="BG69" s="99">
        <f>Modeloutput!G879/1000</f>
        <v>0</v>
      </c>
      <c r="BH69" s="99">
        <f>Modeloutput!H879/1000</f>
        <v>0</v>
      </c>
      <c r="BI69" s="99">
        <f>Modeloutput!I879/1000</f>
        <v>0</v>
      </c>
      <c r="BJ69" s="99">
        <f>Modeloutput!J879/1000</f>
        <v>0</v>
      </c>
      <c r="BK69" s="93">
        <f>Modeloutput!K879/1000</f>
        <v>0</v>
      </c>
      <c r="BL69" s="93">
        <f>Modeloutput!L879/1000</f>
        <v>0</v>
      </c>
      <c r="BM69" s="93">
        <f>Modeloutput!M879/1000</f>
        <v>0</v>
      </c>
      <c r="BN69" s="93">
        <f>Modeloutput!N879/1000</f>
        <v>0</v>
      </c>
      <c r="BO69" s="93">
        <f>Modeloutput!O879/1000</f>
        <v>0</v>
      </c>
      <c r="BP69" s="93">
        <f>Modeloutput!P879/1000</f>
        <v>0</v>
      </c>
      <c r="BR69" s="7" t="s">
        <v>9</v>
      </c>
      <c r="BS69" s="93">
        <f>Modeloutput!B1134/1000</f>
        <v>0</v>
      </c>
      <c r="BT69" s="93">
        <f>Modeloutput!C1134/1000</f>
        <v>0</v>
      </c>
      <c r="BU69" s="93">
        <f>Modeloutput!D1134/1000</f>
        <v>0</v>
      </c>
      <c r="BV69" s="99">
        <f>Modeloutput!E1134/1000</f>
        <v>0</v>
      </c>
      <c r="BW69" s="99">
        <f>Modeloutput!F1134/1000</f>
        <v>0</v>
      </c>
      <c r="BX69" s="99">
        <f>Modeloutput!G1134/1000</f>
        <v>0</v>
      </c>
      <c r="BY69" s="99">
        <f>Modeloutput!H1134/1000</f>
        <v>0</v>
      </c>
      <c r="BZ69" s="99">
        <f>Modeloutput!I1134/1000</f>
        <v>0</v>
      </c>
      <c r="CA69" s="99">
        <f>Modeloutput!J1134/1000</f>
        <v>0</v>
      </c>
      <c r="CB69" s="93">
        <f>Modeloutput!K1134/1000</f>
        <v>0</v>
      </c>
      <c r="CC69" s="93">
        <f>Modeloutput!L1134/1000</f>
        <v>0</v>
      </c>
      <c r="CD69" s="93">
        <f>Modeloutput!M1134/1000</f>
        <v>0</v>
      </c>
      <c r="CE69" s="93">
        <f>Modeloutput!N1134/1000</f>
        <v>0</v>
      </c>
      <c r="CF69" s="93">
        <f>Modeloutput!O1134/1000</f>
        <v>0</v>
      </c>
      <c r="CG69" s="93">
        <f>Modeloutput!P1134/1000</f>
        <v>0</v>
      </c>
    </row>
    <row r="70" spans="2:85" s="7" customFormat="1" x14ac:dyDescent="0.25">
      <c r="B70" s="7" t="s">
        <v>10</v>
      </c>
      <c r="C70" s="93">
        <f>Modeloutput!B115/1000</f>
        <v>0</v>
      </c>
      <c r="D70" s="93">
        <f>Modeloutput!C115/1000</f>
        <v>0</v>
      </c>
      <c r="E70" s="93">
        <f>Modeloutput!D115/1000</f>
        <v>0</v>
      </c>
      <c r="F70" s="93">
        <f>Modeloutput!E115/1000</f>
        <v>0</v>
      </c>
      <c r="G70" s="93">
        <f>Modeloutput!F115/1000</f>
        <v>0</v>
      </c>
      <c r="H70" s="93">
        <f>Modeloutput!G115/1000</f>
        <v>0</v>
      </c>
      <c r="I70" s="93">
        <f>Modeloutput!H115/1000</f>
        <v>0</v>
      </c>
      <c r="J70" s="93">
        <f>Modeloutput!I115/1000</f>
        <v>0</v>
      </c>
      <c r="K70" s="93">
        <f>Modeloutput!J115/1000</f>
        <v>0</v>
      </c>
      <c r="L70" s="93">
        <f>Modeloutput!K115/1000</f>
        <v>0</v>
      </c>
      <c r="M70" s="93">
        <f>Modeloutput!L115/1000</f>
        <v>0</v>
      </c>
      <c r="N70" s="93">
        <f>Modeloutput!M115/1000</f>
        <v>0</v>
      </c>
      <c r="O70" s="93">
        <f>Modeloutput!N115/1000</f>
        <v>0</v>
      </c>
      <c r="P70" s="93">
        <f>Modeloutput!O115/1000</f>
        <v>0</v>
      </c>
      <c r="Q70" s="93">
        <f>Modeloutput!P115/1000</f>
        <v>0</v>
      </c>
      <c r="S70" s="7" t="s">
        <v>10</v>
      </c>
      <c r="T70" s="93">
        <f>Modeloutput!B370/1000</f>
        <v>0</v>
      </c>
      <c r="U70" s="93">
        <f>Modeloutput!C370/1000</f>
        <v>0</v>
      </c>
      <c r="V70" s="93">
        <f>Modeloutput!D370/1000</f>
        <v>0</v>
      </c>
      <c r="W70" s="93">
        <f>Modeloutput!E370/1000</f>
        <v>0</v>
      </c>
      <c r="X70" s="93">
        <f>Modeloutput!F370/1000</f>
        <v>0</v>
      </c>
      <c r="Y70" s="93">
        <f>Modeloutput!G370/1000</f>
        <v>0</v>
      </c>
      <c r="Z70" s="93">
        <f>Modeloutput!H370/1000</f>
        <v>0</v>
      </c>
      <c r="AA70" s="93">
        <f>Modeloutput!I370/1000</f>
        <v>0</v>
      </c>
      <c r="AB70" s="93">
        <f>Modeloutput!J370/1000</f>
        <v>0</v>
      </c>
      <c r="AC70" s="93">
        <f>Modeloutput!K370/1000</f>
        <v>0</v>
      </c>
      <c r="AD70" s="93">
        <f>Modeloutput!L370/1000</f>
        <v>0</v>
      </c>
      <c r="AE70" s="93">
        <f>Modeloutput!M370/1000</f>
        <v>0</v>
      </c>
      <c r="AF70" s="93">
        <f>Modeloutput!N370/1000</f>
        <v>0</v>
      </c>
      <c r="AG70" s="93">
        <f>Modeloutput!O370/1000</f>
        <v>0</v>
      </c>
      <c r="AH70" s="93">
        <f>Modeloutput!P370/1000</f>
        <v>0</v>
      </c>
      <c r="AJ70" s="7" t="s">
        <v>10</v>
      </c>
      <c r="AK70" s="93">
        <f>Modeloutput!B625/1000</f>
        <v>0</v>
      </c>
      <c r="AL70" s="93">
        <f>Modeloutput!C625/1000</f>
        <v>0</v>
      </c>
      <c r="AM70" s="93">
        <f>Modeloutput!D625/1000</f>
        <v>0</v>
      </c>
      <c r="AN70" s="93">
        <f>Modeloutput!E625/1000</f>
        <v>0</v>
      </c>
      <c r="AO70" s="93">
        <f>Modeloutput!F625/1000</f>
        <v>0</v>
      </c>
      <c r="AP70" s="93">
        <f>Modeloutput!G625/1000</f>
        <v>0</v>
      </c>
      <c r="AQ70" s="93">
        <f>Modeloutput!H625/1000</f>
        <v>0</v>
      </c>
      <c r="AR70" s="93">
        <f>Modeloutput!I625/1000</f>
        <v>0</v>
      </c>
      <c r="AS70" s="93">
        <f>Modeloutput!J625/1000</f>
        <v>0</v>
      </c>
      <c r="AT70" s="93">
        <f>Modeloutput!K625/1000</f>
        <v>0</v>
      </c>
      <c r="AU70" s="93">
        <f>Modeloutput!L625/1000</f>
        <v>0</v>
      </c>
      <c r="AV70" s="93">
        <f>Modeloutput!M625/1000</f>
        <v>0</v>
      </c>
      <c r="AW70" s="93">
        <f>Modeloutput!N625/1000</f>
        <v>0</v>
      </c>
      <c r="AX70" s="93">
        <f>Modeloutput!O625/1000</f>
        <v>0</v>
      </c>
      <c r="AY70" s="93">
        <f>Modeloutput!P625/1000</f>
        <v>0</v>
      </c>
      <c r="BA70" s="7" t="s">
        <v>10</v>
      </c>
      <c r="BB70" s="93">
        <f>Modeloutput!B880/1000</f>
        <v>0</v>
      </c>
      <c r="BC70" s="93">
        <f>Modeloutput!C880/1000</f>
        <v>0</v>
      </c>
      <c r="BD70" s="93">
        <f>Modeloutput!D880/1000</f>
        <v>0</v>
      </c>
      <c r="BE70" s="93">
        <f>Modeloutput!E880/1000</f>
        <v>0</v>
      </c>
      <c r="BF70" s="93">
        <f>Modeloutput!F880/1000</f>
        <v>0</v>
      </c>
      <c r="BG70" s="93">
        <f>Modeloutput!G880/1000</f>
        <v>0</v>
      </c>
      <c r="BH70" s="93">
        <f>Modeloutput!H880/1000</f>
        <v>0</v>
      </c>
      <c r="BI70" s="93">
        <f>Modeloutput!I880/1000</f>
        <v>0</v>
      </c>
      <c r="BJ70" s="93">
        <f>Modeloutput!J880/1000</f>
        <v>0</v>
      </c>
      <c r="BK70" s="93">
        <f>Modeloutput!K880/1000</f>
        <v>0</v>
      </c>
      <c r="BL70" s="93">
        <f>Modeloutput!L880/1000</f>
        <v>0</v>
      </c>
      <c r="BM70" s="93">
        <f>Modeloutput!M880/1000</f>
        <v>0</v>
      </c>
      <c r="BN70" s="93">
        <f>Modeloutput!N880/1000</f>
        <v>0</v>
      </c>
      <c r="BO70" s="93">
        <f>Modeloutput!O880/1000</f>
        <v>0</v>
      </c>
      <c r="BP70" s="93">
        <f>Modeloutput!P880/1000</f>
        <v>0</v>
      </c>
      <c r="BR70" s="7" t="s">
        <v>10</v>
      </c>
      <c r="BS70" s="93">
        <f>Modeloutput!B1135/1000</f>
        <v>0</v>
      </c>
      <c r="BT70" s="93">
        <f>Modeloutput!C1135/1000</f>
        <v>0</v>
      </c>
      <c r="BU70" s="93">
        <f>Modeloutput!D1135/1000</f>
        <v>0</v>
      </c>
      <c r="BV70" s="93">
        <f>Modeloutput!E1135/1000</f>
        <v>0</v>
      </c>
      <c r="BW70" s="93">
        <f>Modeloutput!F1135/1000</f>
        <v>0</v>
      </c>
      <c r="BX70" s="93">
        <f>Modeloutput!G1135/1000</f>
        <v>0</v>
      </c>
      <c r="BY70" s="93">
        <f>Modeloutput!H1135/1000</f>
        <v>0</v>
      </c>
      <c r="BZ70" s="93">
        <f>Modeloutput!I1135/1000</f>
        <v>0</v>
      </c>
      <c r="CA70" s="93">
        <f>Modeloutput!J1135/1000</f>
        <v>0</v>
      </c>
      <c r="CB70" s="93">
        <f>Modeloutput!K1135/1000</f>
        <v>0</v>
      </c>
      <c r="CC70" s="93">
        <f>Modeloutput!L1135/1000</f>
        <v>0</v>
      </c>
      <c r="CD70" s="93">
        <f>Modeloutput!M1135/1000</f>
        <v>0</v>
      </c>
      <c r="CE70" s="93">
        <f>Modeloutput!N1135/1000</f>
        <v>0</v>
      </c>
      <c r="CF70" s="93">
        <f>Modeloutput!O1135/1000</f>
        <v>0</v>
      </c>
      <c r="CG70" s="93">
        <f>Modeloutput!P1135/1000</f>
        <v>0</v>
      </c>
    </row>
    <row r="71" spans="2:85" s="7" customFormat="1" x14ac:dyDescent="0.25">
      <c r="B71" s="7" t="s">
        <v>11</v>
      </c>
      <c r="C71" s="93">
        <f>Modeloutput!B116/1000</f>
        <v>0</v>
      </c>
      <c r="D71" s="93">
        <f>Modeloutput!C116/1000</f>
        <v>0</v>
      </c>
      <c r="E71" s="93">
        <f>Modeloutput!D116/1000</f>
        <v>0</v>
      </c>
      <c r="F71" s="93">
        <f>Modeloutput!E116/1000</f>
        <v>0</v>
      </c>
      <c r="G71" s="93">
        <f>Modeloutput!F116/1000</f>
        <v>0</v>
      </c>
      <c r="H71" s="93">
        <f>Modeloutput!G116/1000</f>
        <v>0</v>
      </c>
      <c r="I71" s="93">
        <f>Modeloutput!H116/1000</f>
        <v>0</v>
      </c>
      <c r="J71" s="93">
        <f>Modeloutput!I116/1000</f>
        <v>0</v>
      </c>
      <c r="K71" s="93">
        <f>Modeloutput!J116/1000</f>
        <v>0</v>
      </c>
      <c r="L71" s="93">
        <f>Modeloutput!K116/1000</f>
        <v>0</v>
      </c>
      <c r="M71" s="93">
        <f>Modeloutput!L116/1000</f>
        <v>0</v>
      </c>
      <c r="N71" s="93">
        <f>Modeloutput!M116/1000</f>
        <v>0</v>
      </c>
      <c r="O71" s="93">
        <f>Modeloutput!N116/1000</f>
        <v>0</v>
      </c>
      <c r="P71" s="93">
        <f>Modeloutput!O116/1000</f>
        <v>0</v>
      </c>
      <c r="Q71" s="93">
        <f>Modeloutput!P116/1000</f>
        <v>0</v>
      </c>
      <c r="S71" s="7" t="s">
        <v>11</v>
      </c>
      <c r="T71" s="93">
        <f>Modeloutput!B371/1000</f>
        <v>0</v>
      </c>
      <c r="U71" s="93">
        <f>Modeloutput!C371/1000</f>
        <v>0</v>
      </c>
      <c r="V71" s="93">
        <f>Modeloutput!D371/1000</f>
        <v>0</v>
      </c>
      <c r="W71" s="93">
        <f>Modeloutput!E371/1000</f>
        <v>0</v>
      </c>
      <c r="X71" s="93">
        <f>Modeloutput!F371/1000</f>
        <v>0</v>
      </c>
      <c r="Y71" s="93">
        <f>Modeloutput!G371/1000</f>
        <v>0</v>
      </c>
      <c r="Z71" s="93">
        <f>Modeloutput!H371/1000</f>
        <v>0</v>
      </c>
      <c r="AA71" s="93">
        <f>Modeloutput!I371/1000</f>
        <v>0</v>
      </c>
      <c r="AB71" s="93">
        <f>Modeloutput!J371/1000</f>
        <v>0</v>
      </c>
      <c r="AC71" s="93">
        <f>Modeloutput!K371/1000</f>
        <v>0</v>
      </c>
      <c r="AD71" s="93">
        <f>Modeloutput!L371/1000</f>
        <v>0</v>
      </c>
      <c r="AE71" s="93">
        <f>Modeloutput!M371/1000</f>
        <v>0</v>
      </c>
      <c r="AF71" s="93">
        <f>Modeloutput!N371/1000</f>
        <v>0</v>
      </c>
      <c r="AG71" s="93">
        <f>Modeloutput!O371/1000</f>
        <v>0</v>
      </c>
      <c r="AH71" s="93">
        <f>Modeloutput!P371/1000</f>
        <v>0</v>
      </c>
      <c r="AJ71" s="7" t="s">
        <v>11</v>
      </c>
      <c r="AK71" s="93">
        <f>Modeloutput!B626/1000</f>
        <v>0</v>
      </c>
      <c r="AL71" s="93">
        <f>Modeloutput!C626/1000</f>
        <v>0</v>
      </c>
      <c r="AM71" s="93">
        <f>Modeloutput!D626/1000</f>
        <v>0</v>
      </c>
      <c r="AN71" s="93">
        <f>Modeloutput!E626/1000</f>
        <v>0</v>
      </c>
      <c r="AO71" s="93">
        <f>Modeloutput!F626/1000</f>
        <v>0</v>
      </c>
      <c r="AP71" s="93">
        <f>Modeloutput!G626/1000</f>
        <v>0</v>
      </c>
      <c r="AQ71" s="93">
        <f>Modeloutput!H626/1000</f>
        <v>0</v>
      </c>
      <c r="AR71" s="93">
        <f>Modeloutput!I626/1000</f>
        <v>0</v>
      </c>
      <c r="AS71" s="93">
        <f>Modeloutput!J626/1000</f>
        <v>0</v>
      </c>
      <c r="AT71" s="93">
        <f>Modeloutput!K626/1000</f>
        <v>0</v>
      </c>
      <c r="AU71" s="93">
        <f>Modeloutput!L626/1000</f>
        <v>0</v>
      </c>
      <c r="AV71" s="93">
        <f>Modeloutput!M626/1000</f>
        <v>0</v>
      </c>
      <c r="AW71" s="93">
        <f>Modeloutput!N626/1000</f>
        <v>0</v>
      </c>
      <c r="AX71" s="93">
        <f>Modeloutput!O626/1000</f>
        <v>0</v>
      </c>
      <c r="AY71" s="93">
        <f>Modeloutput!P626/1000</f>
        <v>0</v>
      </c>
      <c r="BA71" s="7" t="s">
        <v>11</v>
      </c>
      <c r="BB71" s="93">
        <f>Modeloutput!B881/1000</f>
        <v>0</v>
      </c>
      <c r="BC71" s="93">
        <f>Modeloutput!C881/1000</f>
        <v>0</v>
      </c>
      <c r="BD71" s="93">
        <f>Modeloutput!D881/1000</f>
        <v>0</v>
      </c>
      <c r="BE71" s="93">
        <f>Modeloutput!E881/1000</f>
        <v>0</v>
      </c>
      <c r="BF71" s="93">
        <f>Modeloutput!F881/1000</f>
        <v>0</v>
      </c>
      <c r="BG71" s="93">
        <f>Modeloutput!G881/1000</f>
        <v>0</v>
      </c>
      <c r="BH71" s="93">
        <f>Modeloutput!H881/1000</f>
        <v>0</v>
      </c>
      <c r="BI71" s="93">
        <f>Modeloutput!I881/1000</f>
        <v>0</v>
      </c>
      <c r="BJ71" s="93">
        <f>Modeloutput!J881/1000</f>
        <v>0</v>
      </c>
      <c r="BK71" s="93">
        <f>Modeloutput!K881/1000</f>
        <v>0</v>
      </c>
      <c r="BL71" s="93">
        <f>Modeloutput!L881/1000</f>
        <v>0</v>
      </c>
      <c r="BM71" s="93">
        <f>Modeloutput!M881/1000</f>
        <v>0</v>
      </c>
      <c r="BN71" s="93">
        <f>Modeloutput!N881/1000</f>
        <v>0</v>
      </c>
      <c r="BO71" s="93">
        <f>Modeloutput!O881/1000</f>
        <v>0</v>
      </c>
      <c r="BP71" s="93">
        <f>Modeloutput!P881/1000</f>
        <v>0</v>
      </c>
      <c r="BR71" s="7" t="s">
        <v>11</v>
      </c>
      <c r="BS71" s="93">
        <f>Modeloutput!B1136/1000</f>
        <v>0</v>
      </c>
      <c r="BT71" s="93">
        <f>Modeloutput!C1136/1000</f>
        <v>0</v>
      </c>
      <c r="BU71" s="93">
        <f>Modeloutput!D1136/1000</f>
        <v>0</v>
      </c>
      <c r="BV71" s="93">
        <f>Modeloutput!E1136/1000</f>
        <v>0</v>
      </c>
      <c r="BW71" s="93">
        <f>Modeloutput!F1136/1000</f>
        <v>0</v>
      </c>
      <c r="BX71" s="93">
        <f>Modeloutput!G1136/1000</f>
        <v>0</v>
      </c>
      <c r="BY71" s="93">
        <f>Modeloutput!H1136/1000</f>
        <v>0</v>
      </c>
      <c r="BZ71" s="93">
        <f>Modeloutput!I1136/1000</f>
        <v>0</v>
      </c>
      <c r="CA71" s="93">
        <f>Modeloutput!J1136/1000</f>
        <v>0</v>
      </c>
      <c r="CB71" s="93">
        <f>Modeloutput!K1136/1000</f>
        <v>0</v>
      </c>
      <c r="CC71" s="93">
        <f>Modeloutput!L1136/1000</f>
        <v>0</v>
      </c>
      <c r="CD71" s="93">
        <f>Modeloutput!M1136/1000</f>
        <v>0</v>
      </c>
      <c r="CE71" s="93">
        <f>Modeloutput!N1136/1000</f>
        <v>0</v>
      </c>
      <c r="CF71" s="93">
        <f>Modeloutput!O1136/1000</f>
        <v>0</v>
      </c>
      <c r="CG71" s="93">
        <f>Modeloutput!P1136/1000</f>
        <v>0</v>
      </c>
    </row>
    <row r="72" spans="2:85" s="7" customFormat="1" x14ac:dyDescent="0.25">
      <c r="B72" s="7" t="s">
        <v>12</v>
      </c>
      <c r="C72" s="93">
        <f>Modeloutput!B117/1000</f>
        <v>0</v>
      </c>
      <c r="D72" s="93">
        <f>Modeloutput!C117/1000</f>
        <v>0</v>
      </c>
      <c r="E72" s="93">
        <f>Modeloutput!D117/1000</f>
        <v>0</v>
      </c>
      <c r="F72" s="93">
        <f>Modeloutput!E117/1000</f>
        <v>0</v>
      </c>
      <c r="G72" s="93">
        <f>Modeloutput!F117/1000</f>
        <v>0</v>
      </c>
      <c r="H72" s="93">
        <f>Modeloutput!G117/1000</f>
        <v>0</v>
      </c>
      <c r="I72" s="93">
        <f>Modeloutput!H117/1000</f>
        <v>0</v>
      </c>
      <c r="J72" s="93">
        <f>Modeloutput!I117/1000</f>
        <v>0</v>
      </c>
      <c r="K72" s="93">
        <f>Modeloutput!J117/1000</f>
        <v>0</v>
      </c>
      <c r="L72" s="93">
        <f>Modeloutput!K117/1000</f>
        <v>0</v>
      </c>
      <c r="M72" s="93">
        <f>Modeloutput!L117/1000</f>
        <v>0</v>
      </c>
      <c r="N72" s="93">
        <f>Modeloutput!M117/1000</f>
        <v>0</v>
      </c>
      <c r="O72" s="93">
        <f>Modeloutput!N117/1000</f>
        <v>0</v>
      </c>
      <c r="P72" s="93">
        <f>Modeloutput!O117/1000</f>
        <v>0</v>
      </c>
      <c r="Q72" s="93">
        <f>Modeloutput!P117/1000</f>
        <v>0</v>
      </c>
      <c r="S72" s="7" t="s">
        <v>12</v>
      </c>
      <c r="T72" s="93">
        <f>Modeloutput!B372/1000</f>
        <v>0</v>
      </c>
      <c r="U72" s="93">
        <f>Modeloutput!C372/1000</f>
        <v>0</v>
      </c>
      <c r="V72" s="93">
        <f>Modeloutput!D372/1000</f>
        <v>0</v>
      </c>
      <c r="W72" s="93">
        <f>Modeloutput!E372/1000</f>
        <v>0</v>
      </c>
      <c r="X72" s="93">
        <f>Modeloutput!F372/1000</f>
        <v>0</v>
      </c>
      <c r="Y72" s="93">
        <f>Modeloutput!G372/1000</f>
        <v>0</v>
      </c>
      <c r="Z72" s="93">
        <f>Modeloutput!H372/1000</f>
        <v>0</v>
      </c>
      <c r="AA72" s="93">
        <f>Modeloutput!I372/1000</f>
        <v>0</v>
      </c>
      <c r="AB72" s="93">
        <f>Modeloutput!J372/1000</f>
        <v>0</v>
      </c>
      <c r="AC72" s="93">
        <f>Modeloutput!K372/1000</f>
        <v>0</v>
      </c>
      <c r="AD72" s="93">
        <f>Modeloutput!L372/1000</f>
        <v>0</v>
      </c>
      <c r="AE72" s="93">
        <f>Modeloutput!M372/1000</f>
        <v>0</v>
      </c>
      <c r="AF72" s="93">
        <f>Modeloutput!N372/1000</f>
        <v>0</v>
      </c>
      <c r="AG72" s="93">
        <f>Modeloutput!O372/1000</f>
        <v>0</v>
      </c>
      <c r="AH72" s="93">
        <f>Modeloutput!P372/1000</f>
        <v>0</v>
      </c>
      <c r="AJ72" s="7" t="s">
        <v>12</v>
      </c>
      <c r="AK72" s="93">
        <f>Modeloutput!B627/1000</f>
        <v>0</v>
      </c>
      <c r="AL72" s="93">
        <f>Modeloutput!C627/1000</f>
        <v>0</v>
      </c>
      <c r="AM72" s="93">
        <f>Modeloutput!D627/1000</f>
        <v>0</v>
      </c>
      <c r="AN72" s="93">
        <f>Modeloutput!E627/1000</f>
        <v>0</v>
      </c>
      <c r="AO72" s="93">
        <f>Modeloutput!F627/1000</f>
        <v>0</v>
      </c>
      <c r="AP72" s="93">
        <f>Modeloutput!G627/1000</f>
        <v>0</v>
      </c>
      <c r="AQ72" s="93">
        <f>Modeloutput!H627/1000</f>
        <v>0</v>
      </c>
      <c r="AR72" s="93">
        <f>Modeloutput!I627/1000</f>
        <v>0</v>
      </c>
      <c r="AS72" s="93">
        <f>Modeloutput!J627/1000</f>
        <v>0</v>
      </c>
      <c r="AT72" s="93">
        <f>Modeloutput!K627/1000</f>
        <v>0</v>
      </c>
      <c r="AU72" s="93">
        <f>Modeloutput!L627/1000</f>
        <v>0</v>
      </c>
      <c r="AV72" s="93">
        <f>Modeloutput!M627/1000</f>
        <v>0</v>
      </c>
      <c r="AW72" s="93">
        <f>Modeloutput!N627/1000</f>
        <v>0</v>
      </c>
      <c r="AX72" s="93">
        <f>Modeloutput!O627/1000</f>
        <v>0</v>
      </c>
      <c r="AY72" s="93">
        <f>Modeloutput!P627/1000</f>
        <v>0</v>
      </c>
      <c r="BA72" s="7" t="s">
        <v>12</v>
      </c>
      <c r="BB72" s="93">
        <f>Modeloutput!B882/1000</f>
        <v>0</v>
      </c>
      <c r="BC72" s="93">
        <f>Modeloutput!C882/1000</f>
        <v>0</v>
      </c>
      <c r="BD72" s="93">
        <f>Modeloutput!D882/1000</f>
        <v>0</v>
      </c>
      <c r="BE72" s="93">
        <f>Modeloutput!E882/1000</f>
        <v>0</v>
      </c>
      <c r="BF72" s="93">
        <f>Modeloutput!F882/1000</f>
        <v>0</v>
      </c>
      <c r="BG72" s="93">
        <f>Modeloutput!G882/1000</f>
        <v>0</v>
      </c>
      <c r="BH72" s="93">
        <f>Modeloutput!H882/1000</f>
        <v>0</v>
      </c>
      <c r="BI72" s="93">
        <f>Modeloutput!I882/1000</f>
        <v>0</v>
      </c>
      <c r="BJ72" s="93">
        <f>Modeloutput!J882/1000</f>
        <v>0</v>
      </c>
      <c r="BK72" s="93">
        <f>Modeloutput!K882/1000</f>
        <v>0</v>
      </c>
      <c r="BL72" s="93">
        <f>Modeloutput!L882/1000</f>
        <v>0</v>
      </c>
      <c r="BM72" s="93">
        <f>Modeloutput!M882/1000</f>
        <v>0</v>
      </c>
      <c r="BN72" s="93">
        <f>Modeloutput!N882/1000</f>
        <v>0</v>
      </c>
      <c r="BO72" s="93">
        <f>Modeloutput!O882/1000</f>
        <v>0</v>
      </c>
      <c r="BP72" s="93">
        <f>Modeloutput!P882/1000</f>
        <v>0</v>
      </c>
      <c r="BR72" s="7" t="s">
        <v>12</v>
      </c>
      <c r="BS72" s="93">
        <f>Modeloutput!B1137/1000</f>
        <v>0</v>
      </c>
      <c r="BT72" s="93">
        <f>Modeloutput!C1137/1000</f>
        <v>0</v>
      </c>
      <c r="BU72" s="93">
        <f>Modeloutput!D1137/1000</f>
        <v>0</v>
      </c>
      <c r="BV72" s="93">
        <f>Modeloutput!E1137/1000</f>
        <v>0</v>
      </c>
      <c r="BW72" s="93">
        <f>Modeloutput!F1137/1000</f>
        <v>0</v>
      </c>
      <c r="BX72" s="93">
        <f>Modeloutput!G1137/1000</f>
        <v>0</v>
      </c>
      <c r="BY72" s="93">
        <f>Modeloutput!H1137/1000</f>
        <v>0</v>
      </c>
      <c r="BZ72" s="93">
        <f>Modeloutput!I1137/1000</f>
        <v>0</v>
      </c>
      <c r="CA72" s="93">
        <f>Modeloutput!J1137/1000</f>
        <v>0</v>
      </c>
      <c r="CB72" s="93">
        <f>Modeloutput!K1137/1000</f>
        <v>0</v>
      </c>
      <c r="CC72" s="93">
        <f>Modeloutput!L1137/1000</f>
        <v>0</v>
      </c>
      <c r="CD72" s="93">
        <f>Modeloutput!M1137/1000</f>
        <v>0</v>
      </c>
      <c r="CE72" s="93">
        <f>Modeloutput!N1137/1000</f>
        <v>0</v>
      </c>
      <c r="CF72" s="93">
        <f>Modeloutput!O1137/1000</f>
        <v>0</v>
      </c>
      <c r="CG72" s="93">
        <f>Modeloutput!P1137/1000</f>
        <v>0</v>
      </c>
    </row>
    <row r="73" spans="2:85" s="7" customFormat="1" x14ac:dyDescent="0.25">
      <c r="B73" s="7" t="s">
        <v>13</v>
      </c>
      <c r="C73" s="93">
        <f>Modeloutput!B118/1000</f>
        <v>0</v>
      </c>
      <c r="D73" s="93">
        <f>Modeloutput!C118/1000</f>
        <v>0</v>
      </c>
      <c r="E73" s="93">
        <f>Modeloutput!D118/1000</f>
        <v>0</v>
      </c>
      <c r="F73" s="93">
        <f>Modeloutput!E118/1000</f>
        <v>0</v>
      </c>
      <c r="G73" s="93">
        <f>Modeloutput!F118/1000</f>
        <v>0</v>
      </c>
      <c r="H73" s="93">
        <f>Modeloutput!G118/1000</f>
        <v>0</v>
      </c>
      <c r="I73" s="93">
        <f>Modeloutput!H118/1000</f>
        <v>0</v>
      </c>
      <c r="J73" s="93">
        <f>Modeloutput!I118/1000</f>
        <v>0</v>
      </c>
      <c r="K73" s="93">
        <f>Modeloutput!J118/1000</f>
        <v>0</v>
      </c>
      <c r="L73" s="93">
        <f>Modeloutput!K118/1000</f>
        <v>0</v>
      </c>
      <c r="M73" s="93">
        <f>Modeloutput!L118/1000</f>
        <v>0</v>
      </c>
      <c r="N73" s="93">
        <f>Modeloutput!M118/1000</f>
        <v>0</v>
      </c>
      <c r="O73" s="93">
        <f>Modeloutput!N118/1000</f>
        <v>0</v>
      </c>
      <c r="P73" s="93">
        <f>Modeloutput!O118/1000</f>
        <v>0</v>
      </c>
      <c r="Q73" s="93">
        <f>Modeloutput!P118/1000</f>
        <v>0</v>
      </c>
      <c r="S73" s="7" t="s">
        <v>13</v>
      </c>
      <c r="T73" s="93">
        <f>Modeloutput!B373/1000</f>
        <v>0</v>
      </c>
      <c r="U73" s="93">
        <f>Modeloutput!C373/1000</f>
        <v>0</v>
      </c>
      <c r="V73" s="93">
        <f>Modeloutput!D373/1000</f>
        <v>0</v>
      </c>
      <c r="W73" s="93">
        <f>Modeloutput!E373/1000</f>
        <v>0</v>
      </c>
      <c r="X73" s="93">
        <f>Modeloutput!F373/1000</f>
        <v>0</v>
      </c>
      <c r="Y73" s="93">
        <f>Modeloutput!G373/1000</f>
        <v>0</v>
      </c>
      <c r="Z73" s="93">
        <f>Modeloutput!H373/1000</f>
        <v>0</v>
      </c>
      <c r="AA73" s="93">
        <f>Modeloutput!I373/1000</f>
        <v>0</v>
      </c>
      <c r="AB73" s="93">
        <f>Modeloutput!J373/1000</f>
        <v>0</v>
      </c>
      <c r="AC73" s="93">
        <f>Modeloutput!K373/1000</f>
        <v>0</v>
      </c>
      <c r="AD73" s="93">
        <f>Modeloutput!L373/1000</f>
        <v>0</v>
      </c>
      <c r="AE73" s="93">
        <f>Modeloutput!M373/1000</f>
        <v>0</v>
      </c>
      <c r="AF73" s="93">
        <f>Modeloutput!N373/1000</f>
        <v>0</v>
      </c>
      <c r="AG73" s="93">
        <f>Modeloutput!O373/1000</f>
        <v>0</v>
      </c>
      <c r="AH73" s="93">
        <f>Modeloutput!P373/1000</f>
        <v>0</v>
      </c>
      <c r="AJ73" s="7" t="s">
        <v>13</v>
      </c>
      <c r="AK73" s="93">
        <f>Modeloutput!B628/1000</f>
        <v>0</v>
      </c>
      <c r="AL73" s="93">
        <f>Modeloutput!C628/1000</f>
        <v>0</v>
      </c>
      <c r="AM73" s="93">
        <f>Modeloutput!D628/1000</f>
        <v>0</v>
      </c>
      <c r="AN73" s="93">
        <f>Modeloutput!E628/1000</f>
        <v>0</v>
      </c>
      <c r="AO73" s="93">
        <f>Modeloutput!F628/1000</f>
        <v>0</v>
      </c>
      <c r="AP73" s="93">
        <f>Modeloutput!G628/1000</f>
        <v>0</v>
      </c>
      <c r="AQ73" s="93">
        <f>Modeloutput!H628/1000</f>
        <v>0</v>
      </c>
      <c r="AR73" s="93">
        <f>Modeloutput!I628/1000</f>
        <v>0</v>
      </c>
      <c r="AS73" s="93">
        <f>Modeloutput!J628/1000</f>
        <v>0</v>
      </c>
      <c r="AT73" s="93">
        <f>Modeloutput!K628/1000</f>
        <v>0</v>
      </c>
      <c r="AU73" s="93">
        <f>Modeloutput!L628/1000</f>
        <v>0</v>
      </c>
      <c r="AV73" s="93">
        <f>Modeloutput!M628/1000</f>
        <v>0</v>
      </c>
      <c r="AW73" s="93">
        <f>Modeloutput!N628/1000</f>
        <v>0</v>
      </c>
      <c r="AX73" s="93">
        <f>Modeloutput!O628/1000</f>
        <v>0</v>
      </c>
      <c r="AY73" s="93">
        <f>Modeloutput!P628/1000</f>
        <v>0</v>
      </c>
      <c r="BA73" s="7" t="s">
        <v>13</v>
      </c>
      <c r="BB73" s="93">
        <f>Modeloutput!B883/1000</f>
        <v>0</v>
      </c>
      <c r="BC73" s="93">
        <f>Modeloutput!C883/1000</f>
        <v>0</v>
      </c>
      <c r="BD73" s="93">
        <f>Modeloutput!D883/1000</f>
        <v>0</v>
      </c>
      <c r="BE73" s="93">
        <f>Modeloutput!E883/1000</f>
        <v>0</v>
      </c>
      <c r="BF73" s="93">
        <f>Modeloutput!F883/1000</f>
        <v>0</v>
      </c>
      <c r="BG73" s="93">
        <f>Modeloutput!G883/1000</f>
        <v>0</v>
      </c>
      <c r="BH73" s="93">
        <f>Modeloutput!H883/1000</f>
        <v>0</v>
      </c>
      <c r="BI73" s="93">
        <f>Modeloutput!I883/1000</f>
        <v>0</v>
      </c>
      <c r="BJ73" s="93">
        <f>Modeloutput!J883/1000</f>
        <v>0</v>
      </c>
      <c r="BK73" s="93">
        <f>Modeloutput!K883/1000</f>
        <v>0</v>
      </c>
      <c r="BL73" s="93">
        <f>Modeloutput!L883/1000</f>
        <v>0</v>
      </c>
      <c r="BM73" s="93">
        <f>Modeloutput!M883/1000</f>
        <v>0</v>
      </c>
      <c r="BN73" s="93">
        <f>Modeloutput!N883/1000</f>
        <v>0</v>
      </c>
      <c r="BO73" s="93">
        <f>Modeloutput!O883/1000</f>
        <v>0</v>
      </c>
      <c r="BP73" s="93">
        <f>Modeloutput!P883/1000</f>
        <v>0</v>
      </c>
      <c r="BR73" s="7" t="s">
        <v>13</v>
      </c>
      <c r="BS73" s="93">
        <f>Modeloutput!B1138/1000</f>
        <v>0</v>
      </c>
      <c r="BT73" s="93">
        <f>Modeloutput!C1138/1000</f>
        <v>0</v>
      </c>
      <c r="BU73" s="93">
        <f>Modeloutput!D1138/1000</f>
        <v>0</v>
      </c>
      <c r="BV73" s="93">
        <f>Modeloutput!E1138/1000</f>
        <v>0</v>
      </c>
      <c r="BW73" s="93">
        <f>Modeloutput!F1138/1000</f>
        <v>0</v>
      </c>
      <c r="BX73" s="93">
        <f>Modeloutput!G1138/1000</f>
        <v>0</v>
      </c>
      <c r="BY73" s="93">
        <f>Modeloutput!H1138/1000</f>
        <v>0</v>
      </c>
      <c r="BZ73" s="93">
        <f>Modeloutput!I1138/1000</f>
        <v>0</v>
      </c>
      <c r="CA73" s="93">
        <f>Modeloutput!J1138/1000</f>
        <v>0</v>
      </c>
      <c r="CB73" s="93">
        <f>Modeloutput!K1138/1000</f>
        <v>0</v>
      </c>
      <c r="CC73" s="93">
        <f>Modeloutput!L1138/1000</f>
        <v>0</v>
      </c>
      <c r="CD73" s="93">
        <f>Modeloutput!M1138/1000</f>
        <v>0</v>
      </c>
      <c r="CE73" s="93">
        <f>Modeloutput!N1138/1000</f>
        <v>0</v>
      </c>
      <c r="CF73" s="93">
        <f>Modeloutput!O1138/1000</f>
        <v>0</v>
      </c>
      <c r="CG73" s="93">
        <f>Modeloutput!P1138/1000</f>
        <v>0</v>
      </c>
    </row>
    <row r="74" spans="2:85" s="7" customFormat="1" x14ac:dyDescent="0.25">
      <c r="B74" s="7" t="s">
        <v>14</v>
      </c>
      <c r="C74" s="93">
        <f>Modeloutput!B119/1000</f>
        <v>0</v>
      </c>
      <c r="D74" s="93">
        <f>Modeloutput!C119/1000</f>
        <v>0</v>
      </c>
      <c r="E74" s="93">
        <f>Modeloutput!D119/1000</f>
        <v>0</v>
      </c>
      <c r="F74" s="93">
        <f>Modeloutput!E119/1000</f>
        <v>0</v>
      </c>
      <c r="G74" s="93">
        <f>Modeloutput!F119/1000</f>
        <v>0</v>
      </c>
      <c r="H74" s="93">
        <f>Modeloutput!G119/1000</f>
        <v>0</v>
      </c>
      <c r="I74" s="93">
        <f>Modeloutput!H119/1000</f>
        <v>0</v>
      </c>
      <c r="J74" s="93">
        <f>Modeloutput!I119/1000</f>
        <v>0</v>
      </c>
      <c r="K74" s="93">
        <f>Modeloutput!J119/1000</f>
        <v>0</v>
      </c>
      <c r="L74" s="93">
        <f>Modeloutput!K119/1000</f>
        <v>0</v>
      </c>
      <c r="M74" s="93">
        <f>Modeloutput!L119/1000</f>
        <v>0</v>
      </c>
      <c r="N74" s="93">
        <f>Modeloutput!M119/1000</f>
        <v>0</v>
      </c>
      <c r="O74" s="93">
        <f>Modeloutput!N119/1000</f>
        <v>0</v>
      </c>
      <c r="P74" s="93">
        <f>Modeloutput!O119/1000</f>
        <v>0</v>
      </c>
      <c r="Q74" s="93">
        <f>Modeloutput!P119/1000</f>
        <v>0</v>
      </c>
      <c r="S74" s="7" t="s">
        <v>14</v>
      </c>
      <c r="T74" s="93">
        <f>Modeloutput!B374/1000</f>
        <v>0</v>
      </c>
      <c r="U74" s="93">
        <f>Modeloutput!C374/1000</f>
        <v>0</v>
      </c>
      <c r="V74" s="93">
        <f>Modeloutput!D374/1000</f>
        <v>0</v>
      </c>
      <c r="W74" s="93">
        <f>Modeloutput!E374/1000</f>
        <v>0</v>
      </c>
      <c r="X74" s="93">
        <f>Modeloutput!F374/1000</f>
        <v>0</v>
      </c>
      <c r="Y74" s="93">
        <f>Modeloutput!G374/1000</f>
        <v>0</v>
      </c>
      <c r="Z74" s="93">
        <f>Modeloutput!H374/1000</f>
        <v>0</v>
      </c>
      <c r="AA74" s="93">
        <f>Modeloutput!I374/1000</f>
        <v>0</v>
      </c>
      <c r="AB74" s="93">
        <f>Modeloutput!J374/1000</f>
        <v>0</v>
      </c>
      <c r="AC74" s="93">
        <f>Modeloutput!K374/1000</f>
        <v>0</v>
      </c>
      <c r="AD74" s="93">
        <f>Modeloutput!L374/1000</f>
        <v>0</v>
      </c>
      <c r="AE74" s="93">
        <f>Modeloutput!M374/1000</f>
        <v>0</v>
      </c>
      <c r="AF74" s="93">
        <f>Modeloutput!N374/1000</f>
        <v>0</v>
      </c>
      <c r="AG74" s="93">
        <f>Modeloutput!O374/1000</f>
        <v>0</v>
      </c>
      <c r="AH74" s="93">
        <f>Modeloutput!P374/1000</f>
        <v>0</v>
      </c>
      <c r="AJ74" s="7" t="s">
        <v>14</v>
      </c>
      <c r="AK74" s="93">
        <f>Modeloutput!B629/1000</f>
        <v>0</v>
      </c>
      <c r="AL74" s="93">
        <f>Modeloutput!C629/1000</f>
        <v>0</v>
      </c>
      <c r="AM74" s="93">
        <f>Modeloutput!D629/1000</f>
        <v>0</v>
      </c>
      <c r="AN74" s="93">
        <f>Modeloutput!E629/1000</f>
        <v>0</v>
      </c>
      <c r="AO74" s="93">
        <f>Modeloutput!F629/1000</f>
        <v>0</v>
      </c>
      <c r="AP74" s="93">
        <f>Modeloutput!G629/1000</f>
        <v>0</v>
      </c>
      <c r="AQ74" s="93">
        <f>Modeloutput!H629/1000</f>
        <v>0</v>
      </c>
      <c r="AR74" s="93">
        <f>Modeloutput!I629/1000</f>
        <v>0</v>
      </c>
      <c r="AS74" s="93">
        <f>Modeloutput!J629/1000</f>
        <v>0</v>
      </c>
      <c r="AT74" s="93">
        <f>Modeloutput!K629/1000</f>
        <v>0</v>
      </c>
      <c r="AU74" s="93">
        <f>Modeloutput!L629/1000</f>
        <v>0</v>
      </c>
      <c r="AV74" s="93">
        <f>Modeloutput!M629/1000</f>
        <v>0</v>
      </c>
      <c r="AW74" s="93">
        <f>Modeloutput!N629/1000</f>
        <v>0</v>
      </c>
      <c r="AX74" s="93">
        <f>Modeloutput!O629/1000</f>
        <v>0</v>
      </c>
      <c r="AY74" s="93">
        <f>Modeloutput!P629/1000</f>
        <v>0</v>
      </c>
      <c r="BA74" s="7" t="s">
        <v>14</v>
      </c>
      <c r="BB74" s="93">
        <f>Modeloutput!B884/1000</f>
        <v>0</v>
      </c>
      <c r="BC74" s="93">
        <f>Modeloutput!C884/1000</f>
        <v>0</v>
      </c>
      <c r="BD74" s="93">
        <f>Modeloutput!D884/1000</f>
        <v>0</v>
      </c>
      <c r="BE74" s="93">
        <f>Modeloutput!E884/1000</f>
        <v>0</v>
      </c>
      <c r="BF74" s="93">
        <f>Modeloutput!F884/1000</f>
        <v>0</v>
      </c>
      <c r="BG74" s="93">
        <f>Modeloutput!G884/1000</f>
        <v>0</v>
      </c>
      <c r="BH74" s="93">
        <f>Modeloutput!H884/1000</f>
        <v>0</v>
      </c>
      <c r="BI74" s="93">
        <f>Modeloutput!I884/1000</f>
        <v>0</v>
      </c>
      <c r="BJ74" s="93">
        <f>Modeloutput!J884/1000</f>
        <v>0</v>
      </c>
      <c r="BK74" s="93">
        <f>Modeloutput!K884/1000</f>
        <v>0</v>
      </c>
      <c r="BL74" s="93">
        <f>Modeloutput!L884/1000</f>
        <v>0</v>
      </c>
      <c r="BM74" s="93">
        <f>Modeloutput!M884/1000</f>
        <v>0</v>
      </c>
      <c r="BN74" s="93">
        <f>Modeloutput!N884/1000</f>
        <v>0</v>
      </c>
      <c r="BO74" s="93">
        <f>Modeloutput!O884/1000</f>
        <v>0</v>
      </c>
      <c r="BP74" s="93">
        <f>Modeloutput!P884/1000</f>
        <v>0</v>
      </c>
      <c r="BR74" s="7" t="s">
        <v>14</v>
      </c>
      <c r="BS74" s="93">
        <f>Modeloutput!B1139/1000</f>
        <v>0</v>
      </c>
      <c r="BT74" s="93">
        <f>Modeloutput!C1139/1000</f>
        <v>0</v>
      </c>
      <c r="BU74" s="93">
        <f>Modeloutput!D1139/1000</f>
        <v>0</v>
      </c>
      <c r="BV74" s="93">
        <f>Modeloutput!E1139/1000</f>
        <v>0</v>
      </c>
      <c r="BW74" s="93">
        <f>Modeloutput!F1139/1000</f>
        <v>0</v>
      </c>
      <c r="BX74" s="93">
        <f>Modeloutput!G1139/1000</f>
        <v>0</v>
      </c>
      <c r="BY74" s="93">
        <f>Modeloutput!H1139/1000</f>
        <v>0</v>
      </c>
      <c r="BZ74" s="93">
        <f>Modeloutput!I1139/1000</f>
        <v>0</v>
      </c>
      <c r="CA74" s="93">
        <f>Modeloutput!J1139/1000</f>
        <v>0</v>
      </c>
      <c r="CB74" s="93">
        <f>Modeloutput!K1139/1000</f>
        <v>0</v>
      </c>
      <c r="CC74" s="93">
        <f>Modeloutput!L1139/1000</f>
        <v>0</v>
      </c>
      <c r="CD74" s="93">
        <f>Modeloutput!M1139/1000</f>
        <v>0</v>
      </c>
      <c r="CE74" s="93">
        <f>Modeloutput!N1139/1000</f>
        <v>0</v>
      </c>
      <c r="CF74" s="93">
        <f>Modeloutput!O1139/1000</f>
        <v>0</v>
      </c>
      <c r="CG74" s="93">
        <f>Modeloutput!P1139/1000</f>
        <v>0</v>
      </c>
    </row>
    <row r="75" spans="2:85" s="7" customFormat="1" x14ac:dyDescent="0.25">
      <c r="B75" s="28" t="s">
        <v>18</v>
      </c>
      <c r="C75" s="100">
        <f t="shared" ref="C75:Q75" si="10">SUM(C61:C74)</f>
        <v>0.32094365771</v>
      </c>
      <c r="D75" s="100">
        <f t="shared" si="10"/>
        <v>3.1611601810000001E-2</v>
      </c>
      <c r="E75" s="100">
        <f t="shared" si="10"/>
        <v>0.2893320559</v>
      </c>
      <c r="F75" s="100">
        <f t="shared" si="10"/>
        <v>0.19533058779999998</v>
      </c>
      <c r="G75" s="100">
        <f t="shared" si="10"/>
        <v>7.8224157959999995E-3</v>
      </c>
      <c r="H75" s="100">
        <f t="shared" si="10"/>
        <v>8.4673937473000005E-2</v>
      </c>
      <c r="I75" s="100">
        <f t="shared" si="10"/>
        <v>1.5051155707000001E-3</v>
      </c>
      <c r="J75" s="100">
        <f t="shared" si="10"/>
        <v>0</v>
      </c>
      <c r="K75" s="100">
        <f t="shared" si="10"/>
        <v>0</v>
      </c>
      <c r="L75" s="100">
        <f t="shared" si="10"/>
        <v>3.0196023299999999E-2</v>
      </c>
      <c r="M75" s="100">
        <f t="shared" si="10"/>
        <v>0</v>
      </c>
      <c r="N75" s="100">
        <f t="shared" si="10"/>
        <v>1.4155785099999999E-3</v>
      </c>
      <c r="O75" s="100">
        <f t="shared" si="10"/>
        <v>0</v>
      </c>
      <c r="P75" s="100">
        <f t="shared" si="10"/>
        <v>0</v>
      </c>
      <c r="Q75" s="100">
        <f t="shared" si="10"/>
        <v>0</v>
      </c>
      <c r="S75" s="28" t="s">
        <v>18</v>
      </c>
      <c r="T75" s="100">
        <f t="shared" ref="T75:AH75" si="11">SUM(T61:T74)</f>
        <v>0.25744748040999998</v>
      </c>
      <c r="U75" s="100">
        <f t="shared" si="11"/>
        <v>2.3549995609999999E-2</v>
      </c>
      <c r="V75" s="100">
        <f t="shared" si="11"/>
        <v>0.2338974848</v>
      </c>
      <c r="W75" s="100">
        <f t="shared" si="11"/>
        <v>0.16812108109999996</v>
      </c>
      <c r="X75" s="100">
        <f t="shared" si="11"/>
        <v>7.8879874390000004E-3</v>
      </c>
      <c r="Y75" s="100">
        <f t="shared" si="11"/>
        <v>5.6383291448E-2</v>
      </c>
      <c r="Z75" s="100">
        <f t="shared" si="11"/>
        <v>1.5051251782999999E-3</v>
      </c>
      <c r="AA75" s="100">
        <f t="shared" si="11"/>
        <v>0</v>
      </c>
      <c r="AB75" s="100">
        <f t="shared" si="11"/>
        <v>0</v>
      </c>
      <c r="AC75" s="100">
        <f t="shared" si="11"/>
        <v>2.2143096899999999E-2</v>
      </c>
      <c r="AD75" s="100">
        <f t="shared" si="11"/>
        <v>0</v>
      </c>
      <c r="AE75" s="100">
        <f t="shared" si="11"/>
        <v>1.4068987100000002E-3</v>
      </c>
      <c r="AF75" s="100">
        <f t="shared" si="11"/>
        <v>0</v>
      </c>
      <c r="AG75" s="100">
        <f t="shared" si="11"/>
        <v>0</v>
      </c>
      <c r="AH75" s="100">
        <f t="shared" si="11"/>
        <v>0</v>
      </c>
      <c r="AJ75" s="28" t="s">
        <v>18</v>
      </c>
      <c r="AK75" s="100">
        <f t="shared" ref="AK75:AY75" si="12">SUM(AK61:AK74)</f>
        <v>0.13215960069999999</v>
      </c>
      <c r="AL75" s="100">
        <f t="shared" si="12"/>
        <v>2.6519694900000002E-2</v>
      </c>
      <c r="AM75" s="100">
        <f t="shared" si="12"/>
        <v>0.10563990579999999</v>
      </c>
      <c r="AN75" s="100">
        <f t="shared" si="12"/>
        <v>6.3313543680000001E-2</v>
      </c>
      <c r="AO75" s="100">
        <f t="shared" si="12"/>
        <v>7.7871711349999997E-3</v>
      </c>
      <c r="AP75" s="100">
        <f t="shared" si="12"/>
        <v>3.3028183619999998E-2</v>
      </c>
      <c r="AQ75" s="100">
        <f t="shared" si="12"/>
        <v>1.5110072937000001E-3</v>
      </c>
      <c r="AR75" s="100">
        <f t="shared" si="12"/>
        <v>0</v>
      </c>
      <c r="AS75" s="100">
        <f t="shared" si="12"/>
        <v>0</v>
      </c>
      <c r="AT75" s="100">
        <f t="shared" si="12"/>
        <v>1.53829017E-2</v>
      </c>
      <c r="AU75" s="100">
        <f t="shared" si="12"/>
        <v>0</v>
      </c>
      <c r="AV75" s="100">
        <f t="shared" si="12"/>
        <v>1.11367932E-2</v>
      </c>
      <c r="AW75" s="100">
        <f t="shared" si="12"/>
        <v>0</v>
      </c>
      <c r="AX75" s="100">
        <f t="shared" si="12"/>
        <v>0</v>
      </c>
      <c r="AY75" s="100">
        <f t="shared" si="12"/>
        <v>0</v>
      </c>
      <c r="BA75" s="28" t="s">
        <v>18</v>
      </c>
      <c r="BB75" s="100">
        <f t="shared" ref="BB75:BP75" si="13">SUM(BB61:BB74)</f>
        <v>0.1189069937</v>
      </c>
      <c r="BC75" s="100">
        <f t="shared" si="13"/>
        <v>3.0202517700000001E-2</v>
      </c>
      <c r="BD75" s="100">
        <f t="shared" si="13"/>
        <v>8.8704476000000004E-2</v>
      </c>
      <c r="BE75" s="100">
        <f t="shared" si="13"/>
        <v>4.6106070299999996E-2</v>
      </c>
      <c r="BF75" s="100">
        <f t="shared" si="13"/>
        <v>6.8815404100000012E-3</v>
      </c>
      <c r="BG75" s="100">
        <f t="shared" si="13"/>
        <v>3.4202378499999998E-2</v>
      </c>
      <c r="BH75" s="100">
        <f t="shared" si="13"/>
        <v>1.51448664E-3</v>
      </c>
      <c r="BI75" s="100">
        <f t="shared" si="13"/>
        <v>0</v>
      </c>
      <c r="BJ75" s="100">
        <f t="shared" si="13"/>
        <v>0</v>
      </c>
      <c r="BK75" s="100">
        <f t="shared" si="13"/>
        <v>3.0202517700000001E-2</v>
      </c>
      <c r="BL75" s="100">
        <f t="shared" si="13"/>
        <v>0</v>
      </c>
      <c r="BM75" s="100">
        <f t="shared" si="13"/>
        <v>0</v>
      </c>
      <c r="BN75" s="100">
        <f t="shared" si="13"/>
        <v>0</v>
      </c>
      <c r="BO75" s="100">
        <f t="shared" si="13"/>
        <v>0</v>
      </c>
      <c r="BP75" s="100">
        <f t="shared" si="13"/>
        <v>0</v>
      </c>
      <c r="BR75" s="28" t="s">
        <v>18</v>
      </c>
      <c r="BS75" s="100">
        <f t="shared" ref="BS75:CG75" si="14">SUM(BS61:BS74)</f>
        <v>0.23277338154139998</v>
      </c>
      <c r="BT75" s="100">
        <f t="shared" si="14"/>
        <v>9.0114348041399991E-2</v>
      </c>
      <c r="BU75" s="100">
        <f t="shared" si="14"/>
        <v>0.1426590335</v>
      </c>
      <c r="BV75" s="100">
        <f t="shared" si="14"/>
        <v>8.8675715838999997E-2</v>
      </c>
      <c r="BW75" s="100">
        <f t="shared" si="14"/>
        <v>1.0860171243570001E-2</v>
      </c>
      <c r="BX75" s="100">
        <f t="shared" si="14"/>
        <v>4.129501012293E-2</v>
      </c>
      <c r="BY75" s="100">
        <f t="shared" si="14"/>
        <v>1.8281362913700001E-3</v>
      </c>
      <c r="BZ75" s="100">
        <f t="shared" si="14"/>
        <v>0</v>
      </c>
      <c r="CA75" s="100">
        <f t="shared" si="14"/>
        <v>0</v>
      </c>
      <c r="CB75" s="100">
        <f t="shared" si="14"/>
        <v>6.9679947499999992E-2</v>
      </c>
      <c r="CC75" s="100">
        <f t="shared" si="14"/>
        <v>2.0421627799999998E-2</v>
      </c>
      <c r="CD75" s="100">
        <f t="shared" si="14"/>
        <v>1.2772741400000001E-5</v>
      </c>
      <c r="CE75" s="100">
        <f t="shared" si="14"/>
        <v>0</v>
      </c>
      <c r="CF75" s="100">
        <f t="shared" si="14"/>
        <v>0</v>
      </c>
      <c r="CG75" s="100">
        <f t="shared" si="14"/>
        <v>0</v>
      </c>
    </row>
    <row r="76" spans="2:85" s="7" customFormat="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</row>
    <row r="77" spans="2:85" s="7" customFormat="1" x14ac:dyDescent="0.25">
      <c r="B77" s="21" t="s">
        <v>3</v>
      </c>
      <c r="C77" s="86">
        <f>SUM(F63:K63)</f>
        <v>0.20605648341170002</v>
      </c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S77" s="21" t="s">
        <v>3</v>
      </c>
      <c r="T77" s="86">
        <f>SUM(W63:AB63)</f>
        <v>0.15868095839469998</v>
      </c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J77" s="21" t="s">
        <v>3</v>
      </c>
      <c r="AK77" s="86">
        <f>SUM(AN63:AS63)</f>
        <v>2.8117226990700003E-2</v>
      </c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BA77" s="21" t="s">
        <v>3</v>
      </c>
      <c r="BB77" s="86">
        <f>SUM(BE63:BJ63)</f>
        <v>0</v>
      </c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R77" s="21" t="s">
        <v>3</v>
      </c>
      <c r="BS77" s="86">
        <f>SUM(BV63:CA63)</f>
        <v>6.3844933849999997E-4</v>
      </c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</row>
    <row r="78" spans="2:85" s="7" customFormat="1" x14ac:dyDescent="0.25">
      <c r="B78" s="12" t="s">
        <v>38</v>
      </c>
      <c r="C78" s="87">
        <f>SUM(F64:K64)</f>
        <v>5.1663971440000005E-2</v>
      </c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S78" s="12" t="s">
        <v>38</v>
      </c>
      <c r="T78" s="87">
        <f>SUM(W64:AB64)</f>
        <v>5.1666531139999999E-2</v>
      </c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J78" s="12" t="s">
        <v>38</v>
      </c>
      <c r="AK78" s="87">
        <f>SUM(AN64:AS64)</f>
        <v>5.1002983839999995E-2</v>
      </c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BA78" s="12" t="s">
        <v>38</v>
      </c>
      <c r="BB78" s="87">
        <f>SUM(BE64:BJ64)</f>
        <v>5.8501958270000001E-2</v>
      </c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R78" s="12" t="s">
        <v>38</v>
      </c>
      <c r="BS78" s="87">
        <f>SUM(BV64:CA64)</f>
        <v>5.1906236119999997E-2</v>
      </c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</row>
    <row r="79" spans="2:85" s="7" customFormat="1" x14ac:dyDescent="0.25">
      <c r="B79" s="26" t="s">
        <v>39</v>
      </c>
      <c r="C79" s="88">
        <f>SUM(F65:K69)-C81</f>
        <v>1.4155784879999952E-3</v>
      </c>
      <c r="D79" s="8"/>
      <c r="E79" s="92" t="s">
        <v>374</v>
      </c>
      <c r="F79" s="91"/>
      <c r="G79" s="91"/>
      <c r="H79" s="91"/>
      <c r="I79" s="8"/>
      <c r="J79" s="8"/>
      <c r="K79" s="8"/>
      <c r="L79" s="8"/>
      <c r="M79" s="8"/>
      <c r="N79" s="8"/>
      <c r="O79" s="8"/>
      <c r="P79" s="8"/>
      <c r="Q79" s="8"/>
      <c r="S79" s="26" t="s">
        <v>39</v>
      </c>
      <c r="T79" s="88">
        <f>SUM(W65:AB69)-T81</f>
        <v>1.4068987306000008E-3</v>
      </c>
      <c r="U79" s="8"/>
      <c r="V79" s="92" t="s">
        <v>374</v>
      </c>
      <c r="W79" s="91"/>
      <c r="X79" s="91"/>
      <c r="Y79" s="91"/>
      <c r="Z79" s="8"/>
      <c r="AA79" s="8"/>
      <c r="AB79" s="8"/>
      <c r="AC79" s="8"/>
      <c r="AD79" s="8"/>
      <c r="AE79" s="8"/>
      <c r="AF79" s="8"/>
      <c r="AG79" s="8"/>
      <c r="AH79" s="8"/>
      <c r="AJ79" s="26" t="s">
        <v>39</v>
      </c>
      <c r="AK79" s="88">
        <f>SUM(AN65:AS69)-AK81</f>
        <v>1.1136793197999997E-2</v>
      </c>
      <c r="AL79" s="8"/>
      <c r="AM79" s="92" t="s">
        <v>374</v>
      </c>
      <c r="AN79" s="91"/>
      <c r="AO79" s="91"/>
      <c r="AP79" s="91"/>
      <c r="AQ79" s="8"/>
      <c r="AR79" s="8"/>
      <c r="AS79" s="8"/>
      <c r="AT79" s="8"/>
      <c r="AU79" s="8"/>
      <c r="AV79" s="8"/>
      <c r="AW79" s="8"/>
      <c r="AX79" s="8"/>
      <c r="AY79" s="8"/>
      <c r="BA79" s="26" t="s">
        <v>39</v>
      </c>
      <c r="BB79" s="88">
        <f>SUM(BE65:BJ69)-BB81</f>
        <v>-1.2000000645939757E-10</v>
      </c>
      <c r="BC79" s="8"/>
      <c r="BD79" s="92" t="s">
        <v>374</v>
      </c>
      <c r="BE79" s="91"/>
      <c r="BF79" s="91"/>
      <c r="BG79" s="91"/>
      <c r="BH79" s="8"/>
      <c r="BI79" s="8"/>
      <c r="BJ79" s="8"/>
      <c r="BK79" s="8"/>
      <c r="BL79" s="8"/>
      <c r="BM79" s="8"/>
      <c r="BN79" s="8"/>
      <c r="BO79" s="8"/>
      <c r="BP79" s="8"/>
      <c r="BR79" s="26" t="s">
        <v>39</v>
      </c>
      <c r="BS79" s="88">
        <f>SUM(BV65:CA69)-BS81</f>
        <v>2.5608647738370002E-2</v>
      </c>
      <c r="BT79" s="8"/>
      <c r="BU79" s="92" t="s">
        <v>374</v>
      </c>
      <c r="BV79" s="91"/>
      <c r="BW79" s="91"/>
      <c r="BX79" s="91"/>
      <c r="BY79" s="8"/>
      <c r="BZ79" s="8"/>
      <c r="CA79" s="8"/>
      <c r="CB79" s="8"/>
      <c r="CC79" s="8"/>
      <c r="CD79" s="8"/>
      <c r="CE79" s="8"/>
      <c r="CF79" s="8"/>
      <c r="CG79" s="8"/>
    </row>
    <row r="80" spans="2:85" s="7" customFormat="1" x14ac:dyDescent="0.25">
      <c r="B80" s="10" t="s">
        <v>40</v>
      </c>
      <c r="C80" s="89">
        <f>SUM(F62:K62)</f>
        <v>0</v>
      </c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S80" s="10" t="s">
        <v>40</v>
      </c>
      <c r="T80" s="89">
        <f>SUM(W62:AB62)</f>
        <v>0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J80" s="10" t="s">
        <v>40</v>
      </c>
      <c r="AK80" s="89">
        <f>SUM(AN62:AS62)</f>
        <v>0</v>
      </c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BA80" s="10" t="s">
        <v>40</v>
      </c>
      <c r="BB80" s="89">
        <f>SUM(BE62:BJ62)</f>
        <v>0</v>
      </c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R80" s="10" t="s">
        <v>40</v>
      </c>
      <c r="BS80" s="89">
        <f>SUM(BV62:CA62)</f>
        <v>0</v>
      </c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</row>
    <row r="81" spans="1:85" x14ac:dyDescent="0.25">
      <c r="B81" s="20" t="s">
        <v>41</v>
      </c>
      <c r="C81" s="90">
        <f>SUM(L63:P63)</f>
        <v>3.0196023299999999E-2</v>
      </c>
      <c r="S81" s="20" t="s">
        <v>41</v>
      </c>
      <c r="T81" s="90">
        <f>SUM(AC63:AG63)</f>
        <v>2.2143096899999999E-2</v>
      </c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J81" s="20" t="s">
        <v>41</v>
      </c>
      <c r="AK81" s="90">
        <f>SUM(AT63:AX63)</f>
        <v>1.53829017E-2</v>
      </c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BA81" s="20" t="s">
        <v>41</v>
      </c>
      <c r="BB81" s="90">
        <f>SUM(BK63:BO63)</f>
        <v>3.0202517700000001E-2</v>
      </c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R81" s="20" t="s">
        <v>41</v>
      </c>
      <c r="BS81" s="90">
        <f>SUM(CB63:CF63)</f>
        <v>6.4505700299999996E-2</v>
      </c>
      <c r="BT81" s="84"/>
      <c r="BU81" s="84"/>
      <c r="BV81" s="84"/>
      <c r="BW81" s="84"/>
      <c r="BX81" s="84"/>
      <c r="BY81" s="84"/>
      <c r="BZ81" s="84"/>
      <c r="CA81" s="84"/>
      <c r="CB81" s="84"/>
      <c r="CC81" s="84"/>
      <c r="CD81" s="84"/>
      <c r="CE81" s="84"/>
      <c r="CF81" s="84"/>
      <c r="CG81" s="84"/>
    </row>
    <row r="82" spans="1:85" ht="21" x14ac:dyDescent="0.35">
      <c r="A82" s="5">
        <v>2040</v>
      </c>
      <c r="R82" s="5">
        <v>2040</v>
      </c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5">
        <v>2040</v>
      </c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5">
        <v>2040</v>
      </c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5">
        <v>2040</v>
      </c>
      <c r="BS82" s="84"/>
      <c r="BT82" s="84"/>
      <c r="BU82" s="84"/>
      <c r="BV82" s="84"/>
      <c r="BW82" s="84"/>
      <c r="BX82" s="84"/>
      <c r="BY82" s="84"/>
      <c r="BZ82" s="84"/>
      <c r="CA82" s="84"/>
      <c r="CB82" s="84"/>
      <c r="CC82" s="84"/>
      <c r="CD82" s="84"/>
      <c r="CE82" s="84"/>
      <c r="CF82" s="84"/>
      <c r="CG82" s="84"/>
    </row>
    <row r="83" spans="1:85" x14ac:dyDescent="0.25">
      <c r="B83" s="4" t="str">
        <f>$B$6</f>
        <v>ReferentieUtrecht</v>
      </c>
      <c r="S83" s="4" t="str">
        <f>$S$6</f>
        <v>Utrecht_Label B</v>
      </c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J83" s="4" t="str">
        <f>AJ$6</f>
        <v>Utrecht_Label Aplus</v>
      </c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BA83" s="4" t="str">
        <f>BA$6</f>
        <v>Utrecht_Label Aplus, met eWP</v>
      </c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R83" s="4" t="str">
        <f>BR$6</f>
        <v>Utrecht_Label B_Warmtenetten</v>
      </c>
      <c r="BS83" s="84"/>
      <c r="BT83" s="84"/>
      <c r="BU83" s="84"/>
      <c r="BV83" s="84"/>
      <c r="BW83" s="84"/>
      <c r="BX83" s="84"/>
      <c r="BY83" s="84"/>
      <c r="BZ83" s="84"/>
      <c r="CA83" s="84"/>
      <c r="CB83" s="84"/>
      <c r="CC83" s="84"/>
      <c r="CD83" s="84"/>
      <c r="CE83" s="84"/>
      <c r="CF83" s="84"/>
      <c r="CG83" s="84"/>
    </row>
    <row r="84" spans="1:85" x14ac:dyDescent="0.25">
      <c r="C84" s="1" t="s">
        <v>18</v>
      </c>
      <c r="D84" s="1" t="s">
        <v>19</v>
      </c>
      <c r="E84" s="1" t="s">
        <v>20</v>
      </c>
      <c r="F84" s="1" t="s">
        <v>21</v>
      </c>
      <c r="G84" s="1" t="s">
        <v>22</v>
      </c>
      <c r="H84" s="1" t="s">
        <v>23</v>
      </c>
      <c r="I84" s="1" t="s">
        <v>24</v>
      </c>
      <c r="J84" s="1" t="s">
        <v>25</v>
      </c>
      <c r="K84" s="1" t="s">
        <v>26</v>
      </c>
      <c r="L84" s="1" t="s">
        <v>5</v>
      </c>
      <c r="M84" s="1" t="s">
        <v>6</v>
      </c>
      <c r="N84" s="1" t="s">
        <v>7</v>
      </c>
      <c r="O84" s="1" t="s">
        <v>8</v>
      </c>
      <c r="P84" s="1" t="s">
        <v>9</v>
      </c>
      <c r="Q84" s="1" t="s">
        <v>27</v>
      </c>
      <c r="T84" s="1" t="s">
        <v>18</v>
      </c>
      <c r="U84" s="1" t="s">
        <v>19</v>
      </c>
      <c r="V84" s="1" t="s">
        <v>20</v>
      </c>
      <c r="W84" s="1" t="s">
        <v>21</v>
      </c>
      <c r="X84" s="1" t="s">
        <v>22</v>
      </c>
      <c r="Y84" s="1" t="s">
        <v>23</v>
      </c>
      <c r="Z84" s="1" t="s">
        <v>24</v>
      </c>
      <c r="AA84" s="1" t="s">
        <v>25</v>
      </c>
      <c r="AB84" s="1" t="s">
        <v>26</v>
      </c>
      <c r="AC84" s="1" t="s">
        <v>5</v>
      </c>
      <c r="AD84" s="1" t="s">
        <v>6</v>
      </c>
      <c r="AE84" s="1" t="s">
        <v>7</v>
      </c>
      <c r="AF84" s="1" t="s">
        <v>8</v>
      </c>
      <c r="AG84" s="1" t="s">
        <v>9</v>
      </c>
      <c r="AH84" s="1" t="s">
        <v>27</v>
      </c>
      <c r="AK84" s="1" t="s">
        <v>18</v>
      </c>
      <c r="AL84" s="1" t="s">
        <v>19</v>
      </c>
      <c r="AM84" s="1" t="s">
        <v>20</v>
      </c>
      <c r="AN84" s="1" t="s">
        <v>21</v>
      </c>
      <c r="AO84" s="1" t="s">
        <v>22</v>
      </c>
      <c r="AP84" s="1" t="s">
        <v>23</v>
      </c>
      <c r="AQ84" s="1" t="s">
        <v>24</v>
      </c>
      <c r="AR84" s="1" t="s">
        <v>25</v>
      </c>
      <c r="AS84" s="1" t="s">
        <v>26</v>
      </c>
      <c r="AT84" s="1" t="s">
        <v>5</v>
      </c>
      <c r="AU84" s="1" t="s">
        <v>6</v>
      </c>
      <c r="AV84" s="1" t="s">
        <v>7</v>
      </c>
      <c r="AW84" s="1" t="s">
        <v>8</v>
      </c>
      <c r="AX84" s="1" t="s">
        <v>9</v>
      </c>
      <c r="AY84" s="1" t="s">
        <v>27</v>
      </c>
      <c r="BB84" s="1" t="s">
        <v>18</v>
      </c>
      <c r="BC84" s="1" t="s">
        <v>19</v>
      </c>
      <c r="BD84" s="1" t="s">
        <v>20</v>
      </c>
      <c r="BE84" s="1" t="s">
        <v>21</v>
      </c>
      <c r="BF84" s="1" t="s">
        <v>22</v>
      </c>
      <c r="BG84" s="1" t="s">
        <v>23</v>
      </c>
      <c r="BH84" s="1" t="s">
        <v>24</v>
      </c>
      <c r="BI84" s="1" t="s">
        <v>25</v>
      </c>
      <c r="BJ84" s="1" t="s">
        <v>26</v>
      </c>
      <c r="BK84" s="1" t="s">
        <v>5</v>
      </c>
      <c r="BL84" s="1" t="s">
        <v>6</v>
      </c>
      <c r="BM84" s="1" t="s">
        <v>7</v>
      </c>
      <c r="BN84" s="1" t="s">
        <v>8</v>
      </c>
      <c r="BO84" s="1" t="s">
        <v>9</v>
      </c>
      <c r="BP84" s="1" t="s">
        <v>27</v>
      </c>
      <c r="BS84" s="1" t="s">
        <v>18</v>
      </c>
      <c r="BT84" s="1" t="s">
        <v>19</v>
      </c>
      <c r="BU84" s="1" t="s">
        <v>20</v>
      </c>
      <c r="BV84" s="1" t="s">
        <v>21</v>
      </c>
      <c r="BW84" s="1" t="s">
        <v>22</v>
      </c>
      <c r="BX84" s="1" t="s">
        <v>23</v>
      </c>
      <c r="BY84" s="1" t="s">
        <v>24</v>
      </c>
      <c r="BZ84" s="1" t="s">
        <v>25</v>
      </c>
      <c r="CA84" s="1" t="s">
        <v>26</v>
      </c>
      <c r="CB84" s="1" t="s">
        <v>5</v>
      </c>
      <c r="CC84" s="1" t="s">
        <v>6</v>
      </c>
      <c r="CD84" s="1" t="s">
        <v>7</v>
      </c>
      <c r="CE84" s="1" t="s">
        <v>8</v>
      </c>
      <c r="CF84" s="1" t="s">
        <v>9</v>
      </c>
      <c r="CG84" s="1" t="s">
        <v>27</v>
      </c>
    </row>
    <row r="85" spans="1:85" x14ac:dyDescent="0.25">
      <c r="C85" s="1" t="s">
        <v>30</v>
      </c>
      <c r="D85" s="1" t="s">
        <v>30</v>
      </c>
      <c r="E85" s="1" t="s">
        <v>30</v>
      </c>
      <c r="F85" s="1" t="s">
        <v>30</v>
      </c>
      <c r="G85" s="1" t="s">
        <v>30</v>
      </c>
      <c r="H85" s="1" t="s">
        <v>30</v>
      </c>
      <c r="I85" s="1" t="s">
        <v>30</v>
      </c>
      <c r="J85" s="1" t="s">
        <v>30</v>
      </c>
      <c r="K85" s="1" t="s">
        <v>30</v>
      </c>
      <c r="L85" s="1" t="s">
        <v>30</v>
      </c>
      <c r="M85" s="1" t="s">
        <v>30</v>
      </c>
      <c r="N85" s="1" t="s">
        <v>30</v>
      </c>
      <c r="O85" s="1" t="s">
        <v>30</v>
      </c>
      <c r="P85" s="1" t="s">
        <v>30</v>
      </c>
      <c r="Q85" s="1" t="s">
        <v>30</v>
      </c>
      <c r="T85" s="1" t="s">
        <v>30</v>
      </c>
      <c r="U85" s="1" t="s">
        <v>30</v>
      </c>
      <c r="V85" s="1" t="s">
        <v>30</v>
      </c>
      <c r="W85" s="1" t="s">
        <v>30</v>
      </c>
      <c r="X85" s="1" t="s">
        <v>30</v>
      </c>
      <c r="Y85" s="1" t="s">
        <v>30</v>
      </c>
      <c r="Z85" s="1" t="s">
        <v>30</v>
      </c>
      <c r="AA85" s="1" t="s">
        <v>30</v>
      </c>
      <c r="AB85" s="1" t="s">
        <v>30</v>
      </c>
      <c r="AC85" s="1" t="s">
        <v>30</v>
      </c>
      <c r="AD85" s="1" t="s">
        <v>30</v>
      </c>
      <c r="AE85" s="1" t="s">
        <v>30</v>
      </c>
      <c r="AF85" s="1" t="s">
        <v>30</v>
      </c>
      <c r="AG85" s="1" t="s">
        <v>30</v>
      </c>
      <c r="AH85" s="1" t="s">
        <v>30</v>
      </c>
      <c r="AK85" s="1" t="s">
        <v>30</v>
      </c>
      <c r="AL85" s="1" t="s">
        <v>30</v>
      </c>
      <c r="AM85" s="1" t="s">
        <v>30</v>
      </c>
      <c r="AN85" s="1" t="s">
        <v>30</v>
      </c>
      <c r="AO85" s="1" t="s">
        <v>30</v>
      </c>
      <c r="AP85" s="1" t="s">
        <v>30</v>
      </c>
      <c r="AQ85" s="1" t="s">
        <v>30</v>
      </c>
      <c r="AR85" s="1" t="s">
        <v>30</v>
      </c>
      <c r="AS85" s="1" t="s">
        <v>30</v>
      </c>
      <c r="AT85" s="1" t="s">
        <v>30</v>
      </c>
      <c r="AU85" s="1" t="s">
        <v>30</v>
      </c>
      <c r="AV85" s="1" t="s">
        <v>30</v>
      </c>
      <c r="AW85" s="1" t="s">
        <v>30</v>
      </c>
      <c r="AX85" s="1" t="s">
        <v>30</v>
      </c>
      <c r="AY85" s="1" t="s">
        <v>30</v>
      </c>
      <c r="BB85" s="1" t="s">
        <v>30</v>
      </c>
      <c r="BC85" s="1" t="s">
        <v>30</v>
      </c>
      <c r="BD85" s="1" t="s">
        <v>30</v>
      </c>
      <c r="BE85" s="1" t="s">
        <v>30</v>
      </c>
      <c r="BF85" s="1" t="s">
        <v>30</v>
      </c>
      <c r="BG85" s="1" t="s">
        <v>30</v>
      </c>
      <c r="BH85" s="1" t="s">
        <v>30</v>
      </c>
      <c r="BI85" s="1" t="s">
        <v>30</v>
      </c>
      <c r="BJ85" s="1" t="s">
        <v>30</v>
      </c>
      <c r="BK85" s="1" t="s">
        <v>30</v>
      </c>
      <c r="BL85" s="1" t="s">
        <v>30</v>
      </c>
      <c r="BM85" s="1" t="s">
        <v>30</v>
      </c>
      <c r="BN85" s="1" t="s">
        <v>30</v>
      </c>
      <c r="BO85" s="1" t="s">
        <v>30</v>
      </c>
      <c r="BP85" s="1" t="s">
        <v>30</v>
      </c>
      <c r="BS85" s="1" t="s">
        <v>30</v>
      </c>
      <c r="BT85" s="1" t="s">
        <v>30</v>
      </c>
      <c r="BU85" s="1" t="s">
        <v>30</v>
      </c>
      <c r="BV85" s="1" t="s">
        <v>30</v>
      </c>
      <c r="BW85" s="1" t="s">
        <v>30</v>
      </c>
      <c r="BX85" s="1" t="s">
        <v>30</v>
      </c>
      <c r="BY85" s="1" t="s">
        <v>30</v>
      </c>
      <c r="BZ85" s="1" t="s">
        <v>30</v>
      </c>
      <c r="CA85" s="1" t="s">
        <v>30</v>
      </c>
      <c r="CB85" s="1" t="s">
        <v>30</v>
      </c>
      <c r="CC85" s="1" t="s">
        <v>30</v>
      </c>
      <c r="CD85" s="1" t="s">
        <v>30</v>
      </c>
      <c r="CE85" s="1" t="s">
        <v>30</v>
      </c>
      <c r="CF85" s="1" t="s">
        <v>30</v>
      </c>
      <c r="CG85" s="1" t="s">
        <v>30</v>
      </c>
    </row>
    <row r="86" spans="1:85" s="7" customFormat="1" x14ac:dyDescent="0.25">
      <c r="B86" s="7" t="s">
        <v>1</v>
      </c>
      <c r="C86" s="93">
        <f>Modeloutput!B157/1000</f>
        <v>0</v>
      </c>
      <c r="D86" s="93">
        <f>Modeloutput!C157/1000</f>
        <v>0</v>
      </c>
      <c r="E86" s="93">
        <f>Modeloutput!D157/1000</f>
        <v>0</v>
      </c>
      <c r="F86" s="93">
        <f>Modeloutput!E157/1000</f>
        <v>0</v>
      </c>
      <c r="G86" s="93">
        <f>Modeloutput!F157/1000</f>
        <v>0</v>
      </c>
      <c r="H86" s="93">
        <f>Modeloutput!G157/1000</f>
        <v>0</v>
      </c>
      <c r="I86" s="93">
        <f>Modeloutput!H157/1000</f>
        <v>0</v>
      </c>
      <c r="J86" s="93">
        <f>Modeloutput!I157/1000</f>
        <v>0</v>
      </c>
      <c r="K86" s="93">
        <f>Modeloutput!J157/1000</f>
        <v>0</v>
      </c>
      <c r="L86" s="93">
        <f>Modeloutput!K157/1000</f>
        <v>0</v>
      </c>
      <c r="M86" s="93">
        <f>Modeloutput!L157/1000</f>
        <v>0</v>
      </c>
      <c r="N86" s="93">
        <f>Modeloutput!M157/1000</f>
        <v>0</v>
      </c>
      <c r="O86" s="93">
        <f>Modeloutput!N157/1000</f>
        <v>0</v>
      </c>
      <c r="P86" s="93">
        <f>Modeloutput!O157/1000</f>
        <v>0</v>
      </c>
      <c r="Q86" s="93">
        <f>Modeloutput!P157/1000</f>
        <v>0</v>
      </c>
      <c r="S86" s="7" t="s">
        <v>1</v>
      </c>
      <c r="T86" s="93">
        <f>Modeloutput!B412/1000</f>
        <v>0</v>
      </c>
      <c r="U86" s="93">
        <f>Modeloutput!C412/1000</f>
        <v>0</v>
      </c>
      <c r="V86" s="93">
        <f>Modeloutput!D412/1000</f>
        <v>0</v>
      </c>
      <c r="W86" s="93">
        <f>Modeloutput!E412/1000</f>
        <v>0</v>
      </c>
      <c r="X86" s="93">
        <f>Modeloutput!F412/1000</f>
        <v>0</v>
      </c>
      <c r="Y86" s="93">
        <f>Modeloutput!G412/1000</f>
        <v>0</v>
      </c>
      <c r="Z86" s="93">
        <f>Modeloutput!H412/1000</f>
        <v>0</v>
      </c>
      <c r="AA86" s="93">
        <f>Modeloutput!I412/1000</f>
        <v>0</v>
      </c>
      <c r="AB86" s="93">
        <f>Modeloutput!J412/1000</f>
        <v>0</v>
      </c>
      <c r="AC86" s="93">
        <f>Modeloutput!K412/1000</f>
        <v>0</v>
      </c>
      <c r="AD86" s="93">
        <f>Modeloutput!L412/1000</f>
        <v>0</v>
      </c>
      <c r="AE86" s="93">
        <f>Modeloutput!M412/1000</f>
        <v>0</v>
      </c>
      <c r="AF86" s="93">
        <f>Modeloutput!N412/1000</f>
        <v>0</v>
      </c>
      <c r="AG86" s="93">
        <f>Modeloutput!O412/1000</f>
        <v>0</v>
      </c>
      <c r="AH86" s="93">
        <f>Modeloutput!P412/1000</f>
        <v>0</v>
      </c>
      <c r="AJ86" s="7" t="s">
        <v>1</v>
      </c>
      <c r="AK86" s="93">
        <f>Modeloutput!B667/1000</f>
        <v>0</v>
      </c>
      <c r="AL86" s="93">
        <f>Modeloutput!C667/1000</f>
        <v>0</v>
      </c>
      <c r="AM86" s="93">
        <f>Modeloutput!D667/1000</f>
        <v>0</v>
      </c>
      <c r="AN86" s="93">
        <f>Modeloutput!E667/1000</f>
        <v>0</v>
      </c>
      <c r="AO86" s="93">
        <f>Modeloutput!F667/1000</f>
        <v>0</v>
      </c>
      <c r="AP86" s="93">
        <f>Modeloutput!G667/1000</f>
        <v>0</v>
      </c>
      <c r="AQ86" s="93">
        <f>Modeloutput!H667/1000</f>
        <v>0</v>
      </c>
      <c r="AR86" s="93">
        <f>Modeloutput!I667/1000</f>
        <v>0</v>
      </c>
      <c r="AS86" s="93">
        <f>Modeloutput!J667/1000</f>
        <v>0</v>
      </c>
      <c r="AT86" s="93">
        <f>Modeloutput!K667/1000</f>
        <v>0</v>
      </c>
      <c r="AU86" s="93">
        <f>Modeloutput!L667/1000</f>
        <v>0</v>
      </c>
      <c r="AV86" s="93">
        <f>Modeloutput!M667/1000</f>
        <v>0</v>
      </c>
      <c r="AW86" s="93">
        <f>Modeloutput!N667/1000</f>
        <v>0</v>
      </c>
      <c r="AX86" s="93">
        <f>Modeloutput!O667/1000</f>
        <v>0</v>
      </c>
      <c r="AY86" s="93">
        <f>Modeloutput!P667/1000</f>
        <v>0</v>
      </c>
      <c r="BA86" s="7" t="s">
        <v>1</v>
      </c>
      <c r="BB86" s="93">
        <f>Modeloutput!B922/1000</f>
        <v>0</v>
      </c>
      <c r="BC86" s="93">
        <f>Modeloutput!C922/1000</f>
        <v>0</v>
      </c>
      <c r="BD86" s="93">
        <f>Modeloutput!D922/1000</f>
        <v>0</v>
      </c>
      <c r="BE86" s="93">
        <f>Modeloutput!E922/1000</f>
        <v>0</v>
      </c>
      <c r="BF86" s="93">
        <f>Modeloutput!F922/1000</f>
        <v>0</v>
      </c>
      <c r="BG86" s="93">
        <f>Modeloutput!G922/1000</f>
        <v>0</v>
      </c>
      <c r="BH86" s="93">
        <f>Modeloutput!H922/1000</f>
        <v>0</v>
      </c>
      <c r="BI86" s="93">
        <f>Modeloutput!I922/1000</f>
        <v>0</v>
      </c>
      <c r="BJ86" s="93">
        <f>Modeloutput!J922/1000</f>
        <v>0</v>
      </c>
      <c r="BK86" s="93">
        <f>Modeloutput!K922/1000</f>
        <v>0</v>
      </c>
      <c r="BL86" s="93">
        <f>Modeloutput!L922/1000</f>
        <v>0</v>
      </c>
      <c r="BM86" s="93">
        <f>Modeloutput!M922/1000</f>
        <v>0</v>
      </c>
      <c r="BN86" s="93">
        <f>Modeloutput!N922/1000</f>
        <v>0</v>
      </c>
      <c r="BO86" s="93">
        <f>Modeloutput!O922/1000</f>
        <v>0</v>
      </c>
      <c r="BP86" s="93">
        <f>Modeloutput!P922/1000</f>
        <v>0</v>
      </c>
      <c r="BR86" s="7" t="s">
        <v>1</v>
      </c>
      <c r="BS86" s="93">
        <f>Modeloutput!B1177/1000</f>
        <v>0</v>
      </c>
      <c r="BT86" s="93">
        <f>Modeloutput!C1177/1000</f>
        <v>0</v>
      </c>
      <c r="BU86" s="93">
        <f>Modeloutput!D1177/1000</f>
        <v>0</v>
      </c>
      <c r="BV86" s="93">
        <f>Modeloutput!E1177/1000</f>
        <v>0</v>
      </c>
      <c r="BW86" s="93">
        <f>Modeloutput!F1177/1000</f>
        <v>0</v>
      </c>
      <c r="BX86" s="93">
        <f>Modeloutput!G1177/1000</f>
        <v>0</v>
      </c>
      <c r="BY86" s="93">
        <f>Modeloutput!H1177/1000</f>
        <v>0</v>
      </c>
      <c r="BZ86" s="93">
        <f>Modeloutput!I1177/1000</f>
        <v>0</v>
      </c>
      <c r="CA86" s="93">
        <f>Modeloutput!J1177/1000</f>
        <v>0</v>
      </c>
      <c r="CB86" s="93">
        <f>Modeloutput!K1177/1000</f>
        <v>0</v>
      </c>
      <c r="CC86" s="93">
        <f>Modeloutput!L1177/1000</f>
        <v>0</v>
      </c>
      <c r="CD86" s="93">
        <f>Modeloutput!M1177/1000</f>
        <v>0</v>
      </c>
      <c r="CE86" s="93">
        <f>Modeloutput!N1177/1000</f>
        <v>0</v>
      </c>
      <c r="CF86" s="93">
        <f>Modeloutput!O1177/1000</f>
        <v>0</v>
      </c>
      <c r="CG86" s="93">
        <f>Modeloutput!P1177/1000</f>
        <v>0</v>
      </c>
    </row>
    <row r="87" spans="1:85" s="7" customFormat="1" x14ac:dyDescent="0.25">
      <c r="B87" s="7" t="s">
        <v>2</v>
      </c>
      <c r="C87" s="93">
        <f>Modeloutput!B158/1000</f>
        <v>1.0527158999999999E-2</v>
      </c>
      <c r="D87" s="93">
        <f>Modeloutput!C158/1000</f>
        <v>0</v>
      </c>
      <c r="E87" s="93">
        <f>Modeloutput!D158/1000</f>
        <v>1.0527158999999999E-2</v>
      </c>
      <c r="F87" s="94">
        <f>Modeloutput!E158/1000</f>
        <v>0</v>
      </c>
      <c r="G87" s="94">
        <f>Modeloutput!F158/1000</f>
        <v>0</v>
      </c>
      <c r="H87" s="94">
        <f>Modeloutput!G158/1000</f>
        <v>0</v>
      </c>
      <c r="I87" s="94">
        <f>Modeloutput!H158/1000</f>
        <v>0</v>
      </c>
      <c r="J87" s="94">
        <f>Modeloutput!I158/1000</f>
        <v>0</v>
      </c>
      <c r="K87" s="94">
        <f>Modeloutput!J158/1000</f>
        <v>0</v>
      </c>
      <c r="L87" s="95">
        <f>Modeloutput!K158/1000</f>
        <v>1.0527158999999999E-2</v>
      </c>
      <c r="M87" s="95">
        <f>Modeloutput!L158/1000</f>
        <v>0</v>
      </c>
      <c r="N87" s="95">
        <f>Modeloutput!M158/1000</f>
        <v>0</v>
      </c>
      <c r="O87" s="95">
        <f>Modeloutput!N158/1000</f>
        <v>0</v>
      </c>
      <c r="P87" s="95">
        <f>Modeloutput!O158/1000</f>
        <v>0</v>
      </c>
      <c r="Q87" s="93">
        <f>Modeloutput!P158/1000</f>
        <v>0</v>
      </c>
      <c r="S87" s="7" t="s">
        <v>2</v>
      </c>
      <c r="T87" s="93">
        <f>Modeloutput!B413/1000</f>
        <v>0</v>
      </c>
      <c r="U87" s="93">
        <f>Modeloutput!C413/1000</f>
        <v>0</v>
      </c>
      <c r="V87" s="93">
        <f>Modeloutput!D413/1000</f>
        <v>0</v>
      </c>
      <c r="W87" s="94">
        <f>Modeloutput!E413/1000</f>
        <v>0</v>
      </c>
      <c r="X87" s="94">
        <f>Modeloutput!F413/1000</f>
        <v>0</v>
      </c>
      <c r="Y87" s="94">
        <f>Modeloutput!G413/1000</f>
        <v>0</v>
      </c>
      <c r="Z87" s="94">
        <f>Modeloutput!H413/1000</f>
        <v>0</v>
      </c>
      <c r="AA87" s="94">
        <f>Modeloutput!I413/1000</f>
        <v>0</v>
      </c>
      <c r="AB87" s="94">
        <f>Modeloutput!J413/1000</f>
        <v>0</v>
      </c>
      <c r="AC87" s="95">
        <f>Modeloutput!K413/1000</f>
        <v>0</v>
      </c>
      <c r="AD87" s="95">
        <f>Modeloutput!L413/1000</f>
        <v>0</v>
      </c>
      <c r="AE87" s="95">
        <f>Modeloutput!M413/1000</f>
        <v>0</v>
      </c>
      <c r="AF87" s="95">
        <f>Modeloutput!N413/1000</f>
        <v>0</v>
      </c>
      <c r="AG87" s="95">
        <f>Modeloutput!O413/1000</f>
        <v>0</v>
      </c>
      <c r="AH87" s="93">
        <f>Modeloutput!P413/1000</f>
        <v>0</v>
      </c>
      <c r="AJ87" s="7" t="s">
        <v>2</v>
      </c>
      <c r="AK87" s="93">
        <f>Modeloutput!B668/1000</f>
        <v>0</v>
      </c>
      <c r="AL87" s="93">
        <f>Modeloutput!C668/1000</f>
        <v>0</v>
      </c>
      <c r="AM87" s="93">
        <f>Modeloutput!D668/1000</f>
        <v>0</v>
      </c>
      <c r="AN87" s="94">
        <f>Modeloutput!E668/1000</f>
        <v>0</v>
      </c>
      <c r="AO87" s="94">
        <f>Modeloutput!F668/1000</f>
        <v>0</v>
      </c>
      <c r="AP87" s="94">
        <f>Modeloutput!G668/1000</f>
        <v>0</v>
      </c>
      <c r="AQ87" s="94">
        <f>Modeloutput!H668/1000</f>
        <v>0</v>
      </c>
      <c r="AR87" s="94">
        <f>Modeloutput!I668/1000</f>
        <v>0</v>
      </c>
      <c r="AS87" s="94">
        <f>Modeloutput!J668/1000</f>
        <v>0</v>
      </c>
      <c r="AT87" s="95">
        <f>Modeloutput!K668/1000</f>
        <v>0</v>
      </c>
      <c r="AU87" s="95">
        <f>Modeloutput!L668/1000</f>
        <v>0</v>
      </c>
      <c r="AV87" s="95">
        <f>Modeloutput!M668/1000</f>
        <v>0</v>
      </c>
      <c r="AW87" s="95">
        <f>Modeloutput!N668/1000</f>
        <v>0</v>
      </c>
      <c r="AX87" s="95">
        <f>Modeloutput!O668/1000</f>
        <v>0</v>
      </c>
      <c r="AY87" s="93">
        <f>Modeloutput!P668/1000</f>
        <v>0</v>
      </c>
      <c r="BA87" s="7" t="s">
        <v>2</v>
      </c>
      <c r="BB87" s="93">
        <f>Modeloutput!B923/1000</f>
        <v>0</v>
      </c>
      <c r="BC87" s="93">
        <f>Modeloutput!C923/1000</f>
        <v>0</v>
      </c>
      <c r="BD87" s="93">
        <f>Modeloutput!D923/1000</f>
        <v>0</v>
      </c>
      <c r="BE87" s="94">
        <f>Modeloutput!E923/1000</f>
        <v>0</v>
      </c>
      <c r="BF87" s="94">
        <f>Modeloutput!F923/1000</f>
        <v>0</v>
      </c>
      <c r="BG87" s="94">
        <f>Modeloutput!G923/1000</f>
        <v>0</v>
      </c>
      <c r="BH87" s="94">
        <f>Modeloutput!H923/1000</f>
        <v>0</v>
      </c>
      <c r="BI87" s="94">
        <f>Modeloutput!I923/1000</f>
        <v>0</v>
      </c>
      <c r="BJ87" s="94">
        <f>Modeloutput!J923/1000</f>
        <v>0</v>
      </c>
      <c r="BK87" s="95">
        <f>Modeloutput!K923/1000</f>
        <v>0</v>
      </c>
      <c r="BL87" s="95">
        <f>Modeloutput!L923/1000</f>
        <v>0</v>
      </c>
      <c r="BM87" s="95">
        <f>Modeloutput!M923/1000</f>
        <v>0</v>
      </c>
      <c r="BN87" s="95">
        <f>Modeloutput!N923/1000</f>
        <v>0</v>
      </c>
      <c r="BO87" s="95">
        <f>Modeloutput!O923/1000</f>
        <v>0</v>
      </c>
      <c r="BP87" s="93">
        <f>Modeloutput!P923/1000</f>
        <v>0</v>
      </c>
      <c r="BR87" s="7" t="s">
        <v>2</v>
      </c>
      <c r="BS87" s="93">
        <f>Modeloutput!B1178/1000</f>
        <v>2.4987930800000002E-2</v>
      </c>
      <c r="BT87" s="93">
        <f>Modeloutput!C1178/1000</f>
        <v>0</v>
      </c>
      <c r="BU87" s="93">
        <f>Modeloutput!D1178/1000</f>
        <v>2.4987930800000002E-2</v>
      </c>
      <c r="BV87" s="94">
        <f>Modeloutput!E1178/1000</f>
        <v>0</v>
      </c>
      <c r="BW87" s="94">
        <f>Modeloutput!F1178/1000</f>
        <v>0</v>
      </c>
      <c r="BX87" s="94">
        <f>Modeloutput!G1178/1000</f>
        <v>0</v>
      </c>
      <c r="BY87" s="94">
        <f>Modeloutput!H1178/1000</f>
        <v>0</v>
      </c>
      <c r="BZ87" s="94">
        <f>Modeloutput!I1178/1000</f>
        <v>0</v>
      </c>
      <c r="CA87" s="94">
        <f>Modeloutput!J1178/1000</f>
        <v>0</v>
      </c>
      <c r="CB87" s="95">
        <f>Modeloutput!K1178/1000</f>
        <v>2.4987930800000002E-2</v>
      </c>
      <c r="CC87" s="95">
        <f>Modeloutput!L1178/1000</f>
        <v>0</v>
      </c>
      <c r="CD87" s="95">
        <f>Modeloutput!M1178/1000</f>
        <v>0</v>
      </c>
      <c r="CE87" s="95">
        <f>Modeloutput!N1178/1000</f>
        <v>0</v>
      </c>
      <c r="CF87" s="95">
        <f>Modeloutput!O1178/1000</f>
        <v>0</v>
      </c>
      <c r="CG87" s="93">
        <f>Modeloutput!P1178/1000</f>
        <v>0</v>
      </c>
    </row>
    <row r="88" spans="1:85" s="7" customFormat="1" x14ac:dyDescent="0.25">
      <c r="B88" s="7" t="s">
        <v>3</v>
      </c>
      <c r="C88" s="93">
        <f>Modeloutput!B159/1000</f>
        <v>0.21364486600000002</v>
      </c>
      <c r="D88" s="93">
        <f>Modeloutput!C159/1000</f>
        <v>0</v>
      </c>
      <c r="E88" s="93">
        <f>Modeloutput!D159/1000</f>
        <v>0.21364486600000002</v>
      </c>
      <c r="F88" s="96">
        <f>Modeloutput!E159/1000</f>
        <v>0.149092951</v>
      </c>
      <c r="G88" s="96">
        <f>Modeloutput!F159/1000</f>
        <v>4.26858587E-4</v>
      </c>
      <c r="H88" s="96">
        <f>Modeloutput!G159/1000</f>
        <v>2.8883432699999999E-2</v>
      </c>
      <c r="I88" s="96">
        <f>Modeloutput!H159/1000</f>
        <v>6.9918345099999999E-5</v>
      </c>
      <c r="J88" s="96">
        <f>Modeloutput!I159/1000</f>
        <v>0</v>
      </c>
      <c r="K88" s="96">
        <f>Modeloutput!J159/1000</f>
        <v>0</v>
      </c>
      <c r="L88" s="97">
        <f>Modeloutput!K159/1000</f>
        <v>3.5171705400000003E-2</v>
      </c>
      <c r="M88" s="97">
        <f>Modeloutput!L159/1000</f>
        <v>0</v>
      </c>
      <c r="N88" s="97">
        <f>Modeloutput!M159/1000</f>
        <v>0</v>
      </c>
      <c r="O88" s="97">
        <f>Modeloutput!N159/1000</f>
        <v>0</v>
      </c>
      <c r="P88" s="97">
        <f>Modeloutput!O159/1000</f>
        <v>0</v>
      </c>
      <c r="Q88" s="93">
        <f>Modeloutput!P159/1000</f>
        <v>0</v>
      </c>
      <c r="S88" s="7" t="s">
        <v>3</v>
      </c>
      <c r="T88" s="93">
        <f>Modeloutput!B414/1000</f>
        <v>0.17648585</v>
      </c>
      <c r="U88" s="93">
        <f>Modeloutput!C414/1000</f>
        <v>0</v>
      </c>
      <c r="V88" s="93">
        <f>Modeloutput!D414/1000</f>
        <v>0.17648585</v>
      </c>
      <c r="W88" s="96">
        <f>Modeloutput!E414/1000</f>
        <v>0.12659074200000001</v>
      </c>
      <c r="X88" s="96">
        <f>Modeloutput!F414/1000</f>
        <v>5.0668152100000001E-4</v>
      </c>
      <c r="Y88" s="96">
        <f>Modeloutput!G414/1000</f>
        <v>2.7679166200000001E-2</v>
      </c>
      <c r="Z88" s="96">
        <f>Modeloutput!H414/1000</f>
        <v>8.7682340400000008E-5</v>
      </c>
      <c r="AA88" s="96">
        <f>Modeloutput!I414/1000</f>
        <v>0</v>
      </c>
      <c r="AB88" s="96">
        <f>Modeloutput!J414/1000</f>
        <v>0</v>
      </c>
      <c r="AC88" s="97">
        <f>Modeloutput!K414/1000</f>
        <v>2.1621577499999999E-2</v>
      </c>
      <c r="AD88" s="97">
        <f>Modeloutput!L414/1000</f>
        <v>0</v>
      </c>
      <c r="AE88" s="97">
        <f>Modeloutput!M414/1000</f>
        <v>0</v>
      </c>
      <c r="AF88" s="97">
        <f>Modeloutput!N414/1000</f>
        <v>0</v>
      </c>
      <c r="AG88" s="97">
        <f>Modeloutput!O414/1000</f>
        <v>0</v>
      </c>
      <c r="AH88" s="93">
        <f>Modeloutput!P414/1000</f>
        <v>0</v>
      </c>
      <c r="AJ88" s="7" t="s">
        <v>3</v>
      </c>
      <c r="AK88" s="93">
        <f>Modeloutput!B669/1000</f>
        <v>3.7737469799999999E-2</v>
      </c>
      <c r="AL88" s="93">
        <f>Modeloutput!C669/1000</f>
        <v>0</v>
      </c>
      <c r="AM88" s="93">
        <f>Modeloutput!D669/1000</f>
        <v>3.7737469799999999E-2</v>
      </c>
      <c r="AN88" s="96">
        <f>Modeloutput!E669/1000</f>
        <v>1.8285680299999999E-2</v>
      </c>
      <c r="AO88" s="96">
        <f>Modeloutput!F669/1000</f>
        <v>3.1435100500000002E-4</v>
      </c>
      <c r="AP88" s="96">
        <f>Modeloutput!G669/1000</f>
        <v>4.0140464800000001E-3</v>
      </c>
      <c r="AQ88" s="96">
        <f>Modeloutput!H669/1000</f>
        <v>6.6987299400000005E-5</v>
      </c>
      <c r="AR88" s="96">
        <f>Modeloutput!I669/1000</f>
        <v>0</v>
      </c>
      <c r="AS88" s="96">
        <f>Modeloutput!J669/1000</f>
        <v>0</v>
      </c>
      <c r="AT88" s="97">
        <f>Modeloutput!K669/1000</f>
        <v>1.50564047E-2</v>
      </c>
      <c r="AU88" s="97">
        <f>Modeloutput!L669/1000</f>
        <v>0</v>
      </c>
      <c r="AV88" s="97">
        <f>Modeloutput!M669/1000</f>
        <v>0</v>
      </c>
      <c r="AW88" s="97">
        <f>Modeloutput!N669/1000</f>
        <v>0</v>
      </c>
      <c r="AX88" s="97">
        <f>Modeloutput!O669/1000</f>
        <v>0</v>
      </c>
      <c r="AY88" s="93">
        <f>Modeloutput!P669/1000</f>
        <v>0</v>
      </c>
      <c r="BA88" s="7" t="s">
        <v>3</v>
      </c>
      <c r="BB88" s="93">
        <f>Modeloutput!B924/1000</f>
        <v>2.9417538199999999E-2</v>
      </c>
      <c r="BC88" s="93">
        <f>Modeloutput!C924/1000</f>
        <v>0</v>
      </c>
      <c r="BD88" s="93">
        <f>Modeloutput!D924/1000</f>
        <v>2.9417538199999999E-2</v>
      </c>
      <c r="BE88" s="96">
        <f>Modeloutput!E924/1000</f>
        <v>0</v>
      </c>
      <c r="BF88" s="96">
        <f>Modeloutput!F924/1000</f>
        <v>0</v>
      </c>
      <c r="BG88" s="96">
        <f>Modeloutput!G924/1000</f>
        <v>0</v>
      </c>
      <c r="BH88" s="96">
        <f>Modeloutput!H924/1000</f>
        <v>0</v>
      </c>
      <c r="BI88" s="96">
        <f>Modeloutput!I924/1000</f>
        <v>0</v>
      </c>
      <c r="BJ88" s="96">
        <f>Modeloutput!J924/1000</f>
        <v>0</v>
      </c>
      <c r="BK88" s="97">
        <f>Modeloutput!K924/1000</f>
        <v>2.9417538199999999E-2</v>
      </c>
      <c r="BL88" s="97">
        <f>Modeloutput!L924/1000</f>
        <v>0</v>
      </c>
      <c r="BM88" s="97">
        <f>Modeloutput!M924/1000</f>
        <v>0</v>
      </c>
      <c r="BN88" s="97">
        <f>Modeloutput!N924/1000</f>
        <v>0</v>
      </c>
      <c r="BO88" s="97">
        <f>Modeloutput!O924/1000</f>
        <v>0</v>
      </c>
      <c r="BP88" s="93">
        <f>Modeloutput!P924/1000</f>
        <v>0</v>
      </c>
      <c r="BR88" s="7" t="s">
        <v>3</v>
      </c>
      <c r="BS88" s="93">
        <f>Modeloutput!B1179/1000</f>
        <v>6.3613570999999994E-2</v>
      </c>
      <c r="BT88" s="93">
        <f>Modeloutput!C1179/1000</f>
        <v>0</v>
      </c>
      <c r="BU88" s="93">
        <f>Modeloutput!D1179/1000</f>
        <v>6.3613570999999994E-2</v>
      </c>
      <c r="BV88" s="96">
        <f>Modeloutput!E1179/1000</f>
        <v>5.5272144500000001E-4</v>
      </c>
      <c r="BW88" s="96">
        <f>Modeloutput!F1179/1000</f>
        <v>1.23062045E-5</v>
      </c>
      <c r="BX88" s="96">
        <f>Modeloutput!G1179/1000</f>
        <v>5.9511554999999998E-5</v>
      </c>
      <c r="BY88" s="96">
        <f>Modeloutput!H1179/1000</f>
        <v>0</v>
      </c>
      <c r="BZ88" s="96">
        <f>Modeloutput!I1179/1000</f>
        <v>0</v>
      </c>
      <c r="CA88" s="96">
        <f>Modeloutput!J1179/1000</f>
        <v>0</v>
      </c>
      <c r="CB88" s="97">
        <f>Modeloutput!K1179/1000</f>
        <v>4.3042684399999996E-2</v>
      </c>
      <c r="CC88" s="97">
        <f>Modeloutput!L1179/1000</f>
        <v>1.9946347400000002E-2</v>
      </c>
      <c r="CD88" s="97">
        <f>Modeloutput!M1179/1000</f>
        <v>0</v>
      </c>
      <c r="CE88" s="97">
        <f>Modeloutput!N1179/1000</f>
        <v>0</v>
      </c>
      <c r="CF88" s="97">
        <f>Modeloutput!O1179/1000</f>
        <v>0</v>
      </c>
      <c r="CG88" s="93">
        <f>Modeloutput!P1179/1000</f>
        <v>0</v>
      </c>
    </row>
    <row r="89" spans="1:85" s="7" customFormat="1" x14ac:dyDescent="0.25">
      <c r="B89" s="7" t="s">
        <v>4</v>
      </c>
      <c r="C89" s="93">
        <f>Modeloutput!B160/1000</f>
        <v>4.1755066700000003E-2</v>
      </c>
      <c r="D89" s="93">
        <f>Modeloutput!C160/1000</f>
        <v>0</v>
      </c>
      <c r="E89" s="93">
        <f>Modeloutput!D160/1000</f>
        <v>4.1755066700000003E-2</v>
      </c>
      <c r="F89" s="98">
        <f>Modeloutput!E160/1000</f>
        <v>1.9087821900000003E-2</v>
      </c>
      <c r="G89" s="98">
        <f>Modeloutput!F160/1000</f>
        <v>2.8516250300000003E-3</v>
      </c>
      <c r="H89" s="98">
        <f>Modeloutput!G160/1000</f>
        <v>1.78207947E-2</v>
      </c>
      <c r="I89" s="98">
        <f>Modeloutput!H160/1000</f>
        <v>8.8668905099999998E-4</v>
      </c>
      <c r="J89" s="98">
        <f>Modeloutput!I160/1000</f>
        <v>0</v>
      </c>
      <c r="K89" s="98">
        <f>Modeloutput!J160/1000</f>
        <v>0</v>
      </c>
      <c r="L89" s="95">
        <f>Modeloutput!K160/1000</f>
        <v>0</v>
      </c>
      <c r="M89" s="95">
        <f>Modeloutput!L160/1000</f>
        <v>0</v>
      </c>
      <c r="N89" s="95">
        <f>Modeloutput!M160/1000</f>
        <v>1.108136E-3</v>
      </c>
      <c r="O89" s="95">
        <f>Modeloutput!N160/1000</f>
        <v>0</v>
      </c>
      <c r="P89" s="95">
        <f>Modeloutput!O160/1000</f>
        <v>0</v>
      </c>
      <c r="Q89" s="93">
        <f>Modeloutput!P160/1000</f>
        <v>0</v>
      </c>
      <c r="S89" s="7" t="s">
        <v>4</v>
      </c>
      <c r="T89" s="93">
        <f>Modeloutput!B415/1000</f>
        <v>4.17511458E-2</v>
      </c>
      <c r="U89" s="93">
        <f>Modeloutput!C415/1000</f>
        <v>0</v>
      </c>
      <c r="V89" s="93">
        <f>Modeloutput!D415/1000</f>
        <v>4.17511458E-2</v>
      </c>
      <c r="W89" s="98">
        <f>Modeloutput!E415/1000</f>
        <v>1.9087821900000003E-2</v>
      </c>
      <c r="X89" s="98">
        <f>Modeloutput!F415/1000</f>
        <v>2.8516250300000003E-3</v>
      </c>
      <c r="Y89" s="98">
        <f>Modeloutput!G415/1000</f>
        <v>1.7836886400000002E-2</v>
      </c>
      <c r="Z89" s="98">
        <f>Modeloutput!H415/1000</f>
        <v>8.8668905099999998E-4</v>
      </c>
      <c r="AA89" s="98">
        <f>Modeloutput!I415/1000</f>
        <v>0</v>
      </c>
      <c r="AB89" s="98">
        <f>Modeloutput!J415/1000</f>
        <v>0</v>
      </c>
      <c r="AC89" s="95">
        <f>Modeloutput!K415/1000</f>
        <v>0</v>
      </c>
      <c r="AD89" s="95">
        <f>Modeloutput!L415/1000</f>
        <v>0</v>
      </c>
      <c r="AE89" s="95">
        <f>Modeloutput!M415/1000</f>
        <v>1.08812352E-3</v>
      </c>
      <c r="AF89" s="95">
        <f>Modeloutput!N415/1000</f>
        <v>0</v>
      </c>
      <c r="AG89" s="95">
        <f>Modeloutput!O415/1000</f>
        <v>0</v>
      </c>
      <c r="AH89" s="93">
        <f>Modeloutput!P415/1000</f>
        <v>0</v>
      </c>
      <c r="AJ89" s="7" t="s">
        <v>4</v>
      </c>
      <c r="AK89" s="93">
        <f>Modeloutput!B670/1000</f>
        <v>4.9122404199999997E-2</v>
      </c>
      <c r="AL89" s="93">
        <f>Modeloutput!C670/1000</f>
        <v>0</v>
      </c>
      <c r="AM89" s="93">
        <f>Modeloutput!D670/1000</f>
        <v>4.9122404199999997E-2</v>
      </c>
      <c r="AN89" s="98">
        <f>Modeloutput!E670/1000</f>
        <v>1.9087821900000003E-2</v>
      </c>
      <c r="AO89" s="98">
        <f>Modeloutput!F670/1000</f>
        <v>2.8516250300000003E-3</v>
      </c>
      <c r="AP89" s="98">
        <f>Modeloutput!G670/1000</f>
        <v>1.7256550900000001E-2</v>
      </c>
      <c r="AQ89" s="98">
        <f>Modeloutput!H670/1000</f>
        <v>8.8346174499999994E-4</v>
      </c>
      <c r="AR89" s="98">
        <f>Modeloutput!I670/1000</f>
        <v>0</v>
      </c>
      <c r="AS89" s="98">
        <f>Modeloutput!J670/1000</f>
        <v>0</v>
      </c>
      <c r="AT89" s="95">
        <f>Modeloutput!K670/1000</f>
        <v>0</v>
      </c>
      <c r="AU89" s="95">
        <f>Modeloutput!L670/1000</f>
        <v>0</v>
      </c>
      <c r="AV89" s="95">
        <f>Modeloutput!M670/1000</f>
        <v>9.0429446399999999E-3</v>
      </c>
      <c r="AW89" s="95">
        <f>Modeloutput!N670/1000</f>
        <v>0</v>
      </c>
      <c r="AX89" s="95">
        <f>Modeloutput!O670/1000</f>
        <v>0</v>
      </c>
      <c r="AY89" s="93">
        <f>Modeloutput!P670/1000</f>
        <v>0</v>
      </c>
      <c r="BA89" s="7" t="s">
        <v>4</v>
      </c>
      <c r="BB89" s="93">
        <f>Modeloutput!B925/1000</f>
        <v>4.5887658100000006E-2</v>
      </c>
      <c r="BC89" s="93">
        <f>Modeloutput!C925/1000</f>
        <v>0</v>
      </c>
      <c r="BD89" s="93">
        <f>Modeloutput!D925/1000</f>
        <v>4.5887658100000006E-2</v>
      </c>
      <c r="BE89" s="98">
        <f>Modeloutput!E925/1000</f>
        <v>2.2952514600000001E-2</v>
      </c>
      <c r="BF89" s="98">
        <f>Modeloutput!F925/1000</f>
        <v>3.3026151900000002E-3</v>
      </c>
      <c r="BG89" s="98">
        <f>Modeloutput!G925/1000</f>
        <v>1.8591564099999999E-2</v>
      </c>
      <c r="BH89" s="98">
        <f>Modeloutput!H925/1000</f>
        <v>1.0409641700000001E-3</v>
      </c>
      <c r="BI89" s="98">
        <f>Modeloutput!I925/1000</f>
        <v>0</v>
      </c>
      <c r="BJ89" s="98">
        <f>Modeloutput!J925/1000</f>
        <v>0</v>
      </c>
      <c r="BK89" s="95">
        <f>Modeloutput!K925/1000</f>
        <v>0</v>
      </c>
      <c r="BL89" s="95">
        <f>Modeloutput!L925/1000</f>
        <v>0</v>
      </c>
      <c r="BM89" s="95">
        <f>Modeloutput!M925/1000</f>
        <v>0</v>
      </c>
      <c r="BN89" s="95">
        <f>Modeloutput!N925/1000</f>
        <v>0</v>
      </c>
      <c r="BO89" s="95">
        <f>Modeloutput!O925/1000</f>
        <v>0</v>
      </c>
      <c r="BP89" s="93">
        <f>Modeloutput!P925/1000</f>
        <v>0</v>
      </c>
      <c r="BR89" s="7" t="s">
        <v>4</v>
      </c>
      <c r="BS89" s="93">
        <f>Modeloutput!B1180/1000</f>
        <v>4.0854118000000002E-2</v>
      </c>
      <c r="BT89" s="93">
        <f>Modeloutput!C1180/1000</f>
        <v>0</v>
      </c>
      <c r="BU89" s="93">
        <f>Modeloutput!D1180/1000</f>
        <v>4.0854118000000002E-2</v>
      </c>
      <c r="BV89" s="98">
        <f>Modeloutput!E1180/1000</f>
        <v>1.9087821900000003E-2</v>
      </c>
      <c r="BW89" s="98">
        <f>Modeloutput!F1180/1000</f>
        <v>2.8516250300000003E-3</v>
      </c>
      <c r="BX89" s="98">
        <f>Modeloutput!G1180/1000</f>
        <v>1.7906214599999998E-2</v>
      </c>
      <c r="BY89" s="98">
        <f>Modeloutput!H1180/1000</f>
        <v>9.9858985900000007E-4</v>
      </c>
      <c r="BZ89" s="98">
        <f>Modeloutput!I1180/1000</f>
        <v>0</v>
      </c>
      <c r="CA89" s="98">
        <f>Modeloutput!J1180/1000</f>
        <v>0</v>
      </c>
      <c r="CB89" s="95">
        <f>Modeloutput!K1180/1000</f>
        <v>0</v>
      </c>
      <c r="CC89" s="95">
        <f>Modeloutput!L1180/1000</f>
        <v>0</v>
      </c>
      <c r="CD89" s="95">
        <f>Modeloutput!M1180/1000</f>
        <v>9.8665850899999988E-6</v>
      </c>
      <c r="CE89" s="95">
        <f>Modeloutput!N1180/1000</f>
        <v>0</v>
      </c>
      <c r="CF89" s="95">
        <f>Modeloutput!O1180/1000</f>
        <v>0</v>
      </c>
      <c r="CG89" s="93">
        <f>Modeloutput!P1180/1000</f>
        <v>0</v>
      </c>
    </row>
    <row r="90" spans="1:85" s="7" customFormat="1" x14ac:dyDescent="0.25">
      <c r="B90" s="7" t="s">
        <v>5</v>
      </c>
      <c r="C90" s="93">
        <f>Modeloutput!B161/1000</f>
        <v>4.5698864399999997E-2</v>
      </c>
      <c r="D90" s="93">
        <f>Modeloutput!C161/1000</f>
        <v>4.5698864399999997E-2</v>
      </c>
      <c r="E90" s="93">
        <f>Modeloutput!D161/1000</f>
        <v>-7.1054273600000004E-18</v>
      </c>
      <c r="F90" s="99">
        <f>Modeloutput!E161/1000</f>
        <v>2.19186481E-2</v>
      </c>
      <c r="G90" s="99">
        <f>Modeloutput!F161/1000</f>
        <v>3.3915844700000003E-3</v>
      </c>
      <c r="H90" s="99">
        <f>Modeloutput!G161/1000</f>
        <v>2.0142562900000001E-2</v>
      </c>
      <c r="I90" s="99">
        <f>Modeloutput!H161/1000</f>
        <v>2.46068909E-4</v>
      </c>
      <c r="J90" s="99">
        <f>Modeloutput!I161/1000</f>
        <v>0</v>
      </c>
      <c r="K90" s="99">
        <f>Modeloutput!J161/1000</f>
        <v>0</v>
      </c>
      <c r="L90" s="93">
        <f>Modeloutput!K161/1000</f>
        <v>0</v>
      </c>
      <c r="M90" s="93">
        <f>Modeloutput!L161/1000</f>
        <v>0</v>
      </c>
      <c r="N90" s="93">
        <f>Modeloutput!M161/1000</f>
        <v>0</v>
      </c>
      <c r="O90" s="93">
        <f>Modeloutput!N161/1000</f>
        <v>0</v>
      </c>
      <c r="P90" s="93">
        <f>Modeloutput!O161/1000</f>
        <v>0</v>
      </c>
      <c r="Q90" s="93">
        <f>Modeloutput!P161/1000</f>
        <v>0</v>
      </c>
      <c r="S90" s="7" t="s">
        <v>5</v>
      </c>
      <c r="T90" s="93">
        <f>Modeloutput!B416/1000</f>
        <v>2.1621577499999999E-2</v>
      </c>
      <c r="U90" s="93">
        <f>Modeloutput!C416/1000</f>
        <v>2.1621577499999999E-2</v>
      </c>
      <c r="V90" s="93">
        <f>Modeloutput!D416/1000</f>
        <v>3.5527136800000002E-18</v>
      </c>
      <c r="W90" s="99">
        <f>Modeloutput!E416/1000</f>
        <v>1.4335310399999999E-2</v>
      </c>
      <c r="X90" s="99">
        <f>Modeloutput!F416/1000</f>
        <v>2.6085984199999998E-3</v>
      </c>
      <c r="Y90" s="99">
        <f>Modeloutput!G416/1000</f>
        <v>4.4929773400000008E-3</v>
      </c>
      <c r="Z90" s="99">
        <f>Modeloutput!H416/1000</f>
        <v>1.8469131699999999E-4</v>
      </c>
      <c r="AA90" s="99">
        <f>Modeloutput!I416/1000</f>
        <v>0</v>
      </c>
      <c r="AB90" s="99">
        <f>Modeloutput!J416/1000</f>
        <v>0</v>
      </c>
      <c r="AC90" s="93">
        <f>Modeloutput!K416/1000</f>
        <v>0</v>
      </c>
      <c r="AD90" s="93">
        <f>Modeloutput!L416/1000</f>
        <v>0</v>
      </c>
      <c r="AE90" s="93">
        <f>Modeloutput!M416/1000</f>
        <v>0</v>
      </c>
      <c r="AF90" s="93">
        <f>Modeloutput!N416/1000</f>
        <v>0</v>
      </c>
      <c r="AG90" s="93">
        <f>Modeloutput!O416/1000</f>
        <v>0</v>
      </c>
      <c r="AH90" s="93">
        <f>Modeloutput!P416/1000</f>
        <v>0</v>
      </c>
      <c r="AJ90" s="7" t="s">
        <v>5</v>
      </c>
      <c r="AK90" s="93">
        <f>Modeloutput!B671/1000</f>
        <v>1.50564047E-2</v>
      </c>
      <c r="AL90" s="93">
        <f>Modeloutput!C671/1000</f>
        <v>1.50564047E-2</v>
      </c>
      <c r="AM90" s="93">
        <f>Modeloutput!D671/1000</f>
        <v>1.7763568400000001E-18</v>
      </c>
      <c r="AN90" s="99">
        <f>Modeloutput!E671/1000</f>
        <v>9.4720475499999995E-3</v>
      </c>
      <c r="AO90" s="99">
        <f>Modeloutput!F671/1000</f>
        <v>2.6085984199999998E-3</v>
      </c>
      <c r="AP90" s="99">
        <f>Modeloutput!G671/1000</f>
        <v>2.7910673899999997E-3</v>
      </c>
      <c r="AQ90" s="99">
        <f>Modeloutput!H671/1000</f>
        <v>1.8469131699999999E-4</v>
      </c>
      <c r="AR90" s="99">
        <f>Modeloutput!I671/1000</f>
        <v>0</v>
      </c>
      <c r="AS90" s="99">
        <f>Modeloutput!J671/1000</f>
        <v>0</v>
      </c>
      <c r="AT90" s="93">
        <f>Modeloutput!K671/1000</f>
        <v>0</v>
      </c>
      <c r="AU90" s="93">
        <f>Modeloutput!L671/1000</f>
        <v>0</v>
      </c>
      <c r="AV90" s="93">
        <f>Modeloutput!M671/1000</f>
        <v>0</v>
      </c>
      <c r="AW90" s="93">
        <f>Modeloutput!N671/1000</f>
        <v>0</v>
      </c>
      <c r="AX90" s="93">
        <f>Modeloutput!O671/1000</f>
        <v>0</v>
      </c>
      <c r="AY90" s="93">
        <f>Modeloutput!P671/1000</f>
        <v>0</v>
      </c>
      <c r="BA90" s="7" t="s">
        <v>5</v>
      </c>
      <c r="BB90" s="93">
        <f>Modeloutput!B926/1000</f>
        <v>2.9417538199999999E-2</v>
      </c>
      <c r="BC90" s="93">
        <f>Modeloutput!C926/1000</f>
        <v>2.9417538199999999E-2</v>
      </c>
      <c r="BD90" s="93">
        <f>Modeloutput!D926/1000</f>
        <v>0</v>
      </c>
      <c r="BE90" s="99">
        <f>Modeloutput!E926/1000</f>
        <v>1.6419081999999998E-2</v>
      </c>
      <c r="BF90" s="99">
        <f>Modeloutput!F926/1000</f>
        <v>2.6085984199999998E-3</v>
      </c>
      <c r="BG90" s="99">
        <f>Modeloutput!G926/1000</f>
        <v>1.02051664E-2</v>
      </c>
      <c r="BH90" s="99">
        <f>Modeloutput!H926/1000</f>
        <v>1.8469131699999999E-4</v>
      </c>
      <c r="BI90" s="99">
        <f>Modeloutput!I926/1000</f>
        <v>0</v>
      </c>
      <c r="BJ90" s="99">
        <f>Modeloutput!J926/1000</f>
        <v>0</v>
      </c>
      <c r="BK90" s="93">
        <f>Modeloutput!K926/1000</f>
        <v>0</v>
      </c>
      <c r="BL90" s="93">
        <f>Modeloutput!L926/1000</f>
        <v>0</v>
      </c>
      <c r="BM90" s="93">
        <f>Modeloutput!M926/1000</f>
        <v>0</v>
      </c>
      <c r="BN90" s="93">
        <f>Modeloutput!N926/1000</f>
        <v>0</v>
      </c>
      <c r="BO90" s="93">
        <f>Modeloutput!O926/1000</f>
        <v>0</v>
      </c>
      <c r="BP90" s="93">
        <f>Modeloutput!P926/1000</f>
        <v>0</v>
      </c>
      <c r="BR90" s="7" t="s">
        <v>5</v>
      </c>
      <c r="BS90" s="93">
        <f>Modeloutput!B1181/1000</f>
        <v>6.8030615200000005E-2</v>
      </c>
      <c r="BT90" s="93">
        <f>Modeloutput!C1181/1000</f>
        <v>6.8030615200000005E-2</v>
      </c>
      <c r="BU90" s="93">
        <f>Modeloutput!D1181/1000</f>
        <v>0</v>
      </c>
      <c r="BV90" s="99">
        <f>Modeloutput!E1181/1000</f>
        <v>4.6734767099999998E-2</v>
      </c>
      <c r="BW90" s="99">
        <f>Modeloutput!F1181/1000</f>
        <v>5.8840168899999996E-3</v>
      </c>
      <c r="BX90" s="99">
        <f>Modeloutput!G1181/1000</f>
        <v>1.50274095E-2</v>
      </c>
      <c r="BY90" s="99">
        <f>Modeloutput!H1181/1000</f>
        <v>3.8442167700000003E-4</v>
      </c>
      <c r="BZ90" s="99">
        <f>Modeloutput!I1181/1000</f>
        <v>0</v>
      </c>
      <c r="CA90" s="99">
        <f>Modeloutput!J1181/1000</f>
        <v>0</v>
      </c>
      <c r="CB90" s="93">
        <f>Modeloutput!K1181/1000</f>
        <v>0</v>
      </c>
      <c r="CC90" s="93">
        <f>Modeloutput!L1181/1000</f>
        <v>0</v>
      </c>
      <c r="CD90" s="93">
        <f>Modeloutput!M1181/1000</f>
        <v>0</v>
      </c>
      <c r="CE90" s="93">
        <f>Modeloutput!N1181/1000</f>
        <v>0</v>
      </c>
      <c r="CF90" s="93">
        <f>Modeloutput!O1181/1000</f>
        <v>0</v>
      </c>
      <c r="CG90" s="93">
        <f>Modeloutput!P1181/1000</f>
        <v>0</v>
      </c>
    </row>
    <row r="91" spans="1:85" s="7" customFormat="1" x14ac:dyDescent="0.25">
      <c r="B91" s="7" t="s">
        <v>6</v>
      </c>
      <c r="C91" s="93">
        <f>Modeloutput!B162/1000</f>
        <v>0</v>
      </c>
      <c r="D91" s="93">
        <f>Modeloutput!C162/1000</f>
        <v>0</v>
      </c>
      <c r="E91" s="93">
        <f>Modeloutput!D162/1000</f>
        <v>0</v>
      </c>
      <c r="F91" s="99">
        <f>Modeloutput!E162/1000</f>
        <v>0</v>
      </c>
      <c r="G91" s="99">
        <f>Modeloutput!F162/1000</f>
        <v>0</v>
      </c>
      <c r="H91" s="99">
        <f>Modeloutput!G162/1000</f>
        <v>0</v>
      </c>
      <c r="I91" s="99">
        <f>Modeloutput!H162/1000</f>
        <v>0</v>
      </c>
      <c r="J91" s="99">
        <f>Modeloutput!I162/1000</f>
        <v>0</v>
      </c>
      <c r="K91" s="99">
        <f>Modeloutput!J162/1000</f>
        <v>0</v>
      </c>
      <c r="L91" s="93">
        <f>Modeloutput!K162/1000</f>
        <v>0</v>
      </c>
      <c r="M91" s="93">
        <f>Modeloutput!L162/1000</f>
        <v>0</v>
      </c>
      <c r="N91" s="93">
        <f>Modeloutput!M162/1000</f>
        <v>0</v>
      </c>
      <c r="O91" s="93">
        <f>Modeloutput!N162/1000</f>
        <v>0</v>
      </c>
      <c r="P91" s="93">
        <f>Modeloutput!O162/1000</f>
        <v>0</v>
      </c>
      <c r="Q91" s="93">
        <f>Modeloutput!P162/1000</f>
        <v>0</v>
      </c>
      <c r="S91" s="7" t="s">
        <v>6</v>
      </c>
      <c r="T91" s="93">
        <f>Modeloutput!B417/1000</f>
        <v>0</v>
      </c>
      <c r="U91" s="93">
        <f>Modeloutput!C417/1000</f>
        <v>0</v>
      </c>
      <c r="V91" s="93">
        <f>Modeloutput!D417/1000</f>
        <v>0</v>
      </c>
      <c r="W91" s="99">
        <f>Modeloutput!E417/1000</f>
        <v>0</v>
      </c>
      <c r="X91" s="99">
        <f>Modeloutput!F417/1000</f>
        <v>0</v>
      </c>
      <c r="Y91" s="99">
        <f>Modeloutput!G417/1000</f>
        <v>0</v>
      </c>
      <c r="Z91" s="99">
        <f>Modeloutput!H417/1000</f>
        <v>0</v>
      </c>
      <c r="AA91" s="99">
        <f>Modeloutput!I417/1000</f>
        <v>0</v>
      </c>
      <c r="AB91" s="99">
        <f>Modeloutput!J417/1000</f>
        <v>0</v>
      </c>
      <c r="AC91" s="93">
        <f>Modeloutput!K417/1000</f>
        <v>0</v>
      </c>
      <c r="AD91" s="93">
        <f>Modeloutput!L417/1000</f>
        <v>0</v>
      </c>
      <c r="AE91" s="93">
        <f>Modeloutput!M417/1000</f>
        <v>0</v>
      </c>
      <c r="AF91" s="93">
        <f>Modeloutput!N417/1000</f>
        <v>0</v>
      </c>
      <c r="AG91" s="93">
        <f>Modeloutput!O417/1000</f>
        <v>0</v>
      </c>
      <c r="AH91" s="93">
        <f>Modeloutput!P417/1000</f>
        <v>0</v>
      </c>
      <c r="AJ91" s="7" t="s">
        <v>6</v>
      </c>
      <c r="AK91" s="93">
        <f>Modeloutput!B672/1000</f>
        <v>0</v>
      </c>
      <c r="AL91" s="93">
        <f>Modeloutput!C672/1000</f>
        <v>0</v>
      </c>
      <c r="AM91" s="93">
        <f>Modeloutput!D672/1000</f>
        <v>0</v>
      </c>
      <c r="AN91" s="99">
        <f>Modeloutput!E672/1000</f>
        <v>0</v>
      </c>
      <c r="AO91" s="99">
        <f>Modeloutput!F672/1000</f>
        <v>0</v>
      </c>
      <c r="AP91" s="99">
        <f>Modeloutput!G672/1000</f>
        <v>0</v>
      </c>
      <c r="AQ91" s="99">
        <f>Modeloutput!H672/1000</f>
        <v>0</v>
      </c>
      <c r="AR91" s="99">
        <f>Modeloutput!I672/1000</f>
        <v>0</v>
      </c>
      <c r="AS91" s="99">
        <f>Modeloutput!J672/1000</f>
        <v>0</v>
      </c>
      <c r="AT91" s="93">
        <f>Modeloutput!K672/1000</f>
        <v>0</v>
      </c>
      <c r="AU91" s="93">
        <f>Modeloutput!L672/1000</f>
        <v>0</v>
      </c>
      <c r="AV91" s="93">
        <f>Modeloutput!M672/1000</f>
        <v>0</v>
      </c>
      <c r="AW91" s="93">
        <f>Modeloutput!N672/1000</f>
        <v>0</v>
      </c>
      <c r="AX91" s="93">
        <f>Modeloutput!O672/1000</f>
        <v>0</v>
      </c>
      <c r="AY91" s="93">
        <f>Modeloutput!P672/1000</f>
        <v>0</v>
      </c>
      <c r="BA91" s="7" t="s">
        <v>6</v>
      </c>
      <c r="BB91" s="93">
        <f>Modeloutput!B927/1000</f>
        <v>0</v>
      </c>
      <c r="BC91" s="93">
        <f>Modeloutput!C927/1000</f>
        <v>0</v>
      </c>
      <c r="BD91" s="93">
        <f>Modeloutput!D927/1000</f>
        <v>0</v>
      </c>
      <c r="BE91" s="99">
        <f>Modeloutput!E927/1000</f>
        <v>0</v>
      </c>
      <c r="BF91" s="99">
        <f>Modeloutput!F927/1000</f>
        <v>0</v>
      </c>
      <c r="BG91" s="99">
        <f>Modeloutput!G927/1000</f>
        <v>0</v>
      </c>
      <c r="BH91" s="99">
        <f>Modeloutput!H927/1000</f>
        <v>0</v>
      </c>
      <c r="BI91" s="99">
        <f>Modeloutput!I927/1000</f>
        <v>0</v>
      </c>
      <c r="BJ91" s="99">
        <f>Modeloutput!J927/1000</f>
        <v>0</v>
      </c>
      <c r="BK91" s="93">
        <f>Modeloutput!K927/1000</f>
        <v>0</v>
      </c>
      <c r="BL91" s="93">
        <f>Modeloutput!L927/1000</f>
        <v>0</v>
      </c>
      <c r="BM91" s="93">
        <f>Modeloutput!M927/1000</f>
        <v>0</v>
      </c>
      <c r="BN91" s="93">
        <f>Modeloutput!N927/1000</f>
        <v>0</v>
      </c>
      <c r="BO91" s="93">
        <f>Modeloutput!O927/1000</f>
        <v>0</v>
      </c>
      <c r="BP91" s="93">
        <f>Modeloutput!P927/1000</f>
        <v>0</v>
      </c>
      <c r="BR91" s="7" t="s">
        <v>6</v>
      </c>
      <c r="BS91" s="93">
        <f>Modeloutput!B1182/1000</f>
        <v>1.9946347400000002E-2</v>
      </c>
      <c r="BT91" s="93">
        <f>Modeloutput!C1182/1000</f>
        <v>1.9946347400000002E-2</v>
      </c>
      <c r="BU91" s="93">
        <f>Modeloutput!D1182/1000</f>
        <v>0</v>
      </c>
      <c r="BV91" s="99">
        <f>Modeloutput!E1182/1000</f>
        <v>1.5675133099999999E-2</v>
      </c>
      <c r="BW91" s="99">
        <f>Modeloutput!F1182/1000</f>
        <v>1.1712480199999999E-3</v>
      </c>
      <c r="BX91" s="99">
        <f>Modeloutput!G1182/1000</f>
        <v>2.9427145900000002E-3</v>
      </c>
      <c r="BY91" s="99">
        <f>Modeloutput!H1182/1000</f>
        <v>1.57251656E-4</v>
      </c>
      <c r="BZ91" s="99">
        <f>Modeloutput!I1182/1000</f>
        <v>0</v>
      </c>
      <c r="CA91" s="99">
        <f>Modeloutput!J1182/1000</f>
        <v>0</v>
      </c>
      <c r="CB91" s="93">
        <f>Modeloutput!K1182/1000</f>
        <v>0</v>
      </c>
      <c r="CC91" s="93">
        <f>Modeloutput!L1182/1000</f>
        <v>0</v>
      </c>
      <c r="CD91" s="93">
        <f>Modeloutput!M1182/1000</f>
        <v>0</v>
      </c>
      <c r="CE91" s="93">
        <f>Modeloutput!N1182/1000</f>
        <v>0</v>
      </c>
      <c r="CF91" s="93">
        <f>Modeloutput!O1182/1000</f>
        <v>0</v>
      </c>
      <c r="CG91" s="93">
        <f>Modeloutput!P1182/1000</f>
        <v>0</v>
      </c>
    </row>
    <row r="92" spans="1:85" s="7" customFormat="1" x14ac:dyDescent="0.25">
      <c r="B92" s="7" t="s">
        <v>7</v>
      </c>
      <c r="C92" s="93">
        <f>Modeloutput!B163/1000</f>
        <v>1.108136E-3</v>
      </c>
      <c r="D92" s="93">
        <f>Modeloutput!C163/1000</f>
        <v>1.108136E-3</v>
      </c>
      <c r="E92" s="93">
        <f>Modeloutput!D163/1000</f>
        <v>0</v>
      </c>
      <c r="F92" s="99">
        <f>Modeloutput!E163/1000</f>
        <v>0</v>
      </c>
      <c r="G92" s="99">
        <f>Modeloutput!F163/1000</f>
        <v>8.4334878300000007E-4</v>
      </c>
      <c r="H92" s="99">
        <f>Modeloutput!G163/1000</f>
        <v>1.8861384400000001E-4</v>
      </c>
      <c r="I92" s="99">
        <f>Modeloutput!H163/1000</f>
        <v>7.6173368199999994E-5</v>
      </c>
      <c r="J92" s="99">
        <f>Modeloutput!I163/1000</f>
        <v>0</v>
      </c>
      <c r="K92" s="99">
        <f>Modeloutput!J163/1000</f>
        <v>0</v>
      </c>
      <c r="L92" s="93">
        <f>Modeloutput!K163/1000</f>
        <v>0</v>
      </c>
      <c r="M92" s="93">
        <f>Modeloutput!L163/1000</f>
        <v>0</v>
      </c>
      <c r="N92" s="93">
        <f>Modeloutput!M163/1000</f>
        <v>0</v>
      </c>
      <c r="O92" s="93">
        <f>Modeloutput!N163/1000</f>
        <v>0</v>
      </c>
      <c r="P92" s="93">
        <f>Modeloutput!O163/1000</f>
        <v>0</v>
      </c>
      <c r="Q92" s="93">
        <f>Modeloutput!P163/1000</f>
        <v>0</v>
      </c>
      <c r="S92" s="7" t="s">
        <v>7</v>
      </c>
      <c r="T92" s="93">
        <f>Modeloutput!B418/1000</f>
        <v>1.08812352E-3</v>
      </c>
      <c r="U92" s="93">
        <f>Modeloutput!C418/1000</f>
        <v>1.08812352E-3</v>
      </c>
      <c r="V92" s="93">
        <f>Modeloutput!D418/1000</f>
        <v>0</v>
      </c>
      <c r="W92" s="99">
        <f>Modeloutput!E418/1000</f>
        <v>0</v>
      </c>
      <c r="X92" s="99">
        <f>Modeloutput!F418/1000</f>
        <v>8.3539516099999996E-4</v>
      </c>
      <c r="Y92" s="99">
        <f>Modeloutput!G418/1000</f>
        <v>1.7665702499999999E-4</v>
      </c>
      <c r="Z92" s="99">
        <f>Modeloutput!H418/1000</f>
        <v>7.60713358E-5</v>
      </c>
      <c r="AA92" s="99">
        <f>Modeloutput!I418/1000</f>
        <v>0</v>
      </c>
      <c r="AB92" s="99">
        <f>Modeloutput!J418/1000</f>
        <v>0</v>
      </c>
      <c r="AC92" s="93">
        <f>Modeloutput!K418/1000</f>
        <v>0</v>
      </c>
      <c r="AD92" s="93">
        <f>Modeloutput!L418/1000</f>
        <v>0</v>
      </c>
      <c r="AE92" s="93">
        <f>Modeloutput!M418/1000</f>
        <v>0</v>
      </c>
      <c r="AF92" s="93">
        <f>Modeloutput!N418/1000</f>
        <v>0</v>
      </c>
      <c r="AG92" s="93">
        <f>Modeloutput!O418/1000</f>
        <v>0</v>
      </c>
      <c r="AH92" s="93">
        <f>Modeloutput!P418/1000</f>
        <v>0</v>
      </c>
      <c r="AJ92" s="7" t="s">
        <v>7</v>
      </c>
      <c r="AK92" s="93">
        <f>Modeloutput!B673/1000</f>
        <v>9.0429446399999999E-3</v>
      </c>
      <c r="AL92" s="93">
        <f>Modeloutput!C673/1000</f>
        <v>9.0429446399999999E-3</v>
      </c>
      <c r="AM92" s="93">
        <f>Modeloutput!D673/1000</f>
        <v>0</v>
      </c>
      <c r="AN92" s="99">
        <f>Modeloutput!E673/1000</f>
        <v>6.6214517999999998E-3</v>
      </c>
      <c r="AO92" s="99">
        <f>Modeloutput!F673/1000</f>
        <v>9.0130242600000002E-4</v>
      </c>
      <c r="AP92" s="99">
        <f>Modeloutput!G673/1000</f>
        <v>1.4377801400000001E-3</v>
      </c>
      <c r="AQ92" s="99">
        <f>Modeloutput!H673/1000</f>
        <v>8.241027350000001E-5</v>
      </c>
      <c r="AR92" s="99">
        <f>Modeloutput!I673/1000</f>
        <v>0</v>
      </c>
      <c r="AS92" s="99">
        <f>Modeloutput!J673/1000</f>
        <v>0</v>
      </c>
      <c r="AT92" s="93">
        <f>Modeloutput!K673/1000</f>
        <v>0</v>
      </c>
      <c r="AU92" s="93">
        <f>Modeloutput!L673/1000</f>
        <v>0</v>
      </c>
      <c r="AV92" s="93">
        <f>Modeloutput!M673/1000</f>
        <v>0</v>
      </c>
      <c r="AW92" s="93">
        <f>Modeloutput!N673/1000</f>
        <v>0</v>
      </c>
      <c r="AX92" s="93">
        <f>Modeloutput!O673/1000</f>
        <v>0</v>
      </c>
      <c r="AY92" s="93">
        <f>Modeloutput!P673/1000</f>
        <v>0</v>
      </c>
      <c r="BA92" s="7" t="s">
        <v>7</v>
      </c>
      <c r="BB92" s="93">
        <f>Modeloutput!B928/1000</f>
        <v>0</v>
      </c>
      <c r="BC92" s="93">
        <f>Modeloutput!C928/1000</f>
        <v>0</v>
      </c>
      <c r="BD92" s="93">
        <f>Modeloutput!D928/1000</f>
        <v>0</v>
      </c>
      <c r="BE92" s="99">
        <f>Modeloutput!E928/1000</f>
        <v>0</v>
      </c>
      <c r="BF92" s="99">
        <f>Modeloutput!F928/1000</f>
        <v>0</v>
      </c>
      <c r="BG92" s="99">
        <f>Modeloutput!G928/1000</f>
        <v>0</v>
      </c>
      <c r="BH92" s="99">
        <f>Modeloutput!H928/1000</f>
        <v>0</v>
      </c>
      <c r="BI92" s="99">
        <f>Modeloutput!I928/1000</f>
        <v>0</v>
      </c>
      <c r="BJ92" s="99">
        <f>Modeloutput!J928/1000</f>
        <v>0</v>
      </c>
      <c r="BK92" s="93">
        <f>Modeloutput!K928/1000</f>
        <v>0</v>
      </c>
      <c r="BL92" s="93">
        <f>Modeloutput!L928/1000</f>
        <v>0</v>
      </c>
      <c r="BM92" s="93">
        <f>Modeloutput!M928/1000</f>
        <v>0</v>
      </c>
      <c r="BN92" s="93">
        <f>Modeloutput!N928/1000</f>
        <v>0</v>
      </c>
      <c r="BO92" s="93">
        <f>Modeloutput!O928/1000</f>
        <v>0</v>
      </c>
      <c r="BP92" s="93">
        <f>Modeloutput!P928/1000</f>
        <v>0</v>
      </c>
      <c r="BR92" s="7" t="s">
        <v>7</v>
      </c>
      <c r="BS92" s="93">
        <f>Modeloutput!B1183/1000</f>
        <v>9.8665850899999988E-6</v>
      </c>
      <c r="BT92" s="93">
        <f>Modeloutput!C1183/1000</f>
        <v>9.8665850899999988E-6</v>
      </c>
      <c r="BU92" s="93">
        <f>Modeloutput!D1183/1000</f>
        <v>0</v>
      </c>
      <c r="BV92" s="99">
        <f>Modeloutput!E1183/1000</f>
        <v>0</v>
      </c>
      <c r="BW92" s="99">
        <f>Modeloutput!F1183/1000</f>
        <v>5.2403980900000003E-6</v>
      </c>
      <c r="BX92" s="99">
        <f>Modeloutput!G1183/1000</f>
        <v>2.4294710799999999E-6</v>
      </c>
      <c r="BY92" s="99">
        <f>Modeloutput!H1183/1000</f>
        <v>2.19671591E-6</v>
      </c>
      <c r="BZ92" s="99">
        <f>Modeloutput!I1183/1000</f>
        <v>0</v>
      </c>
      <c r="CA92" s="99">
        <f>Modeloutput!J1183/1000</f>
        <v>0</v>
      </c>
      <c r="CB92" s="93">
        <f>Modeloutput!K1183/1000</f>
        <v>0</v>
      </c>
      <c r="CC92" s="93">
        <f>Modeloutput!L1183/1000</f>
        <v>0</v>
      </c>
      <c r="CD92" s="93">
        <f>Modeloutput!M1183/1000</f>
        <v>0</v>
      </c>
      <c r="CE92" s="93">
        <f>Modeloutput!N1183/1000</f>
        <v>0</v>
      </c>
      <c r="CF92" s="93">
        <f>Modeloutput!O1183/1000</f>
        <v>0</v>
      </c>
      <c r="CG92" s="93">
        <f>Modeloutput!P1183/1000</f>
        <v>0</v>
      </c>
    </row>
    <row r="93" spans="1:85" s="7" customFormat="1" x14ac:dyDescent="0.25">
      <c r="B93" s="7" t="s">
        <v>8</v>
      </c>
      <c r="C93" s="93">
        <f>Modeloutput!B164/1000</f>
        <v>0</v>
      </c>
      <c r="D93" s="93">
        <f>Modeloutput!C164/1000</f>
        <v>0</v>
      </c>
      <c r="E93" s="93">
        <f>Modeloutput!D164/1000</f>
        <v>0</v>
      </c>
      <c r="F93" s="99">
        <f>Modeloutput!E164/1000</f>
        <v>0</v>
      </c>
      <c r="G93" s="99">
        <f>Modeloutput!F164/1000</f>
        <v>0</v>
      </c>
      <c r="H93" s="99">
        <f>Modeloutput!G164/1000</f>
        <v>0</v>
      </c>
      <c r="I93" s="99">
        <f>Modeloutput!H164/1000</f>
        <v>0</v>
      </c>
      <c r="J93" s="99">
        <f>Modeloutput!I164/1000</f>
        <v>0</v>
      </c>
      <c r="K93" s="99">
        <f>Modeloutput!J164/1000</f>
        <v>0</v>
      </c>
      <c r="L93" s="93">
        <f>Modeloutput!K164/1000</f>
        <v>0</v>
      </c>
      <c r="M93" s="93">
        <f>Modeloutput!L164/1000</f>
        <v>0</v>
      </c>
      <c r="N93" s="93">
        <f>Modeloutput!M164/1000</f>
        <v>0</v>
      </c>
      <c r="O93" s="93">
        <f>Modeloutput!N164/1000</f>
        <v>0</v>
      </c>
      <c r="P93" s="93">
        <f>Modeloutput!O164/1000</f>
        <v>0</v>
      </c>
      <c r="Q93" s="93">
        <f>Modeloutput!P164/1000</f>
        <v>0</v>
      </c>
      <c r="S93" s="7" t="s">
        <v>8</v>
      </c>
      <c r="T93" s="93">
        <f>Modeloutput!B419/1000</f>
        <v>0</v>
      </c>
      <c r="U93" s="93">
        <f>Modeloutput!C419/1000</f>
        <v>0</v>
      </c>
      <c r="V93" s="93">
        <f>Modeloutput!D419/1000</f>
        <v>0</v>
      </c>
      <c r="W93" s="99">
        <f>Modeloutput!E419/1000</f>
        <v>0</v>
      </c>
      <c r="X93" s="99">
        <f>Modeloutput!F419/1000</f>
        <v>0</v>
      </c>
      <c r="Y93" s="99">
        <f>Modeloutput!G419/1000</f>
        <v>0</v>
      </c>
      <c r="Z93" s="99">
        <f>Modeloutput!H419/1000</f>
        <v>0</v>
      </c>
      <c r="AA93" s="99">
        <f>Modeloutput!I419/1000</f>
        <v>0</v>
      </c>
      <c r="AB93" s="99">
        <f>Modeloutput!J419/1000</f>
        <v>0</v>
      </c>
      <c r="AC93" s="93">
        <f>Modeloutput!K419/1000</f>
        <v>0</v>
      </c>
      <c r="AD93" s="93">
        <f>Modeloutput!L419/1000</f>
        <v>0</v>
      </c>
      <c r="AE93" s="93">
        <f>Modeloutput!M419/1000</f>
        <v>0</v>
      </c>
      <c r="AF93" s="93">
        <f>Modeloutput!N419/1000</f>
        <v>0</v>
      </c>
      <c r="AG93" s="93">
        <f>Modeloutput!O419/1000</f>
        <v>0</v>
      </c>
      <c r="AH93" s="93">
        <f>Modeloutput!P419/1000</f>
        <v>0</v>
      </c>
      <c r="AJ93" s="7" t="s">
        <v>8</v>
      </c>
      <c r="AK93" s="93">
        <f>Modeloutput!B674/1000</f>
        <v>0</v>
      </c>
      <c r="AL93" s="93">
        <f>Modeloutput!C674/1000</f>
        <v>0</v>
      </c>
      <c r="AM93" s="93">
        <f>Modeloutput!D674/1000</f>
        <v>0</v>
      </c>
      <c r="AN93" s="99">
        <f>Modeloutput!E674/1000</f>
        <v>0</v>
      </c>
      <c r="AO93" s="99">
        <f>Modeloutput!F674/1000</f>
        <v>0</v>
      </c>
      <c r="AP93" s="99">
        <f>Modeloutput!G674/1000</f>
        <v>0</v>
      </c>
      <c r="AQ93" s="99">
        <f>Modeloutput!H674/1000</f>
        <v>0</v>
      </c>
      <c r="AR93" s="99">
        <f>Modeloutput!I674/1000</f>
        <v>0</v>
      </c>
      <c r="AS93" s="99">
        <f>Modeloutput!J674/1000</f>
        <v>0</v>
      </c>
      <c r="AT93" s="93">
        <f>Modeloutput!K674/1000</f>
        <v>0</v>
      </c>
      <c r="AU93" s="93">
        <f>Modeloutput!L674/1000</f>
        <v>0</v>
      </c>
      <c r="AV93" s="93">
        <f>Modeloutput!M674/1000</f>
        <v>0</v>
      </c>
      <c r="AW93" s="93">
        <f>Modeloutput!N674/1000</f>
        <v>0</v>
      </c>
      <c r="AX93" s="93">
        <f>Modeloutput!O674/1000</f>
        <v>0</v>
      </c>
      <c r="AY93" s="93">
        <f>Modeloutput!P674/1000</f>
        <v>0</v>
      </c>
      <c r="BA93" s="7" t="s">
        <v>8</v>
      </c>
      <c r="BB93" s="93">
        <f>Modeloutput!B929/1000</f>
        <v>0</v>
      </c>
      <c r="BC93" s="93">
        <f>Modeloutput!C929/1000</f>
        <v>0</v>
      </c>
      <c r="BD93" s="93">
        <f>Modeloutput!D929/1000</f>
        <v>0</v>
      </c>
      <c r="BE93" s="99">
        <f>Modeloutput!E929/1000</f>
        <v>0</v>
      </c>
      <c r="BF93" s="99">
        <f>Modeloutput!F929/1000</f>
        <v>0</v>
      </c>
      <c r="BG93" s="99">
        <f>Modeloutput!G929/1000</f>
        <v>0</v>
      </c>
      <c r="BH93" s="99">
        <f>Modeloutput!H929/1000</f>
        <v>0</v>
      </c>
      <c r="BI93" s="99">
        <f>Modeloutput!I929/1000</f>
        <v>0</v>
      </c>
      <c r="BJ93" s="99">
        <f>Modeloutput!J929/1000</f>
        <v>0</v>
      </c>
      <c r="BK93" s="93">
        <f>Modeloutput!K929/1000</f>
        <v>0</v>
      </c>
      <c r="BL93" s="93">
        <f>Modeloutput!L929/1000</f>
        <v>0</v>
      </c>
      <c r="BM93" s="93">
        <f>Modeloutput!M929/1000</f>
        <v>0</v>
      </c>
      <c r="BN93" s="93">
        <f>Modeloutput!N929/1000</f>
        <v>0</v>
      </c>
      <c r="BO93" s="93">
        <f>Modeloutput!O929/1000</f>
        <v>0</v>
      </c>
      <c r="BP93" s="93">
        <f>Modeloutput!P929/1000</f>
        <v>0</v>
      </c>
      <c r="BR93" s="7" t="s">
        <v>8</v>
      </c>
      <c r="BS93" s="93">
        <f>Modeloutput!B1184/1000</f>
        <v>0</v>
      </c>
      <c r="BT93" s="93">
        <f>Modeloutput!C1184/1000</f>
        <v>0</v>
      </c>
      <c r="BU93" s="93">
        <f>Modeloutput!D1184/1000</f>
        <v>0</v>
      </c>
      <c r="BV93" s="99">
        <f>Modeloutput!E1184/1000</f>
        <v>0</v>
      </c>
      <c r="BW93" s="99">
        <f>Modeloutput!F1184/1000</f>
        <v>0</v>
      </c>
      <c r="BX93" s="99">
        <f>Modeloutput!G1184/1000</f>
        <v>0</v>
      </c>
      <c r="BY93" s="99">
        <f>Modeloutput!H1184/1000</f>
        <v>0</v>
      </c>
      <c r="BZ93" s="99">
        <f>Modeloutput!I1184/1000</f>
        <v>0</v>
      </c>
      <c r="CA93" s="99">
        <f>Modeloutput!J1184/1000</f>
        <v>0</v>
      </c>
      <c r="CB93" s="93">
        <f>Modeloutput!K1184/1000</f>
        <v>0</v>
      </c>
      <c r="CC93" s="93">
        <f>Modeloutput!L1184/1000</f>
        <v>0</v>
      </c>
      <c r="CD93" s="93">
        <f>Modeloutput!M1184/1000</f>
        <v>0</v>
      </c>
      <c r="CE93" s="93">
        <f>Modeloutput!N1184/1000</f>
        <v>0</v>
      </c>
      <c r="CF93" s="93">
        <f>Modeloutput!O1184/1000</f>
        <v>0</v>
      </c>
      <c r="CG93" s="93">
        <f>Modeloutput!P1184/1000</f>
        <v>0</v>
      </c>
    </row>
    <row r="94" spans="1:85" s="7" customFormat="1" x14ac:dyDescent="0.25">
      <c r="B94" s="7" t="s">
        <v>9</v>
      </c>
      <c r="C94" s="93">
        <f>Modeloutput!B165/1000</f>
        <v>0</v>
      </c>
      <c r="D94" s="93">
        <f>Modeloutput!C165/1000</f>
        <v>0</v>
      </c>
      <c r="E94" s="93">
        <f>Modeloutput!D165/1000</f>
        <v>0</v>
      </c>
      <c r="F94" s="99">
        <f>Modeloutput!E165/1000</f>
        <v>0</v>
      </c>
      <c r="G94" s="99">
        <f>Modeloutput!F165/1000</f>
        <v>0</v>
      </c>
      <c r="H94" s="99">
        <f>Modeloutput!G165/1000</f>
        <v>0</v>
      </c>
      <c r="I94" s="99">
        <f>Modeloutput!H165/1000</f>
        <v>0</v>
      </c>
      <c r="J94" s="99">
        <f>Modeloutput!I165/1000</f>
        <v>0</v>
      </c>
      <c r="K94" s="99">
        <f>Modeloutput!J165/1000</f>
        <v>0</v>
      </c>
      <c r="L94" s="93">
        <f>Modeloutput!K165/1000</f>
        <v>0</v>
      </c>
      <c r="M94" s="93">
        <f>Modeloutput!L165/1000</f>
        <v>0</v>
      </c>
      <c r="N94" s="93">
        <f>Modeloutput!M165/1000</f>
        <v>0</v>
      </c>
      <c r="O94" s="93">
        <f>Modeloutput!N165/1000</f>
        <v>0</v>
      </c>
      <c r="P94" s="93">
        <f>Modeloutput!O165/1000</f>
        <v>0</v>
      </c>
      <c r="Q94" s="93">
        <f>Modeloutput!P165/1000</f>
        <v>0</v>
      </c>
      <c r="S94" s="7" t="s">
        <v>9</v>
      </c>
      <c r="T94" s="93">
        <f>Modeloutput!B420/1000</f>
        <v>0</v>
      </c>
      <c r="U94" s="93">
        <f>Modeloutput!C420/1000</f>
        <v>0</v>
      </c>
      <c r="V94" s="93">
        <f>Modeloutput!D420/1000</f>
        <v>0</v>
      </c>
      <c r="W94" s="99">
        <f>Modeloutput!E420/1000</f>
        <v>0</v>
      </c>
      <c r="X94" s="99">
        <f>Modeloutput!F420/1000</f>
        <v>0</v>
      </c>
      <c r="Y94" s="99">
        <f>Modeloutput!G420/1000</f>
        <v>0</v>
      </c>
      <c r="Z94" s="99">
        <f>Modeloutput!H420/1000</f>
        <v>0</v>
      </c>
      <c r="AA94" s="99">
        <f>Modeloutput!I420/1000</f>
        <v>0</v>
      </c>
      <c r="AB94" s="99">
        <f>Modeloutput!J420/1000</f>
        <v>0</v>
      </c>
      <c r="AC94" s="93">
        <f>Modeloutput!K420/1000</f>
        <v>0</v>
      </c>
      <c r="AD94" s="93">
        <f>Modeloutput!L420/1000</f>
        <v>0</v>
      </c>
      <c r="AE94" s="93">
        <f>Modeloutput!M420/1000</f>
        <v>0</v>
      </c>
      <c r="AF94" s="93">
        <f>Modeloutput!N420/1000</f>
        <v>0</v>
      </c>
      <c r="AG94" s="93">
        <f>Modeloutput!O420/1000</f>
        <v>0</v>
      </c>
      <c r="AH94" s="93">
        <f>Modeloutput!P420/1000</f>
        <v>0</v>
      </c>
      <c r="AJ94" s="7" t="s">
        <v>9</v>
      </c>
      <c r="AK94" s="93">
        <f>Modeloutput!B675/1000</f>
        <v>0</v>
      </c>
      <c r="AL94" s="93">
        <f>Modeloutput!C675/1000</f>
        <v>0</v>
      </c>
      <c r="AM94" s="93">
        <f>Modeloutput!D675/1000</f>
        <v>0</v>
      </c>
      <c r="AN94" s="99">
        <f>Modeloutput!E675/1000</f>
        <v>0</v>
      </c>
      <c r="AO94" s="99">
        <f>Modeloutput!F675/1000</f>
        <v>0</v>
      </c>
      <c r="AP94" s="99">
        <f>Modeloutput!G675/1000</f>
        <v>0</v>
      </c>
      <c r="AQ94" s="99">
        <f>Modeloutput!H675/1000</f>
        <v>0</v>
      </c>
      <c r="AR94" s="99">
        <f>Modeloutput!I675/1000</f>
        <v>0</v>
      </c>
      <c r="AS94" s="99">
        <f>Modeloutput!J675/1000</f>
        <v>0</v>
      </c>
      <c r="AT94" s="93">
        <f>Modeloutput!K675/1000</f>
        <v>0</v>
      </c>
      <c r="AU94" s="93">
        <f>Modeloutput!L675/1000</f>
        <v>0</v>
      </c>
      <c r="AV94" s="93">
        <f>Modeloutput!M675/1000</f>
        <v>0</v>
      </c>
      <c r="AW94" s="93">
        <f>Modeloutput!N675/1000</f>
        <v>0</v>
      </c>
      <c r="AX94" s="93">
        <f>Modeloutput!O675/1000</f>
        <v>0</v>
      </c>
      <c r="AY94" s="93">
        <f>Modeloutput!P675/1000</f>
        <v>0</v>
      </c>
      <c r="BA94" s="7" t="s">
        <v>9</v>
      </c>
      <c r="BB94" s="93">
        <f>Modeloutput!B930/1000</f>
        <v>0</v>
      </c>
      <c r="BC94" s="93">
        <f>Modeloutput!C930/1000</f>
        <v>0</v>
      </c>
      <c r="BD94" s="93">
        <f>Modeloutput!D930/1000</f>
        <v>0</v>
      </c>
      <c r="BE94" s="99">
        <f>Modeloutput!E930/1000</f>
        <v>0</v>
      </c>
      <c r="BF94" s="99">
        <f>Modeloutput!F930/1000</f>
        <v>0</v>
      </c>
      <c r="BG94" s="99">
        <f>Modeloutput!G930/1000</f>
        <v>0</v>
      </c>
      <c r="BH94" s="99">
        <f>Modeloutput!H930/1000</f>
        <v>0</v>
      </c>
      <c r="BI94" s="99">
        <f>Modeloutput!I930/1000</f>
        <v>0</v>
      </c>
      <c r="BJ94" s="99">
        <f>Modeloutput!J930/1000</f>
        <v>0</v>
      </c>
      <c r="BK94" s="93">
        <f>Modeloutput!K930/1000</f>
        <v>0</v>
      </c>
      <c r="BL94" s="93">
        <f>Modeloutput!L930/1000</f>
        <v>0</v>
      </c>
      <c r="BM94" s="93">
        <f>Modeloutput!M930/1000</f>
        <v>0</v>
      </c>
      <c r="BN94" s="93">
        <f>Modeloutput!N930/1000</f>
        <v>0</v>
      </c>
      <c r="BO94" s="93">
        <f>Modeloutput!O930/1000</f>
        <v>0</v>
      </c>
      <c r="BP94" s="93">
        <f>Modeloutput!P930/1000</f>
        <v>0</v>
      </c>
      <c r="BR94" s="7" t="s">
        <v>9</v>
      </c>
      <c r="BS94" s="93">
        <f>Modeloutput!B1185/1000</f>
        <v>0</v>
      </c>
      <c r="BT94" s="93">
        <f>Modeloutput!C1185/1000</f>
        <v>0</v>
      </c>
      <c r="BU94" s="93">
        <f>Modeloutput!D1185/1000</f>
        <v>0</v>
      </c>
      <c r="BV94" s="99">
        <f>Modeloutput!E1185/1000</f>
        <v>0</v>
      </c>
      <c r="BW94" s="99">
        <f>Modeloutput!F1185/1000</f>
        <v>0</v>
      </c>
      <c r="BX94" s="99">
        <f>Modeloutput!G1185/1000</f>
        <v>0</v>
      </c>
      <c r="BY94" s="99">
        <f>Modeloutput!H1185/1000</f>
        <v>0</v>
      </c>
      <c r="BZ94" s="99">
        <f>Modeloutput!I1185/1000</f>
        <v>0</v>
      </c>
      <c r="CA94" s="99">
        <f>Modeloutput!J1185/1000</f>
        <v>0</v>
      </c>
      <c r="CB94" s="93">
        <f>Modeloutput!K1185/1000</f>
        <v>0</v>
      </c>
      <c r="CC94" s="93">
        <f>Modeloutput!L1185/1000</f>
        <v>0</v>
      </c>
      <c r="CD94" s="93">
        <f>Modeloutput!M1185/1000</f>
        <v>0</v>
      </c>
      <c r="CE94" s="93">
        <f>Modeloutput!N1185/1000</f>
        <v>0</v>
      </c>
      <c r="CF94" s="93">
        <f>Modeloutput!O1185/1000</f>
        <v>0</v>
      </c>
      <c r="CG94" s="93">
        <f>Modeloutput!P1185/1000</f>
        <v>0</v>
      </c>
    </row>
    <row r="95" spans="1:85" s="7" customFormat="1" x14ac:dyDescent="0.25">
      <c r="B95" s="7" t="s">
        <v>10</v>
      </c>
      <c r="C95" s="93">
        <f>Modeloutput!B166/1000</f>
        <v>0</v>
      </c>
      <c r="D95" s="93">
        <f>Modeloutput!C166/1000</f>
        <v>0</v>
      </c>
      <c r="E95" s="93">
        <f>Modeloutput!D166/1000</f>
        <v>0</v>
      </c>
      <c r="F95" s="93">
        <f>Modeloutput!E166/1000</f>
        <v>0</v>
      </c>
      <c r="G95" s="93">
        <f>Modeloutput!F166/1000</f>
        <v>0</v>
      </c>
      <c r="H95" s="93">
        <f>Modeloutput!G166/1000</f>
        <v>0</v>
      </c>
      <c r="I95" s="93">
        <f>Modeloutput!H166/1000</f>
        <v>0</v>
      </c>
      <c r="J95" s="93">
        <f>Modeloutput!I166/1000</f>
        <v>0</v>
      </c>
      <c r="K95" s="93">
        <f>Modeloutput!J166/1000</f>
        <v>0</v>
      </c>
      <c r="L95" s="93">
        <f>Modeloutput!K166/1000</f>
        <v>0</v>
      </c>
      <c r="M95" s="93">
        <f>Modeloutput!L166/1000</f>
        <v>0</v>
      </c>
      <c r="N95" s="93">
        <f>Modeloutput!M166/1000</f>
        <v>0</v>
      </c>
      <c r="O95" s="93">
        <f>Modeloutput!N166/1000</f>
        <v>0</v>
      </c>
      <c r="P95" s="93">
        <f>Modeloutput!O166/1000</f>
        <v>0</v>
      </c>
      <c r="Q95" s="93">
        <f>Modeloutput!P166/1000</f>
        <v>0</v>
      </c>
      <c r="S95" s="7" t="s">
        <v>10</v>
      </c>
      <c r="T95" s="93">
        <f>Modeloutput!B421/1000</f>
        <v>0</v>
      </c>
      <c r="U95" s="93">
        <f>Modeloutput!C421/1000</f>
        <v>0</v>
      </c>
      <c r="V95" s="93">
        <f>Modeloutput!D421/1000</f>
        <v>0</v>
      </c>
      <c r="W95" s="93">
        <f>Modeloutput!E421/1000</f>
        <v>0</v>
      </c>
      <c r="X95" s="93">
        <f>Modeloutput!F421/1000</f>
        <v>0</v>
      </c>
      <c r="Y95" s="93">
        <f>Modeloutput!G421/1000</f>
        <v>0</v>
      </c>
      <c r="Z95" s="93">
        <f>Modeloutput!H421/1000</f>
        <v>0</v>
      </c>
      <c r="AA95" s="93">
        <f>Modeloutput!I421/1000</f>
        <v>0</v>
      </c>
      <c r="AB95" s="93">
        <f>Modeloutput!J421/1000</f>
        <v>0</v>
      </c>
      <c r="AC95" s="93">
        <f>Modeloutput!K421/1000</f>
        <v>0</v>
      </c>
      <c r="AD95" s="93">
        <f>Modeloutput!L421/1000</f>
        <v>0</v>
      </c>
      <c r="AE95" s="93">
        <f>Modeloutput!M421/1000</f>
        <v>0</v>
      </c>
      <c r="AF95" s="93">
        <f>Modeloutput!N421/1000</f>
        <v>0</v>
      </c>
      <c r="AG95" s="93">
        <f>Modeloutput!O421/1000</f>
        <v>0</v>
      </c>
      <c r="AH95" s="93">
        <f>Modeloutput!P421/1000</f>
        <v>0</v>
      </c>
      <c r="AJ95" s="7" t="s">
        <v>10</v>
      </c>
      <c r="AK95" s="93">
        <f>Modeloutput!B676/1000</f>
        <v>0</v>
      </c>
      <c r="AL95" s="93">
        <f>Modeloutput!C676/1000</f>
        <v>0</v>
      </c>
      <c r="AM95" s="93">
        <f>Modeloutput!D676/1000</f>
        <v>0</v>
      </c>
      <c r="AN95" s="93">
        <f>Modeloutput!E676/1000</f>
        <v>0</v>
      </c>
      <c r="AO95" s="93">
        <f>Modeloutput!F676/1000</f>
        <v>0</v>
      </c>
      <c r="AP95" s="93">
        <f>Modeloutput!G676/1000</f>
        <v>0</v>
      </c>
      <c r="AQ95" s="93">
        <f>Modeloutput!H676/1000</f>
        <v>0</v>
      </c>
      <c r="AR95" s="93">
        <f>Modeloutput!I676/1000</f>
        <v>0</v>
      </c>
      <c r="AS95" s="93">
        <f>Modeloutput!J676/1000</f>
        <v>0</v>
      </c>
      <c r="AT95" s="93">
        <f>Modeloutput!K676/1000</f>
        <v>0</v>
      </c>
      <c r="AU95" s="93">
        <f>Modeloutput!L676/1000</f>
        <v>0</v>
      </c>
      <c r="AV95" s="93">
        <f>Modeloutput!M676/1000</f>
        <v>0</v>
      </c>
      <c r="AW95" s="93">
        <f>Modeloutput!N676/1000</f>
        <v>0</v>
      </c>
      <c r="AX95" s="93">
        <f>Modeloutput!O676/1000</f>
        <v>0</v>
      </c>
      <c r="AY95" s="93">
        <f>Modeloutput!P676/1000</f>
        <v>0</v>
      </c>
      <c r="BA95" s="7" t="s">
        <v>10</v>
      </c>
      <c r="BB95" s="93">
        <f>Modeloutput!B931/1000</f>
        <v>0</v>
      </c>
      <c r="BC95" s="93">
        <f>Modeloutput!C931/1000</f>
        <v>0</v>
      </c>
      <c r="BD95" s="93">
        <f>Modeloutput!D931/1000</f>
        <v>0</v>
      </c>
      <c r="BE95" s="93">
        <f>Modeloutput!E931/1000</f>
        <v>0</v>
      </c>
      <c r="BF95" s="93">
        <f>Modeloutput!F931/1000</f>
        <v>0</v>
      </c>
      <c r="BG95" s="93">
        <f>Modeloutput!G931/1000</f>
        <v>0</v>
      </c>
      <c r="BH95" s="93">
        <f>Modeloutput!H931/1000</f>
        <v>0</v>
      </c>
      <c r="BI95" s="93">
        <f>Modeloutput!I931/1000</f>
        <v>0</v>
      </c>
      <c r="BJ95" s="93">
        <f>Modeloutput!J931/1000</f>
        <v>0</v>
      </c>
      <c r="BK95" s="93">
        <f>Modeloutput!K931/1000</f>
        <v>0</v>
      </c>
      <c r="BL95" s="93">
        <f>Modeloutput!L931/1000</f>
        <v>0</v>
      </c>
      <c r="BM95" s="93">
        <f>Modeloutput!M931/1000</f>
        <v>0</v>
      </c>
      <c r="BN95" s="93">
        <f>Modeloutput!N931/1000</f>
        <v>0</v>
      </c>
      <c r="BO95" s="93">
        <f>Modeloutput!O931/1000</f>
        <v>0</v>
      </c>
      <c r="BP95" s="93">
        <f>Modeloutput!P931/1000</f>
        <v>0</v>
      </c>
      <c r="BR95" s="7" t="s">
        <v>10</v>
      </c>
      <c r="BS95" s="93">
        <f>Modeloutput!B1186/1000</f>
        <v>0</v>
      </c>
      <c r="BT95" s="93">
        <f>Modeloutput!C1186/1000</f>
        <v>0</v>
      </c>
      <c r="BU95" s="93">
        <f>Modeloutput!D1186/1000</f>
        <v>0</v>
      </c>
      <c r="BV95" s="93">
        <f>Modeloutput!E1186/1000</f>
        <v>0</v>
      </c>
      <c r="BW95" s="93">
        <f>Modeloutput!F1186/1000</f>
        <v>0</v>
      </c>
      <c r="BX95" s="93">
        <f>Modeloutput!G1186/1000</f>
        <v>0</v>
      </c>
      <c r="BY95" s="93">
        <f>Modeloutput!H1186/1000</f>
        <v>0</v>
      </c>
      <c r="BZ95" s="93">
        <f>Modeloutput!I1186/1000</f>
        <v>0</v>
      </c>
      <c r="CA95" s="93">
        <f>Modeloutput!J1186/1000</f>
        <v>0</v>
      </c>
      <c r="CB95" s="93">
        <f>Modeloutput!K1186/1000</f>
        <v>0</v>
      </c>
      <c r="CC95" s="93">
        <f>Modeloutput!L1186/1000</f>
        <v>0</v>
      </c>
      <c r="CD95" s="93">
        <f>Modeloutput!M1186/1000</f>
        <v>0</v>
      </c>
      <c r="CE95" s="93">
        <f>Modeloutput!N1186/1000</f>
        <v>0</v>
      </c>
      <c r="CF95" s="93">
        <f>Modeloutput!O1186/1000</f>
        <v>0</v>
      </c>
      <c r="CG95" s="93">
        <f>Modeloutput!P1186/1000</f>
        <v>0</v>
      </c>
    </row>
    <row r="96" spans="1:85" s="7" customFormat="1" x14ac:dyDescent="0.25">
      <c r="B96" s="7" t="s">
        <v>11</v>
      </c>
      <c r="C96" s="93">
        <f>Modeloutput!B167/1000</f>
        <v>0</v>
      </c>
      <c r="D96" s="93">
        <f>Modeloutput!C167/1000</f>
        <v>0</v>
      </c>
      <c r="E96" s="93">
        <f>Modeloutput!D167/1000</f>
        <v>0</v>
      </c>
      <c r="F96" s="93">
        <f>Modeloutput!E167/1000</f>
        <v>0</v>
      </c>
      <c r="G96" s="93">
        <f>Modeloutput!F167/1000</f>
        <v>0</v>
      </c>
      <c r="H96" s="93">
        <f>Modeloutput!G167/1000</f>
        <v>0</v>
      </c>
      <c r="I96" s="93">
        <f>Modeloutput!H167/1000</f>
        <v>0</v>
      </c>
      <c r="J96" s="93">
        <f>Modeloutput!I167/1000</f>
        <v>0</v>
      </c>
      <c r="K96" s="93">
        <f>Modeloutput!J167/1000</f>
        <v>0</v>
      </c>
      <c r="L96" s="93">
        <f>Modeloutput!K167/1000</f>
        <v>0</v>
      </c>
      <c r="M96" s="93">
        <f>Modeloutput!L167/1000</f>
        <v>0</v>
      </c>
      <c r="N96" s="93">
        <f>Modeloutput!M167/1000</f>
        <v>0</v>
      </c>
      <c r="O96" s="93">
        <f>Modeloutput!N167/1000</f>
        <v>0</v>
      </c>
      <c r="P96" s="93">
        <f>Modeloutput!O167/1000</f>
        <v>0</v>
      </c>
      <c r="Q96" s="93">
        <f>Modeloutput!P167/1000</f>
        <v>0</v>
      </c>
      <c r="S96" s="7" t="s">
        <v>11</v>
      </c>
      <c r="T96" s="93">
        <f>Modeloutput!B422/1000</f>
        <v>0</v>
      </c>
      <c r="U96" s="93">
        <f>Modeloutput!C422/1000</f>
        <v>0</v>
      </c>
      <c r="V96" s="93">
        <f>Modeloutput!D422/1000</f>
        <v>0</v>
      </c>
      <c r="W96" s="93">
        <f>Modeloutput!E422/1000</f>
        <v>0</v>
      </c>
      <c r="X96" s="93">
        <f>Modeloutput!F422/1000</f>
        <v>0</v>
      </c>
      <c r="Y96" s="93">
        <f>Modeloutput!G422/1000</f>
        <v>0</v>
      </c>
      <c r="Z96" s="93">
        <f>Modeloutput!H422/1000</f>
        <v>0</v>
      </c>
      <c r="AA96" s="93">
        <f>Modeloutput!I422/1000</f>
        <v>0</v>
      </c>
      <c r="AB96" s="93">
        <f>Modeloutput!J422/1000</f>
        <v>0</v>
      </c>
      <c r="AC96" s="93">
        <f>Modeloutput!K422/1000</f>
        <v>0</v>
      </c>
      <c r="AD96" s="93">
        <f>Modeloutput!L422/1000</f>
        <v>0</v>
      </c>
      <c r="AE96" s="93">
        <f>Modeloutput!M422/1000</f>
        <v>0</v>
      </c>
      <c r="AF96" s="93">
        <f>Modeloutput!N422/1000</f>
        <v>0</v>
      </c>
      <c r="AG96" s="93">
        <f>Modeloutput!O422/1000</f>
        <v>0</v>
      </c>
      <c r="AH96" s="93">
        <f>Modeloutput!P422/1000</f>
        <v>0</v>
      </c>
      <c r="AJ96" s="7" t="s">
        <v>11</v>
      </c>
      <c r="AK96" s="93">
        <f>Modeloutput!B677/1000</f>
        <v>0</v>
      </c>
      <c r="AL96" s="93">
        <f>Modeloutput!C677/1000</f>
        <v>0</v>
      </c>
      <c r="AM96" s="93">
        <f>Modeloutput!D677/1000</f>
        <v>0</v>
      </c>
      <c r="AN96" s="93">
        <f>Modeloutput!E677/1000</f>
        <v>0</v>
      </c>
      <c r="AO96" s="93">
        <f>Modeloutput!F677/1000</f>
        <v>0</v>
      </c>
      <c r="AP96" s="93">
        <f>Modeloutput!G677/1000</f>
        <v>0</v>
      </c>
      <c r="AQ96" s="93">
        <f>Modeloutput!H677/1000</f>
        <v>0</v>
      </c>
      <c r="AR96" s="93">
        <f>Modeloutput!I677/1000</f>
        <v>0</v>
      </c>
      <c r="AS96" s="93">
        <f>Modeloutput!J677/1000</f>
        <v>0</v>
      </c>
      <c r="AT96" s="93">
        <f>Modeloutput!K677/1000</f>
        <v>0</v>
      </c>
      <c r="AU96" s="93">
        <f>Modeloutput!L677/1000</f>
        <v>0</v>
      </c>
      <c r="AV96" s="93">
        <f>Modeloutput!M677/1000</f>
        <v>0</v>
      </c>
      <c r="AW96" s="93">
        <f>Modeloutput!N677/1000</f>
        <v>0</v>
      </c>
      <c r="AX96" s="93">
        <f>Modeloutput!O677/1000</f>
        <v>0</v>
      </c>
      <c r="AY96" s="93">
        <f>Modeloutput!P677/1000</f>
        <v>0</v>
      </c>
      <c r="BA96" s="7" t="s">
        <v>11</v>
      </c>
      <c r="BB96" s="93">
        <f>Modeloutput!B932/1000</f>
        <v>0</v>
      </c>
      <c r="BC96" s="93">
        <f>Modeloutput!C932/1000</f>
        <v>0</v>
      </c>
      <c r="BD96" s="93">
        <f>Modeloutput!D932/1000</f>
        <v>0</v>
      </c>
      <c r="BE96" s="93">
        <f>Modeloutput!E932/1000</f>
        <v>0</v>
      </c>
      <c r="BF96" s="93">
        <f>Modeloutput!F932/1000</f>
        <v>0</v>
      </c>
      <c r="BG96" s="93">
        <f>Modeloutput!G932/1000</f>
        <v>0</v>
      </c>
      <c r="BH96" s="93">
        <f>Modeloutput!H932/1000</f>
        <v>0</v>
      </c>
      <c r="BI96" s="93">
        <f>Modeloutput!I932/1000</f>
        <v>0</v>
      </c>
      <c r="BJ96" s="93">
        <f>Modeloutput!J932/1000</f>
        <v>0</v>
      </c>
      <c r="BK96" s="93">
        <f>Modeloutput!K932/1000</f>
        <v>0</v>
      </c>
      <c r="BL96" s="93">
        <f>Modeloutput!L932/1000</f>
        <v>0</v>
      </c>
      <c r="BM96" s="93">
        <f>Modeloutput!M932/1000</f>
        <v>0</v>
      </c>
      <c r="BN96" s="93">
        <f>Modeloutput!N932/1000</f>
        <v>0</v>
      </c>
      <c r="BO96" s="93">
        <f>Modeloutput!O932/1000</f>
        <v>0</v>
      </c>
      <c r="BP96" s="93">
        <f>Modeloutput!P932/1000</f>
        <v>0</v>
      </c>
      <c r="BR96" s="7" t="s">
        <v>11</v>
      </c>
      <c r="BS96" s="93">
        <f>Modeloutput!B1187/1000</f>
        <v>0</v>
      </c>
      <c r="BT96" s="93">
        <f>Modeloutput!C1187/1000</f>
        <v>0</v>
      </c>
      <c r="BU96" s="93">
        <f>Modeloutput!D1187/1000</f>
        <v>0</v>
      </c>
      <c r="BV96" s="93">
        <f>Modeloutput!E1187/1000</f>
        <v>0</v>
      </c>
      <c r="BW96" s="93">
        <f>Modeloutput!F1187/1000</f>
        <v>0</v>
      </c>
      <c r="BX96" s="93">
        <f>Modeloutput!G1187/1000</f>
        <v>0</v>
      </c>
      <c r="BY96" s="93">
        <f>Modeloutput!H1187/1000</f>
        <v>0</v>
      </c>
      <c r="BZ96" s="93">
        <f>Modeloutput!I1187/1000</f>
        <v>0</v>
      </c>
      <c r="CA96" s="93">
        <f>Modeloutput!J1187/1000</f>
        <v>0</v>
      </c>
      <c r="CB96" s="93">
        <f>Modeloutput!K1187/1000</f>
        <v>0</v>
      </c>
      <c r="CC96" s="93">
        <f>Modeloutput!L1187/1000</f>
        <v>0</v>
      </c>
      <c r="CD96" s="93">
        <f>Modeloutput!M1187/1000</f>
        <v>0</v>
      </c>
      <c r="CE96" s="93">
        <f>Modeloutput!N1187/1000</f>
        <v>0</v>
      </c>
      <c r="CF96" s="93">
        <f>Modeloutput!O1187/1000</f>
        <v>0</v>
      </c>
      <c r="CG96" s="93">
        <f>Modeloutput!P1187/1000</f>
        <v>0</v>
      </c>
    </row>
    <row r="97" spans="1:85" s="7" customFormat="1" x14ac:dyDescent="0.25">
      <c r="B97" s="7" t="s">
        <v>12</v>
      </c>
      <c r="C97" s="93">
        <f>Modeloutput!B168/1000</f>
        <v>0</v>
      </c>
      <c r="D97" s="93">
        <f>Modeloutput!C168/1000</f>
        <v>0</v>
      </c>
      <c r="E97" s="93">
        <f>Modeloutput!D168/1000</f>
        <v>0</v>
      </c>
      <c r="F97" s="93">
        <f>Modeloutput!E168/1000</f>
        <v>0</v>
      </c>
      <c r="G97" s="93">
        <f>Modeloutput!F168/1000</f>
        <v>0</v>
      </c>
      <c r="H97" s="93">
        <f>Modeloutput!G168/1000</f>
        <v>0</v>
      </c>
      <c r="I97" s="93">
        <f>Modeloutput!H168/1000</f>
        <v>0</v>
      </c>
      <c r="J97" s="93">
        <f>Modeloutput!I168/1000</f>
        <v>0</v>
      </c>
      <c r="K97" s="93">
        <f>Modeloutput!J168/1000</f>
        <v>0</v>
      </c>
      <c r="L97" s="93">
        <f>Modeloutput!K168/1000</f>
        <v>0</v>
      </c>
      <c r="M97" s="93">
        <f>Modeloutput!L168/1000</f>
        <v>0</v>
      </c>
      <c r="N97" s="93">
        <f>Modeloutput!M168/1000</f>
        <v>0</v>
      </c>
      <c r="O97" s="93">
        <f>Modeloutput!N168/1000</f>
        <v>0</v>
      </c>
      <c r="P97" s="93">
        <f>Modeloutput!O168/1000</f>
        <v>0</v>
      </c>
      <c r="Q97" s="93">
        <f>Modeloutput!P168/1000</f>
        <v>0</v>
      </c>
      <c r="S97" s="7" t="s">
        <v>12</v>
      </c>
      <c r="T97" s="93">
        <f>Modeloutput!B423/1000</f>
        <v>0</v>
      </c>
      <c r="U97" s="93">
        <f>Modeloutput!C423/1000</f>
        <v>0</v>
      </c>
      <c r="V97" s="93">
        <f>Modeloutput!D423/1000</f>
        <v>0</v>
      </c>
      <c r="W97" s="93">
        <f>Modeloutput!E423/1000</f>
        <v>0</v>
      </c>
      <c r="X97" s="93">
        <f>Modeloutput!F423/1000</f>
        <v>0</v>
      </c>
      <c r="Y97" s="93">
        <f>Modeloutput!G423/1000</f>
        <v>0</v>
      </c>
      <c r="Z97" s="93">
        <f>Modeloutput!H423/1000</f>
        <v>0</v>
      </c>
      <c r="AA97" s="93">
        <f>Modeloutput!I423/1000</f>
        <v>0</v>
      </c>
      <c r="AB97" s="93">
        <f>Modeloutput!J423/1000</f>
        <v>0</v>
      </c>
      <c r="AC97" s="93">
        <f>Modeloutput!K423/1000</f>
        <v>0</v>
      </c>
      <c r="AD97" s="93">
        <f>Modeloutput!L423/1000</f>
        <v>0</v>
      </c>
      <c r="AE97" s="93">
        <f>Modeloutput!M423/1000</f>
        <v>0</v>
      </c>
      <c r="AF97" s="93">
        <f>Modeloutput!N423/1000</f>
        <v>0</v>
      </c>
      <c r="AG97" s="93">
        <f>Modeloutput!O423/1000</f>
        <v>0</v>
      </c>
      <c r="AH97" s="93">
        <f>Modeloutput!P423/1000</f>
        <v>0</v>
      </c>
      <c r="AJ97" s="7" t="s">
        <v>12</v>
      </c>
      <c r="AK97" s="93">
        <f>Modeloutput!B678/1000</f>
        <v>0</v>
      </c>
      <c r="AL97" s="93">
        <f>Modeloutput!C678/1000</f>
        <v>0</v>
      </c>
      <c r="AM97" s="93">
        <f>Modeloutput!D678/1000</f>
        <v>0</v>
      </c>
      <c r="AN97" s="93">
        <f>Modeloutput!E678/1000</f>
        <v>0</v>
      </c>
      <c r="AO97" s="93">
        <f>Modeloutput!F678/1000</f>
        <v>0</v>
      </c>
      <c r="AP97" s="93">
        <f>Modeloutput!G678/1000</f>
        <v>0</v>
      </c>
      <c r="AQ97" s="93">
        <f>Modeloutput!H678/1000</f>
        <v>0</v>
      </c>
      <c r="AR97" s="93">
        <f>Modeloutput!I678/1000</f>
        <v>0</v>
      </c>
      <c r="AS97" s="93">
        <f>Modeloutput!J678/1000</f>
        <v>0</v>
      </c>
      <c r="AT97" s="93">
        <f>Modeloutput!K678/1000</f>
        <v>0</v>
      </c>
      <c r="AU97" s="93">
        <f>Modeloutput!L678/1000</f>
        <v>0</v>
      </c>
      <c r="AV97" s="93">
        <f>Modeloutput!M678/1000</f>
        <v>0</v>
      </c>
      <c r="AW97" s="93">
        <f>Modeloutput!N678/1000</f>
        <v>0</v>
      </c>
      <c r="AX97" s="93">
        <f>Modeloutput!O678/1000</f>
        <v>0</v>
      </c>
      <c r="AY97" s="93">
        <f>Modeloutput!P678/1000</f>
        <v>0</v>
      </c>
      <c r="BA97" s="7" t="s">
        <v>12</v>
      </c>
      <c r="BB97" s="93">
        <f>Modeloutput!B933/1000</f>
        <v>0</v>
      </c>
      <c r="BC97" s="93">
        <f>Modeloutput!C933/1000</f>
        <v>0</v>
      </c>
      <c r="BD97" s="93">
        <f>Modeloutput!D933/1000</f>
        <v>0</v>
      </c>
      <c r="BE97" s="93">
        <f>Modeloutput!E933/1000</f>
        <v>0</v>
      </c>
      <c r="BF97" s="93">
        <f>Modeloutput!F933/1000</f>
        <v>0</v>
      </c>
      <c r="BG97" s="93">
        <f>Modeloutput!G933/1000</f>
        <v>0</v>
      </c>
      <c r="BH97" s="93">
        <f>Modeloutput!H933/1000</f>
        <v>0</v>
      </c>
      <c r="BI97" s="93">
        <f>Modeloutput!I933/1000</f>
        <v>0</v>
      </c>
      <c r="BJ97" s="93">
        <f>Modeloutput!J933/1000</f>
        <v>0</v>
      </c>
      <c r="BK97" s="93">
        <f>Modeloutput!K933/1000</f>
        <v>0</v>
      </c>
      <c r="BL97" s="93">
        <f>Modeloutput!L933/1000</f>
        <v>0</v>
      </c>
      <c r="BM97" s="93">
        <f>Modeloutput!M933/1000</f>
        <v>0</v>
      </c>
      <c r="BN97" s="93">
        <f>Modeloutput!N933/1000</f>
        <v>0</v>
      </c>
      <c r="BO97" s="93">
        <f>Modeloutput!O933/1000</f>
        <v>0</v>
      </c>
      <c r="BP97" s="93">
        <f>Modeloutput!P933/1000</f>
        <v>0</v>
      </c>
      <c r="BR97" s="7" t="s">
        <v>12</v>
      </c>
      <c r="BS97" s="93">
        <f>Modeloutput!B1188/1000</f>
        <v>0</v>
      </c>
      <c r="BT97" s="93">
        <f>Modeloutput!C1188/1000</f>
        <v>0</v>
      </c>
      <c r="BU97" s="93">
        <f>Modeloutput!D1188/1000</f>
        <v>0</v>
      </c>
      <c r="BV97" s="93">
        <f>Modeloutput!E1188/1000</f>
        <v>0</v>
      </c>
      <c r="BW97" s="93">
        <f>Modeloutput!F1188/1000</f>
        <v>0</v>
      </c>
      <c r="BX97" s="93">
        <f>Modeloutput!G1188/1000</f>
        <v>0</v>
      </c>
      <c r="BY97" s="93">
        <f>Modeloutput!H1188/1000</f>
        <v>0</v>
      </c>
      <c r="BZ97" s="93">
        <f>Modeloutput!I1188/1000</f>
        <v>0</v>
      </c>
      <c r="CA97" s="93">
        <f>Modeloutput!J1188/1000</f>
        <v>0</v>
      </c>
      <c r="CB97" s="93">
        <f>Modeloutput!K1188/1000</f>
        <v>0</v>
      </c>
      <c r="CC97" s="93">
        <f>Modeloutput!L1188/1000</f>
        <v>0</v>
      </c>
      <c r="CD97" s="93">
        <f>Modeloutput!M1188/1000</f>
        <v>0</v>
      </c>
      <c r="CE97" s="93">
        <f>Modeloutput!N1188/1000</f>
        <v>0</v>
      </c>
      <c r="CF97" s="93">
        <f>Modeloutput!O1188/1000</f>
        <v>0</v>
      </c>
      <c r="CG97" s="93">
        <f>Modeloutput!P1188/1000</f>
        <v>0</v>
      </c>
    </row>
    <row r="98" spans="1:85" s="7" customFormat="1" x14ac:dyDescent="0.25">
      <c r="B98" s="7" t="s">
        <v>13</v>
      </c>
      <c r="C98" s="93">
        <f>Modeloutput!B169/1000</f>
        <v>0</v>
      </c>
      <c r="D98" s="93">
        <f>Modeloutput!C169/1000</f>
        <v>0</v>
      </c>
      <c r="E98" s="93">
        <f>Modeloutput!D169/1000</f>
        <v>0</v>
      </c>
      <c r="F98" s="93">
        <f>Modeloutput!E169/1000</f>
        <v>0</v>
      </c>
      <c r="G98" s="93">
        <f>Modeloutput!F169/1000</f>
        <v>0</v>
      </c>
      <c r="H98" s="93">
        <f>Modeloutput!G169/1000</f>
        <v>0</v>
      </c>
      <c r="I98" s="93">
        <f>Modeloutput!H169/1000</f>
        <v>0</v>
      </c>
      <c r="J98" s="93">
        <f>Modeloutput!I169/1000</f>
        <v>0</v>
      </c>
      <c r="K98" s="93">
        <f>Modeloutput!J169/1000</f>
        <v>0</v>
      </c>
      <c r="L98" s="93">
        <f>Modeloutput!K169/1000</f>
        <v>0</v>
      </c>
      <c r="M98" s="93">
        <f>Modeloutput!L169/1000</f>
        <v>0</v>
      </c>
      <c r="N98" s="93">
        <f>Modeloutput!M169/1000</f>
        <v>0</v>
      </c>
      <c r="O98" s="93">
        <f>Modeloutput!N169/1000</f>
        <v>0</v>
      </c>
      <c r="P98" s="93">
        <f>Modeloutput!O169/1000</f>
        <v>0</v>
      </c>
      <c r="Q98" s="93">
        <f>Modeloutput!P169/1000</f>
        <v>0</v>
      </c>
      <c r="S98" s="7" t="s">
        <v>13</v>
      </c>
      <c r="T98" s="93">
        <f>Modeloutput!B424/1000</f>
        <v>0</v>
      </c>
      <c r="U98" s="93">
        <f>Modeloutput!C424/1000</f>
        <v>0</v>
      </c>
      <c r="V98" s="93">
        <f>Modeloutput!D424/1000</f>
        <v>0</v>
      </c>
      <c r="W98" s="93">
        <f>Modeloutput!E424/1000</f>
        <v>0</v>
      </c>
      <c r="X98" s="93">
        <f>Modeloutput!F424/1000</f>
        <v>0</v>
      </c>
      <c r="Y98" s="93">
        <f>Modeloutput!G424/1000</f>
        <v>0</v>
      </c>
      <c r="Z98" s="93">
        <f>Modeloutput!H424/1000</f>
        <v>0</v>
      </c>
      <c r="AA98" s="93">
        <f>Modeloutput!I424/1000</f>
        <v>0</v>
      </c>
      <c r="AB98" s="93">
        <f>Modeloutput!J424/1000</f>
        <v>0</v>
      </c>
      <c r="AC98" s="93">
        <f>Modeloutput!K424/1000</f>
        <v>0</v>
      </c>
      <c r="AD98" s="93">
        <f>Modeloutput!L424/1000</f>
        <v>0</v>
      </c>
      <c r="AE98" s="93">
        <f>Modeloutput!M424/1000</f>
        <v>0</v>
      </c>
      <c r="AF98" s="93">
        <f>Modeloutput!N424/1000</f>
        <v>0</v>
      </c>
      <c r="AG98" s="93">
        <f>Modeloutput!O424/1000</f>
        <v>0</v>
      </c>
      <c r="AH98" s="93">
        <f>Modeloutput!P424/1000</f>
        <v>0</v>
      </c>
      <c r="AJ98" s="7" t="s">
        <v>13</v>
      </c>
      <c r="AK98" s="93">
        <f>Modeloutput!B679/1000</f>
        <v>0</v>
      </c>
      <c r="AL98" s="93">
        <f>Modeloutput!C679/1000</f>
        <v>0</v>
      </c>
      <c r="AM98" s="93">
        <f>Modeloutput!D679/1000</f>
        <v>0</v>
      </c>
      <c r="AN98" s="93">
        <f>Modeloutput!E679/1000</f>
        <v>0</v>
      </c>
      <c r="AO98" s="93">
        <f>Modeloutput!F679/1000</f>
        <v>0</v>
      </c>
      <c r="AP98" s="93">
        <f>Modeloutput!G679/1000</f>
        <v>0</v>
      </c>
      <c r="AQ98" s="93">
        <f>Modeloutput!H679/1000</f>
        <v>0</v>
      </c>
      <c r="AR98" s="93">
        <f>Modeloutput!I679/1000</f>
        <v>0</v>
      </c>
      <c r="AS98" s="93">
        <f>Modeloutput!J679/1000</f>
        <v>0</v>
      </c>
      <c r="AT98" s="93">
        <f>Modeloutput!K679/1000</f>
        <v>0</v>
      </c>
      <c r="AU98" s="93">
        <f>Modeloutput!L679/1000</f>
        <v>0</v>
      </c>
      <c r="AV98" s="93">
        <f>Modeloutput!M679/1000</f>
        <v>0</v>
      </c>
      <c r="AW98" s="93">
        <f>Modeloutput!N679/1000</f>
        <v>0</v>
      </c>
      <c r="AX98" s="93">
        <f>Modeloutput!O679/1000</f>
        <v>0</v>
      </c>
      <c r="AY98" s="93">
        <f>Modeloutput!P679/1000</f>
        <v>0</v>
      </c>
      <c r="BA98" s="7" t="s">
        <v>13</v>
      </c>
      <c r="BB98" s="93">
        <f>Modeloutput!B934/1000</f>
        <v>0</v>
      </c>
      <c r="BC98" s="93">
        <f>Modeloutput!C934/1000</f>
        <v>0</v>
      </c>
      <c r="BD98" s="93">
        <f>Modeloutput!D934/1000</f>
        <v>0</v>
      </c>
      <c r="BE98" s="93">
        <f>Modeloutput!E934/1000</f>
        <v>0</v>
      </c>
      <c r="BF98" s="93">
        <f>Modeloutput!F934/1000</f>
        <v>0</v>
      </c>
      <c r="BG98" s="93">
        <f>Modeloutput!G934/1000</f>
        <v>0</v>
      </c>
      <c r="BH98" s="93">
        <f>Modeloutput!H934/1000</f>
        <v>0</v>
      </c>
      <c r="BI98" s="93">
        <f>Modeloutput!I934/1000</f>
        <v>0</v>
      </c>
      <c r="BJ98" s="93">
        <f>Modeloutput!J934/1000</f>
        <v>0</v>
      </c>
      <c r="BK98" s="93">
        <f>Modeloutput!K934/1000</f>
        <v>0</v>
      </c>
      <c r="BL98" s="93">
        <f>Modeloutput!L934/1000</f>
        <v>0</v>
      </c>
      <c r="BM98" s="93">
        <f>Modeloutput!M934/1000</f>
        <v>0</v>
      </c>
      <c r="BN98" s="93">
        <f>Modeloutput!N934/1000</f>
        <v>0</v>
      </c>
      <c r="BO98" s="93">
        <f>Modeloutput!O934/1000</f>
        <v>0</v>
      </c>
      <c r="BP98" s="93">
        <f>Modeloutput!P934/1000</f>
        <v>0</v>
      </c>
      <c r="BR98" s="7" t="s">
        <v>13</v>
      </c>
      <c r="BS98" s="93">
        <f>Modeloutput!B1189/1000</f>
        <v>0</v>
      </c>
      <c r="BT98" s="93">
        <f>Modeloutput!C1189/1000</f>
        <v>0</v>
      </c>
      <c r="BU98" s="93">
        <f>Modeloutput!D1189/1000</f>
        <v>0</v>
      </c>
      <c r="BV98" s="93">
        <f>Modeloutput!E1189/1000</f>
        <v>0</v>
      </c>
      <c r="BW98" s="93">
        <f>Modeloutput!F1189/1000</f>
        <v>0</v>
      </c>
      <c r="BX98" s="93">
        <f>Modeloutput!G1189/1000</f>
        <v>0</v>
      </c>
      <c r="BY98" s="93">
        <f>Modeloutput!H1189/1000</f>
        <v>0</v>
      </c>
      <c r="BZ98" s="93">
        <f>Modeloutput!I1189/1000</f>
        <v>0</v>
      </c>
      <c r="CA98" s="93">
        <f>Modeloutput!J1189/1000</f>
        <v>0</v>
      </c>
      <c r="CB98" s="93">
        <f>Modeloutput!K1189/1000</f>
        <v>0</v>
      </c>
      <c r="CC98" s="93">
        <f>Modeloutput!L1189/1000</f>
        <v>0</v>
      </c>
      <c r="CD98" s="93">
        <f>Modeloutput!M1189/1000</f>
        <v>0</v>
      </c>
      <c r="CE98" s="93">
        <f>Modeloutput!N1189/1000</f>
        <v>0</v>
      </c>
      <c r="CF98" s="93">
        <f>Modeloutput!O1189/1000</f>
        <v>0</v>
      </c>
      <c r="CG98" s="93">
        <f>Modeloutput!P1189/1000</f>
        <v>0</v>
      </c>
    </row>
    <row r="99" spans="1:85" s="7" customFormat="1" x14ac:dyDescent="0.25">
      <c r="B99" s="7" t="s">
        <v>14</v>
      </c>
      <c r="C99" s="93">
        <f>Modeloutput!B170/1000</f>
        <v>0</v>
      </c>
      <c r="D99" s="93">
        <f>Modeloutput!C170/1000</f>
        <v>0</v>
      </c>
      <c r="E99" s="93">
        <f>Modeloutput!D170/1000</f>
        <v>0</v>
      </c>
      <c r="F99" s="93">
        <f>Modeloutput!E170/1000</f>
        <v>0</v>
      </c>
      <c r="G99" s="93">
        <f>Modeloutput!F170/1000</f>
        <v>0</v>
      </c>
      <c r="H99" s="93">
        <f>Modeloutput!G170/1000</f>
        <v>0</v>
      </c>
      <c r="I99" s="93">
        <f>Modeloutput!H170/1000</f>
        <v>0</v>
      </c>
      <c r="J99" s="93">
        <f>Modeloutput!I170/1000</f>
        <v>0</v>
      </c>
      <c r="K99" s="93">
        <f>Modeloutput!J170/1000</f>
        <v>0</v>
      </c>
      <c r="L99" s="93">
        <f>Modeloutput!K170/1000</f>
        <v>0</v>
      </c>
      <c r="M99" s="93">
        <f>Modeloutput!L170/1000</f>
        <v>0</v>
      </c>
      <c r="N99" s="93">
        <f>Modeloutput!M170/1000</f>
        <v>0</v>
      </c>
      <c r="O99" s="93">
        <f>Modeloutput!N170/1000</f>
        <v>0</v>
      </c>
      <c r="P99" s="93">
        <f>Modeloutput!O170/1000</f>
        <v>0</v>
      </c>
      <c r="Q99" s="93">
        <f>Modeloutput!P170/1000</f>
        <v>0</v>
      </c>
      <c r="S99" s="7" t="s">
        <v>14</v>
      </c>
      <c r="T99" s="93">
        <f>Modeloutput!B425/1000</f>
        <v>0</v>
      </c>
      <c r="U99" s="93">
        <f>Modeloutput!C425/1000</f>
        <v>0</v>
      </c>
      <c r="V99" s="93">
        <f>Modeloutput!D425/1000</f>
        <v>0</v>
      </c>
      <c r="W99" s="93">
        <f>Modeloutput!E425/1000</f>
        <v>0</v>
      </c>
      <c r="X99" s="93">
        <f>Modeloutput!F425/1000</f>
        <v>0</v>
      </c>
      <c r="Y99" s="93">
        <f>Modeloutput!G425/1000</f>
        <v>0</v>
      </c>
      <c r="Z99" s="93">
        <f>Modeloutput!H425/1000</f>
        <v>0</v>
      </c>
      <c r="AA99" s="93">
        <f>Modeloutput!I425/1000</f>
        <v>0</v>
      </c>
      <c r="AB99" s="93">
        <f>Modeloutput!J425/1000</f>
        <v>0</v>
      </c>
      <c r="AC99" s="93">
        <f>Modeloutput!K425/1000</f>
        <v>0</v>
      </c>
      <c r="AD99" s="93">
        <f>Modeloutput!L425/1000</f>
        <v>0</v>
      </c>
      <c r="AE99" s="93">
        <f>Modeloutput!M425/1000</f>
        <v>0</v>
      </c>
      <c r="AF99" s="93">
        <f>Modeloutput!N425/1000</f>
        <v>0</v>
      </c>
      <c r="AG99" s="93">
        <f>Modeloutput!O425/1000</f>
        <v>0</v>
      </c>
      <c r="AH99" s="93">
        <f>Modeloutput!P425/1000</f>
        <v>0</v>
      </c>
      <c r="AJ99" s="7" t="s">
        <v>14</v>
      </c>
      <c r="AK99" s="93">
        <f>Modeloutput!B680/1000</f>
        <v>0</v>
      </c>
      <c r="AL99" s="93">
        <f>Modeloutput!C680/1000</f>
        <v>0</v>
      </c>
      <c r="AM99" s="93">
        <f>Modeloutput!D680/1000</f>
        <v>0</v>
      </c>
      <c r="AN99" s="93">
        <f>Modeloutput!E680/1000</f>
        <v>0</v>
      </c>
      <c r="AO99" s="93">
        <f>Modeloutput!F680/1000</f>
        <v>0</v>
      </c>
      <c r="AP99" s="93">
        <f>Modeloutput!G680/1000</f>
        <v>0</v>
      </c>
      <c r="AQ99" s="93">
        <f>Modeloutput!H680/1000</f>
        <v>0</v>
      </c>
      <c r="AR99" s="93">
        <f>Modeloutput!I680/1000</f>
        <v>0</v>
      </c>
      <c r="AS99" s="93">
        <f>Modeloutput!J680/1000</f>
        <v>0</v>
      </c>
      <c r="AT99" s="93">
        <f>Modeloutput!K680/1000</f>
        <v>0</v>
      </c>
      <c r="AU99" s="93">
        <f>Modeloutput!L680/1000</f>
        <v>0</v>
      </c>
      <c r="AV99" s="93">
        <f>Modeloutput!M680/1000</f>
        <v>0</v>
      </c>
      <c r="AW99" s="93">
        <f>Modeloutput!N680/1000</f>
        <v>0</v>
      </c>
      <c r="AX99" s="93">
        <f>Modeloutput!O680/1000</f>
        <v>0</v>
      </c>
      <c r="AY99" s="93">
        <f>Modeloutput!P680/1000</f>
        <v>0</v>
      </c>
      <c r="BA99" s="7" t="s">
        <v>14</v>
      </c>
      <c r="BB99" s="93">
        <f>Modeloutput!B935/1000</f>
        <v>0</v>
      </c>
      <c r="BC99" s="93">
        <f>Modeloutput!C935/1000</f>
        <v>0</v>
      </c>
      <c r="BD99" s="93">
        <f>Modeloutput!D935/1000</f>
        <v>0</v>
      </c>
      <c r="BE99" s="93">
        <f>Modeloutput!E935/1000</f>
        <v>0</v>
      </c>
      <c r="BF99" s="93">
        <f>Modeloutput!F935/1000</f>
        <v>0</v>
      </c>
      <c r="BG99" s="93">
        <f>Modeloutput!G935/1000</f>
        <v>0</v>
      </c>
      <c r="BH99" s="93">
        <f>Modeloutput!H935/1000</f>
        <v>0</v>
      </c>
      <c r="BI99" s="93">
        <f>Modeloutput!I935/1000</f>
        <v>0</v>
      </c>
      <c r="BJ99" s="93">
        <f>Modeloutput!J935/1000</f>
        <v>0</v>
      </c>
      <c r="BK99" s="93">
        <f>Modeloutput!K935/1000</f>
        <v>0</v>
      </c>
      <c r="BL99" s="93">
        <f>Modeloutput!L935/1000</f>
        <v>0</v>
      </c>
      <c r="BM99" s="93">
        <f>Modeloutput!M935/1000</f>
        <v>0</v>
      </c>
      <c r="BN99" s="93">
        <f>Modeloutput!N935/1000</f>
        <v>0</v>
      </c>
      <c r="BO99" s="93">
        <f>Modeloutput!O935/1000</f>
        <v>0</v>
      </c>
      <c r="BP99" s="93">
        <f>Modeloutput!P935/1000</f>
        <v>0</v>
      </c>
      <c r="BR99" s="7" t="s">
        <v>14</v>
      </c>
      <c r="BS99" s="93">
        <f>Modeloutput!B1190/1000</f>
        <v>0</v>
      </c>
      <c r="BT99" s="93">
        <f>Modeloutput!C1190/1000</f>
        <v>0</v>
      </c>
      <c r="BU99" s="93">
        <f>Modeloutput!D1190/1000</f>
        <v>0</v>
      </c>
      <c r="BV99" s="93">
        <f>Modeloutput!E1190/1000</f>
        <v>0</v>
      </c>
      <c r="BW99" s="93">
        <f>Modeloutput!F1190/1000</f>
        <v>0</v>
      </c>
      <c r="BX99" s="93">
        <f>Modeloutput!G1190/1000</f>
        <v>0</v>
      </c>
      <c r="BY99" s="93">
        <f>Modeloutput!H1190/1000</f>
        <v>0</v>
      </c>
      <c r="BZ99" s="93">
        <f>Modeloutput!I1190/1000</f>
        <v>0</v>
      </c>
      <c r="CA99" s="93">
        <f>Modeloutput!J1190/1000</f>
        <v>0</v>
      </c>
      <c r="CB99" s="93">
        <f>Modeloutput!K1190/1000</f>
        <v>0</v>
      </c>
      <c r="CC99" s="93">
        <f>Modeloutput!L1190/1000</f>
        <v>0</v>
      </c>
      <c r="CD99" s="93">
        <f>Modeloutput!M1190/1000</f>
        <v>0</v>
      </c>
      <c r="CE99" s="93">
        <f>Modeloutput!N1190/1000</f>
        <v>0</v>
      </c>
      <c r="CF99" s="93">
        <f>Modeloutput!O1190/1000</f>
        <v>0</v>
      </c>
      <c r="CG99" s="93">
        <f>Modeloutput!P1190/1000</f>
        <v>0</v>
      </c>
    </row>
    <row r="100" spans="1:85" s="7" customFormat="1" x14ac:dyDescent="0.25">
      <c r="B100" s="28" t="s">
        <v>18</v>
      </c>
      <c r="C100" s="100">
        <f t="shared" ref="C100:Q100" si="15">SUM(C86:C99)</f>
        <v>0.31273409209999997</v>
      </c>
      <c r="D100" s="100">
        <f t="shared" si="15"/>
        <v>4.68070004E-2</v>
      </c>
      <c r="E100" s="100">
        <f t="shared" si="15"/>
        <v>0.26592709170000001</v>
      </c>
      <c r="F100" s="100">
        <f t="shared" si="15"/>
        <v>0.19009942099999999</v>
      </c>
      <c r="G100" s="100">
        <f t="shared" si="15"/>
        <v>7.5134168700000002E-3</v>
      </c>
      <c r="H100" s="100">
        <f t="shared" si="15"/>
        <v>6.7035404143999999E-2</v>
      </c>
      <c r="I100" s="100">
        <f t="shared" si="15"/>
        <v>1.2788496732999998E-3</v>
      </c>
      <c r="J100" s="100">
        <f t="shared" si="15"/>
        <v>0</v>
      </c>
      <c r="K100" s="100">
        <f t="shared" si="15"/>
        <v>0</v>
      </c>
      <c r="L100" s="100">
        <f t="shared" si="15"/>
        <v>4.5698864400000004E-2</v>
      </c>
      <c r="M100" s="100">
        <f t="shared" si="15"/>
        <v>0</v>
      </c>
      <c r="N100" s="100">
        <f t="shared" si="15"/>
        <v>1.108136E-3</v>
      </c>
      <c r="O100" s="100">
        <f t="shared" si="15"/>
        <v>0</v>
      </c>
      <c r="P100" s="100">
        <f t="shared" si="15"/>
        <v>0</v>
      </c>
      <c r="Q100" s="100">
        <f t="shared" si="15"/>
        <v>0</v>
      </c>
      <c r="S100" s="28" t="s">
        <v>18</v>
      </c>
      <c r="T100" s="100">
        <f t="shared" ref="T100:AH100" si="16">SUM(T86:T99)</f>
        <v>0.24094669682</v>
      </c>
      <c r="U100" s="100">
        <f t="shared" si="16"/>
        <v>2.270970102E-2</v>
      </c>
      <c r="V100" s="100">
        <f t="shared" si="16"/>
        <v>0.2182369958</v>
      </c>
      <c r="W100" s="100">
        <f t="shared" si="16"/>
        <v>0.1600138743</v>
      </c>
      <c r="X100" s="100">
        <f t="shared" si="16"/>
        <v>6.8023001319999993E-3</v>
      </c>
      <c r="Y100" s="100">
        <f t="shared" si="16"/>
        <v>5.0185686965000004E-2</v>
      </c>
      <c r="Z100" s="100">
        <f t="shared" si="16"/>
        <v>1.2351340441999999E-3</v>
      </c>
      <c r="AA100" s="100">
        <f t="shared" si="16"/>
        <v>0</v>
      </c>
      <c r="AB100" s="100">
        <f t="shared" si="16"/>
        <v>0</v>
      </c>
      <c r="AC100" s="100">
        <f t="shared" si="16"/>
        <v>2.1621577499999999E-2</v>
      </c>
      <c r="AD100" s="100">
        <f t="shared" si="16"/>
        <v>0</v>
      </c>
      <c r="AE100" s="100">
        <f t="shared" si="16"/>
        <v>1.08812352E-3</v>
      </c>
      <c r="AF100" s="100">
        <f t="shared" si="16"/>
        <v>0</v>
      </c>
      <c r="AG100" s="100">
        <f t="shared" si="16"/>
        <v>0</v>
      </c>
      <c r="AH100" s="100">
        <f t="shared" si="16"/>
        <v>0</v>
      </c>
      <c r="AJ100" s="28" t="s">
        <v>18</v>
      </c>
      <c r="AK100" s="100">
        <f t="shared" ref="AK100:AY100" si="17">SUM(AK86:AK99)</f>
        <v>0.11095922334</v>
      </c>
      <c r="AL100" s="100">
        <f t="shared" si="17"/>
        <v>2.4099349339999999E-2</v>
      </c>
      <c r="AM100" s="100">
        <f t="shared" si="17"/>
        <v>8.6859874000000004E-2</v>
      </c>
      <c r="AN100" s="100">
        <f t="shared" si="17"/>
        <v>5.3467001550000004E-2</v>
      </c>
      <c r="AO100" s="100">
        <f t="shared" si="17"/>
        <v>6.6758768810000002E-3</v>
      </c>
      <c r="AP100" s="100">
        <f t="shared" si="17"/>
        <v>2.5499444909999999E-2</v>
      </c>
      <c r="AQ100" s="100">
        <f t="shared" si="17"/>
        <v>1.2175506348999999E-3</v>
      </c>
      <c r="AR100" s="100">
        <f t="shared" si="17"/>
        <v>0</v>
      </c>
      <c r="AS100" s="100">
        <f t="shared" si="17"/>
        <v>0</v>
      </c>
      <c r="AT100" s="100">
        <f t="shared" si="17"/>
        <v>1.50564047E-2</v>
      </c>
      <c r="AU100" s="100">
        <f t="shared" si="17"/>
        <v>0</v>
      </c>
      <c r="AV100" s="100">
        <f t="shared" si="17"/>
        <v>9.0429446399999999E-3</v>
      </c>
      <c r="AW100" s="100">
        <f t="shared" si="17"/>
        <v>0</v>
      </c>
      <c r="AX100" s="100">
        <f t="shared" si="17"/>
        <v>0</v>
      </c>
      <c r="AY100" s="100">
        <f t="shared" si="17"/>
        <v>0</v>
      </c>
      <c r="BA100" s="28" t="s">
        <v>18</v>
      </c>
      <c r="BB100" s="100">
        <f t="shared" ref="BB100:BP100" si="18">SUM(BB86:BB99)</f>
        <v>0.1047227345</v>
      </c>
      <c r="BC100" s="100">
        <f t="shared" si="18"/>
        <v>2.9417538199999999E-2</v>
      </c>
      <c r="BD100" s="100">
        <f t="shared" si="18"/>
        <v>7.5305196300000002E-2</v>
      </c>
      <c r="BE100" s="100">
        <f t="shared" si="18"/>
        <v>3.9371596600000003E-2</v>
      </c>
      <c r="BF100" s="100">
        <f t="shared" si="18"/>
        <v>5.9112136100000004E-3</v>
      </c>
      <c r="BG100" s="100">
        <f t="shared" si="18"/>
        <v>2.8796730499999999E-2</v>
      </c>
      <c r="BH100" s="100">
        <f t="shared" si="18"/>
        <v>1.2256554870000002E-3</v>
      </c>
      <c r="BI100" s="100">
        <f t="shared" si="18"/>
        <v>0</v>
      </c>
      <c r="BJ100" s="100">
        <f t="shared" si="18"/>
        <v>0</v>
      </c>
      <c r="BK100" s="100">
        <f t="shared" si="18"/>
        <v>2.9417538199999999E-2</v>
      </c>
      <c r="BL100" s="100">
        <f t="shared" si="18"/>
        <v>0</v>
      </c>
      <c r="BM100" s="100">
        <f t="shared" si="18"/>
        <v>0</v>
      </c>
      <c r="BN100" s="100">
        <f t="shared" si="18"/>
        <v>0</v>
      </c>
      <c r="BO100" s="100">
        <f t="shared" si="18"/>
        <v>0</v>
      </c>
      <c r="BP100" s="100">
        <f t="shared" si="18"/>
        <v>0</v>
      </c>
      <c r="BR100" s="28" t="s">
        <v>18</v>
      </c>
      <c r="BS100" s="100">
        <f t="shared" ref="BS100:CG100" si="19">SUM(BS86:BS99)</f>
        <v>0.21744244898509002</v>
      </c>
      <c r="BT100" s="100">
        <f t="shared" si="19"/>
        <v>8.7986829185090015E-2</v>
      </c>
      <c r="BU100" s="100">
        <f t="shared" si="19"/>
        <v>0.1294556198</v>
      </c>
      <c r="BV100" s="100">
        <f t="shared" si="19"/>
        <v>8.2050443545000004E-2</v>
      </c>
      <c r="BW100" s="100">
        <f t="shared" si="19"/>
        <v>9.924436542589999E-3</v>
      </c>
      <c r="BX100" s="100">
        <f t="shared" si="19"/>
        <v>3.5938279716079997E-2</v>
      </c>
      <c r="BY100" s="100">
        <f t="shared" si="19"/>
        <v>1.5424599079099999E-3</v>
      </c>
      <c r="BZ100" s="100">
        <f t="shared" si="19"/>
        <v>0</v>
      </c>
      <c r="CA100" s="100">
        <f t="shared" si="19"/>
        <v>0</v>
      </c>
      <c r="CB100" s="100">
        <f t="shared" si="19"/>
        <v>6.8030615200000005E-2</v>
      </c>
      <c r="CC100" s="100">
        <f t="shared" si="19"/>
        <v>1.9946347400000002E-2</v>
      </c>
      <c r="CD100" s="100">
        <f t="shared" si="19"/>
        <v>9.8665850899999988E-6</v>
      </c>
      <c r="CE100" s="100">
        <f t="shared" si="19"/>
        <v>0</v>
      </c>
      <c r="CF100" s="100">
        <f t="shared" si="19"/>
        <v>0</v>
      </c>
      <c r="CG100" s="100">
        <f t="shared" si="19"/>
        <v>0</v>
      </c>
    </row>
    <row r="101" spans="1:85" s="7" customFormat="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</row>
    <row r="102" spans="1:85" s="7" customFormat="1" x14ac:dyDescent="0.25">
      <c r="B102" s="21" t="s">
        <v>3</v>
      </c>
      <c r="C102" s="86">
        <f>SUM(F88:K88)</f>
        <v>0.1784731606321</v>
      </c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S102" s="21" t="s">
        <v>3</v>
      </c>
      <c r="T102" s="86">
        <f>SUM(W88:AB88)</f>
        <v>0.15486427206139999</v>
      </c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J102" s="21" t="s">
        <v>3</v>
      </c>
      <c r="AK102" s="86">
        <f>SUM(AN88:AS88)</f>
        <v>2.2681065084399998E-2</v>
      </c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BA102" s="21" t="s">
        <v>3</v>
      </c>
      <c r="BB102" s="86">
        <f>SUM(BE88:BJ88)</f>
        <v>0</v>
      </c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R102" s="21" t="s">
        <v>3</v>
      </c>
      <c r="BS102" s="86">
        <f>SUM(BV88:CA88)</f>
        <v>6.2453920449999996E-4</v>
      </c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</row>
    <row r="103" spans="1:85" s="7" customFormat="1" x14ac:dyDescent="0.25">
      <c r="B103" s="12" t="s">
        <v>38</v>
      </c>
      <c r="C103" s="87">
        <f>SUM(F89:K89)</f>
        <v>4.0646930680999997E-2</v>
      </c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S103" s="12" t="s">
        <v>38</v>
      </c>
      <c r="T103" s="87">
        <f>SUM(W89:AB89)</f>
        <v>4.0663022381000002E-2</v>
      </c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J103" s="12" t="s">
        <v>38</v>
      </c>
      <c r="AK103" s="87">
        <f>SUM(AN89:AS89)</f>
        <v>4.0079459575000004E-2</v>
      </c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BA103" s="12" t="s">
        <v>38</v>
      </c>
      <c r="BB103" s="87">
        <f>SUM(BE89:BJ89)</f>
        <v>4.5887658059999996E-2</v>
      </c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R103" s="12" t="s">
        <v>38</v>
      </c>
      <c r="BS103" s="87">
        <f>SUM(BV89:CA89)</f>
        <v>4.0844251388999997E-2</v>
      </c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</row>
    <row r="104" spans="1:85" s="7" customFormat="1" x14ac:dyDescent="0.25">
      <c r="B104" s="26" t="s">
        <v>39</v>
      </c>
      <c r="C104" s="88">
        <f>SUM(F90:K94)-C106</f>
        <v>1.1635294974199996E-2</v>
      </c>
      <c r="D104" s="8"/>
      <c r="E104" s="92" t="s">
        <v>374</v>
      </c>
      <c r="F104" s="91"/>
      <c r="G104" s="91"/>
      <c r="H104" s="91"/>
      <c r="I104" s="8"/>
      <c r="J104" s="8"/>
      <c r="K104" s="8"/>
      <c r="L104" s="8"/>
      <c r="M104" s="8"/>
      <c r="N104" s="8"/>
      <c r="O104" s="8"/>
      <c r="P104" s="8"/>
      <c r="Q104" s="8"/>
      <c r="S104" s="26" t="s">
        <v>39</v>
      </c>
      <c r="T104" s="88">
        <f>SUM(W90:AB94)-T106</f>
        <v>1.0881234988000012E-3</v>
      </c>
      <c r="U104" s="8"/>
      <c r="V104" s="92" t="s">
        <v>374</v>
      </c>
      <c r="W104" s="91"/>
      <c r="X104" s="91"/>
      <c r="Y104" s="91"/>
      <c r="Z104" s="8"/>
      <c r="AA104" s="8"/>
      <c r="AB104" s="8"/>
      <c r="AC104" s="8"/>
      <c r="AD104" s="8"/>
      <c r="AE104" s="8"/>
      <c r="AF104" s="8"/>
      <c r="AG104" s="8"/>
      <c r="AH104" s="8"/>
      <c r="AJ104" s="26" t="s">
        <v>39</v>
      </c>
      <c r="AK104" s="88">
        <f>SUM(AN90:AS94)-AK106</f>
        <v>9.0429446164999993E-3</v>
      </c>
      <c r="AL104" s="8"/>
      <c r="AM104" s="92" t="s">
        <v>374</v>
      </c>
      <c r="AN104" s="91"/>
      <c r="AO104" s="91"/>
      <c r="AP104" s="91"/>
      <c r="AQ104" s="8"/>
      <c r="AR104" s="8"/>
      <c r="AS104" s="8"/>
      <c r="AT104" s="8"/>
      <c r="AU104" s="8"/>
      <c r="AV104" s="8"/>
      <c r="AW104" s="8"/>
      <c r="AX104" s="8"/>
      <c r="AY104" s="8"/>
      <c r="BA104" s="26" t="s">
        <v>39</v>
      </c>
      <c r="BB104" s="88">
        <f>SUM(BE90:BJ94)-BB106</f>
        <v>-6.3000001049307031E-11</v>
      </c>
      <c r="BC104" s="8"/>
      <c r="BD104" s="92" t="s">
        <v>374</v>
      </c>
      <c r="BE104" s="91"/>
      <c r="BF104" s="91"/>
      <c r="BG104" s="91"/>
      <c r="BH104" s="8"/>
      <c r="BI104" s="8"/>
      <c r="BJ104" s="8"/>
      <c r="BK104" s="8"/>
      <c r="BL104" s="8"/>
      <c r="BM104" s="8"/>
      <c r="BN104" s="8"/>
      <c r="BO104" s="8"/>
      <c r="BP104" s="8"/>
      <c r="BR104" s="26" t="s">
        <v>39</v>
      </c>
      <c r="BS104" s="88">
        <f>SUM(BV90:CA94)-BS106</f>
        <v>2.4997797318080009E-2</v>
      </c>
      <c r="BT104" s="8"/>
      <c r="BU104" s="92" t="s">
        <v>374</v>
      </c>
      <c r="BV104" s="91"/>
      <c r="BW104" s="91"/>
      <c r="BX104" s="91"/>
      <c r="BY104" s="8"/>
      <c r="BZ104" s="8"/>
      <c r="CA104" s="8"/>
      <c r="CB104" s="8"/>
      <c r="CC104" s="8"/>
      <c r="CD104" s="8"/>
      <c r="CE104" s="8"/>
      <c r="CF104" s="8"/>
      <c r="CG104" s="8"/>
    </row>
    <row r="105" spans="1:85" s="7" customFormat="1" x14ac:dyDescent="0.25">
      <c r="B105" s="10" t="s">
        <v>40</v>
      </c>
      <c r="C105" s="89">
        <f>SUM(F87:K87)</f>
        <v>0</v>
      </c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S105" s="10" t="s">
        <v>40</v>
      </c>
      <c r="T105" s="89">
        <f>SUM(W87:AB87)</f>
        <v>0</v>
      </c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J105" s="10" t="s">
        <v>40</v>
      </c>
      <c r="AK105" s="89">
        <f>SUM(AN87:AS87)</f>
        <v>0</v>
      </c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BA105" s="10" t="s">
        <v>40</v>
      </c>
      <c r="BB105" s="89">
        <f>SUM(BE87:BJ87)</f>
        <v>0</v>
      </c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R105" s="10" t="s">
        <v>40</v>
      </c>
      <c r="BS105" s="89">
        <f>SUM(BV87:CA87)</f>
        <v>0</v>
      </c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</row>
    <row r="106" spans="1:85" x14ac:dyDescent="0.25">
      <c r="B106" s="20" t="s">
        <v>41</v>
      </c>
      <c r="C106" s="90">
        <f>SUM(L88:P88)</f>
        <v>3.5171705400000003E-2</v>
      </c>
      <c r="D106" s="84"/>
      <c r="E106" s="84"/>
      <c r="F106" s="84"/>
      <c r="G106" s="84"/>
      <c r="H106" s="84"/>
      <c r="S106" s="20" t="s">
        <v>41</v>
      </c>
      <c r="T106" s="90">
        <f>SUM(AC88:AG88)</f>
        <v>2.1621577499999999E-2</v>
      </c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J106" s="20" t="s">
        <v>41</v>
      </c>
      <c r="AK106" s="90">
        <f>SUM(AT88:AX88)</f>
        <v>1.50564047E-2</v>
      </c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BA106" s="20" t="s">
        <v>41</v>
      </c>
      <c r="BB106" s="90">
        <f>SUM(BK88:BO88)</f>
        <v>2.9417538199999999E-2</v>
      </c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R106" s="20" t="s">
        <v>41</v>
      </c>
      <c r="BS106" s="90">
        <f>SUM(CB88:CF88)</f>
        <v>6.2989031799999998E-2</v>
      </c>
      <c r="BT106" s="84"/>
      <c r="BU106" s="84"/>
      <c r="BV106" s="84"/>
      <c r="BW106" s="84"/>
      <c r="BX106" s="84"/>
      <c r="BY106" s="84"/>
      <c r="BZ106" s="84"/>
      <c r="CA106" s="84"/>
      <c r="CB106" s="84"/>
      <c r="CC106" s="84"/>
      <c r="CD106" s="84"/>
      <c r="CE106" s="84"/>
      <c r="CF106" s="84"/>
      <c r="CG106" s="84"/>
    </row>
    <row r="107" spans="1:85" ht="21" x14ac:dyDescent="0.35">
      <c r="A107" s="5">
        <v>2050</v>
      </c>
      <c r="R107" s="5">
        <v>2050</v>
      </c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5">
        <v>2050</v>
      </c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5">
        <v>2050</v>
      </c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5">
        <v>2050</v>
      </c>
      <c r="BS107" s="84"/>
      <c r="BT107" s="84"/>
      <c r="BU107" s="84"/>
      <c r="BV107" s="84"/>
      <c r="BW107" s="84"/>
      <c r="BX107" s="84"/>
      <c r="BY107" s="84"/>
      <c r="BZ107" s="84"/>
      <c r="CA107" s="84"/>
      <c r="CB107" s="84"/>
      <c r="CC107" s="84"/>
      <c r="CD107" s="84"/>
      <c r="CE107" s="84"/>
      <c r="CF107" s="84"/>
      <c r="CG107" s="84"/>
    </row>
    <row r="108" spans="1:85" x14ac:dyDescent="0.25">
      <c r="B108" s="4" t="str">
        <f>$B$6</f>
        <v>ReferentieUtrecht</v>
      </c>
      <c r="S108" s="4" t="str">
        <f>$S$6</f>
        <v>Utrecht_Label B</v>
      </c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J108" s="4" t="str">
        <f>AJ$6</f>
        <v>Utrecht_Label Aplus</v>
      </c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BA108" s="4" t="str">
        <f>BA$6</f>
        <v>Utrecht_Label Aplus, met eWP</v>
      </c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R108" s="4" t="str">
        <f>BR$6</f>
        <v>Utrecht_Label B_Warmtenetten</v>
      </c>
      <c r="BS108" s="84"/>
      <c r="BT108" s="84"/>
      <c r="BU108" s="84"/>
      <c r="BV108" s="84"/>
      <c r="BW108" s="84"/>
      <c r="BX108" s="84"/>
      <c r="BY108" s="84"/>
      <c r="BZ108" s="84"/>
      <c r="CA108" s="84"/>
      <c r="CB108" s="84"/>
      <c r="CC108" s="84"/>
      <c r="CD108" s="84"/>
      <c r="CE108" s="84"/>
      <c r="CF108" s="84"/>
      <c r="CG108" s="84"/>
    </row>
    <row r="109" spans="1:85" x14ac:dyDescent="0.25">
      <c r="C109" s="1" t="s">
        <v>18</v>
      </c>
      <c r="D109" s="1" t="s">
        <v>19</v>
      </c>
      <c r="E109" s="1" t="s">
        <v>20</v>
      </c>
      <c r="F109" s="1" t="s">
        <v>21</v>
      </c>
      <c r="G109" s="1" t="s">
        <v>22</v>
      </c>
      <c r="H109" s="1" t="s">
        <v>23</v>
      </c>
      <c r="I109" s="1" t="s">
        <v>24</v>
      </c>
      <c r="J109" s="1" t="s">
        <v>25</v>
      </c>
      <c r="K109" s="1" t="s">
        <v>26</v>
      </c>
      <c r="L109" s="1" t="s">
        <v>5</v>
      </c>
      <c r="M109" s="1" t="s">
        <v>6</v>
      </c>
      <c r="N109" s="1" t="s">
        <v>7</v>
      </c>
      <c r="O109" s="1" t="s">
        <v>8</v>
      </c>
      <c r="P109" s="1" t="s">
        <v>9</v>
      </c>
      <c r="Q109" s="1" t="s">
        <v>27</v>
      </c>
      <c r="T109" s="1" t="s">
        <v>18</v>
      </c>
      <c r="U109" s="1" t="s">
        <v>19</v>
      </c>
      <c r="V109" s="1" t="s">
        <v>20</v>
      </c>
      <c r="W109" s="1" t="s">
        <v>21</v>
      </c>
      <c r="X109" s="1" t="s">
        <v>22</v>
      </c>
      <c r="Y109" s="1" t="s">
        <v>23</v>
      </c>
      <c r="Z109" s="1" t="s">
        <v>24</v>
      </c>
      <c r="AA109" s="1" t="s">
        <v>25</v>
      </c>
      <c r="AB109" s="1" t="s">
        <v>26</v>
      </c>
      <c r="AC109" s="1" t="s">
        <v>5</v>
      </c>
      <c r="AD109" s="1" t="s">
        <v>6</v>
      </c>
      <c r="AE109" s="1" t="s">
        <v>7</v>
      </c>
      <c r="AF109" s="1" t="s">
        <v>8</v>
      </c>
      <c r="AG109" s="1" t="s">
        <v>9</v>
      </c>
      <c r="AH109" s="1" t="s">
        <v>27</v>
      </c>
      <c r="AK109" s="1" t="s">
        <v>18</v>
      </c>
      <c r="AL109" s="1" t="s">
        <v>19</v>
      </c>
      <c r="AM109" s="1" t="s">
        <v>20</v>
      </c>
      <c r="AN109" s="1" t="s">
        <v>21</v>
      </c>
      <c r="AO109" s="1" t="s">
        <v>22</v>
      </c>
      <c r="AP109" s="1" t="s">
        <v>23</v>
      </c>
      <c r="AQ109" s="1" t="s">
        <v>24</v>
      </c>
      <c r="AR109" s="1" t="s">
        <v>25</v>
      </c>
      <c r="AS109" s="1" t="s">
        <v>26</v>
      </c>
      <c r="AT109" s="1" t="s">
        <v>5</v>
      </c>
      <c r="AU109" s="1" t="s">
        <v>6</v>
      </c>
      <c r="AV109" s="1" t="s">
        <v>7</v>
      </c>
      <c r="AW109" s="1" t="s">
        <v>8</v>
      </c>
      <c r="AX109" s="1" t="s">
        <v>9</v>
      </c>
      <c r="AY109" s="1" t="s">
        <v>27</v>
      </c>
      <c r="BB109" s="1" t="s">
        <v>18</v>
      </c>
      <c r="BC109" s="1" t="s">
        <v>19</v>
      </c>
      <c r="BD109" s="1" t="s">
        <v>20</v>
      </c>
      <c r="BE109" s="1" t="s">
        <v>21</v>
      </c>
      <c r="BF109" s="1" t="s">
        <v>22</v>
      </c>
      <c r="BG109" s="1" t="s">
        <v>23</v>
      </c>
      <c r="BH109" s="1" t="s">
        <v>24</v>
      </c>
      <c r="BI109" s="1" t="s">
        <v>25</v>
      </c>
      <c r="BJ109" s="1" t="s">
        <v>26</v>
      </c>
      <c r="BK109" s="1" t="s">
        <v>5</v>
      </c>
      <c r="BL109" s="1" t="s">
        <v>6</v>
      </c>
      <c r="BM109" s="1" t="s">
        <v>7</v>
      </c>
      <c r="BN109" s="1" t="s">
        <v>8</v>
      </c>
      <c r="BO109" s="1" t="s">
        <v>9</v>
      </c>
      <c r="BP109" s="1" t="s">
        <v>27</v>
      </c>
      <c r="BS109" s="1" t="s">
        <v>18</v>
      </c>
      <c r="BT109" s="1" t="s">
        <v>19</v>
      </c>
      <c r="BU109" s="1" t="s">
        <v>20</v>
      </c>
      <c r="BV109" s="1" t="s">
        <v>21</v>
      </c>
      <c r="BW109" s="1" t="s">
        <v>22</v>
      </c>
      <c r="BX109" s="1" t="s">
        <v>23</v>
      </c>
      <c r="BY109" s="1" t="s">
        <v>24</v>
      </c>
      <c r="BZ109" s="1" t="s">
        <v>25</v>
      </c>
      <c r="CA109" s="1" t="s">
        <v>26</v>
      </c>
      <c r="CB109" s="1" t="s">
        <v>5</v>
      </c>
      <c r="CC109" s="1" t="s">
        <v>6</v>
      </c>
      <c r="CD109" s="1" t="s">
        <v>7</v>
      </c>
      <c r="CE109" s="1" t="s">
        <v>8</v>
      </c>
      <c r="CF109" s="1" t="s">
        <v>9</v>
      </c>
      <c r="CG109" s="1" t="s">
        <v>27</v>
      </c>
    </row>
    <row r="110" spans="1:85" x14ac:dyDescent="0.25">
      <c r="C110" s="1" t="s">
        <v>30</v>
      </c>
      <c r="D110" s="1" t="s">
        <v>30</v>
      </c>
      <c r="E110" s="1" t="s">
        <v>30</v>
      </c>
      <c r="F110" s="1" t="s">
        <v>30</v>
      </c>
      <c r="G110" s="1" t="s">
        <v>30</v>
      </c>
      <c r="H110" s="1" t="s">
        <v>30</v>
      </c>
      <c r="I110" s="1" t="s">
        <v>30</v>
      </c>
      <c r="J110" s="1" t="s">
        <v>30</v>
      </c>
      <c r="K110" s="1" t="s">
        <v>30</v>
      </c>
      <c r="L110" s="1" t="s">
        <v>30</v>
      </c>
      <c r="M110" s="1" t="s">
        <v>30</v>
      </c>
      <c r="N110" s="1" t="s">
        <v>30</v>
      </c>
      <c r="O110" s="1" t="s">
        <v>30</v>
      </c>
      <c r="P110" s="1" t="s">
        <v>30</v>
      </c>
      <c r="Q110" s="1" t="s">
        <v>30</v>
      </c>
      <c r="T110" s="1" t="s">
        <v>30</v>
      </c>
      <c r="U110" s="1" t="s">
        <v>30</v>
      </c>
      <c r="V110" s="1" t="s">
        <v>30</v>
      </c>
      <c r="W110" s="1" t="s">
        <v>30</v>
      </c>
      <c r="X110" s="1" t="s">
        <v>30</v>
      </c>
      <c r="Y110" s="1" t="s">
        <v>30</v>
      </c>
      <c r="Z110" s="1" t="s">
        <v>30</v>
      </c>
      <c r="AA110" s="1" t="s">
        <v>30</v>
      </c>
      <c r="AB110" s="1" t="s">
        <v>30</v>
      </c>
      <c r="AC110" s="1" t="s">
        <v>30</v>
      </c>
      <c r="AD110" s="1" t="s">
        <v>30</v>
      </c>
      <c r="AE110" s="1" t="s">
        <v>30</v>
      </c>
      <c r="AF110" s="1" t="s">
        <v>30</v>
      </c>
      <c r="AG110" s="1" t="s">
        <v>30</v>
      </c>
      <c r="AH110" s="1" t="s">
        <v>30</v>
      </c>
      <c r="AK110" s="1" t="s">
        <v>30</v>
      </c>
      <c r="AL110" s="1" t="s">
        <v>30</v>
      </c>
      <c r="AM110" s="1" t="s">
        <v>30</v>
      </c>
      <c r="AN110" s="1" t="s">
        <v>30</v>
      </c>
      <c r="AO110" s="1" t="s">
        <v>30</v>
      </c>
      <c r="AP110" s="1" t="s">
        <v>30</v>
      </c>
      <c r="AQ110" s="1" t="s">
        <v>30</v>
      </c>
      <c r="AR110" s="1" t="s">
        <v>30</v>
      </c>
      <c r="AS110" s="1" t="s">
        <v>30</v>
      </c>
      <c r="AT110" s="1" t="s">
        <v>30</v>
      </c>
      <c r="AU110" s="1" t="s">
        <v>30</v>
      </c>
      <c r="AV110" s="1" t="s">
        <v>30</v>
      </c>
      <c r="AW110" s="1" t="s">
        <v>30</v>
      </c>
      <c r="AX110" s="1" t="s">
        <v>30</v>
      </c>
      <c r="AY110" s="1" t="s">
        <v>30</v>
      </c>
      <c r="BB110" s="1" t="s">
        <v>30</v>
      </c>
      <c r="BC110" s="1" t="s">
        <v>30</v>
      </c>
      <c r="BD110" s="1" t="s">
        <v>30</v>
      </c>
      <c r="BE110" s="1" t="s">
        <v>30</v>
      </c>
      <c r="BF110" s="1" t="s">
        <v>30</v>
      </c>
      <c r="BG110" s="1" t="s">
        <v>30</v>
      </c>
      <c r="BH110" s="1" t="s">
        <v>30</v>
      </c>
      <c r="BI110" s="1" t="s">
        <v>30</v>
      </c>
      <c r="BJ110" s="1" t="s">
        <v>30</v>
      </c>
      <c r="BK110" s="1" t="s">
        <v>30</v>
      </c>
      <c r="BL110" s="1" t="s">
        <v>30</v>
      </c>
      <c r="BM110" s="1" t="s">
        <v>30</v>
      </c>
      <c r="BN110" s="1" t="s">
        <v>30</v>
      </c>
      <c r="BO110" s="1" t="s">
        <v>30</v>
      </c>
      <c r="BP110" s="1" t="s">
        <v>30</v>
      </c>
      <c r="BS110" s="1" t="s">
        <v>30</v>
      </c>
      <c r="BT110" s="1" t="s">
        <v>30</v>
      </c>
      <c r="BU110" s="1" t="s">
        <v>30</v>
      </c>
      <c r="BV110" s="1" t="s">
        <v>30</v>
      </c>
      <c r="BW110" s="1" t="s">
        <v>30</v>
      </c>
      <c r="BX110" s="1" t="s">
        <v>30</v>
      </c>
      <c r="BY110" s="1" t="s">
        <v>30</v>
      </c>
      <c r="BZ110" s="1" t="s">
        <v>30</v>
      </c>
      <c r="CA110" s="1" t="s">
        <v>30</v>
      </c>
      <c r="CB110" s="1" t="s">
        <v>30</v>
      </c>
      <c r="CC110" s="1" t="s">
        <v>30</v>
      </c>
      <c r="CD110" s="1" t="s">
        <v>30</v>
      </c>
      <c r="CE110" s="1" t="s">
        <v>30</v>
      </c>
      <c r="CF110" s="1" t="s">
        <v>30</v>
      </c>
      <c r="CG110" s="1" t="s">
        <v>30</v>
      </c>
    </row>
    <row r="111" spans="1:85" s="7" customFormat="1" x14ac:dyDescent="0.25">
      <c r="B111" s="7" t="s">
        <v>1</v>
      </c>
      <c r="C111" s="93">
        <f>Modeloutput!B208/1000</f>
        <v>0</v>
      </c>
      <c r="D111" s="93">
        <f>Modeloutput!C208/1000</f>
        <v>0</v>
      </c>
      <c r="E111" s="93">
        <f>Modeloutput!D208/1000</f>
        <v>0</v>
      </c>
      <c r="F111" s="93">
        <f>Modeloutput!E208/1000</f>
        <v>0</v>
      </c>
      <c r="G111" s="93">
        <f>Modeloutput!F208/1000</f>
        <v>0</v>
      </c>
      <c r="H111" s="93">
        <f>Modeloutput!G208/1000</f>
        <v>0</v>
      </c>
      <c r="I111" s="93">
        <f>Modeloutput!H208/1000</f>
        <v>0</v>
      </c>
      <c r="J111" s="93">
        <f>Modeloutput!I208/1000</f>
        <v>0</v>
      </c>
      <c r="K111" s="93">
        <f>Modeloutput!J208/1000</f>
        <v>0</v>
      </c>
      <c r="L111" s="93">
        <f>Modeloutput!K208/1000</f>
        <v>0</v>
      </c>
      <c r="M111" s="93">
        <f>Modeloutput!L208/1000</f>
        <v>0</v>
      </c>
      <c r="N111" s="93">
        <f>Modeloutput!M208/1000</f>
        <v>0</v>
      </c>
      <c r="O111" s="93">
        <f>Modeloutput!N208/1000</f>
        <v>0</v>
      </c>
      <c r="P111" s="93">
        <f>Modeloutput!O208/1000</f>
        <v>0</v>
      </c>
      <c r="Q111" s="93">
        <f>Modeloutput!P208/1000</f>
        <v>0</v>
      </c>
      <c r="S111" s="7" t="s">
        <v>1</v>
      </c>
      <c r="T111" s="93">
        <f>Modeloutput!B463/1000</f>
        <v>0</v>
      </c>
      <c r="U111" s="93">
        <f>Modeloutput!C463/1000</f>
        <v>0</v>
      </c>
      <c r="V111" s="93">
        <f>Modeloutput!D463/1000</f>
        <v>0</v>
      </c>
      <c r="W111" s="93">
        <f>Modeloutput!E463/1000</f>
        <v>0</v>
      </c>
      <c r="X111" s="93">
        <f>Modeloutput!F463/1000</f>
        <v>0</v>
      </c>
      <c r="Y111" s="93">
        <f>Modeloutput!G463/1000</f>
        <v>0</v>
      </c>
      <c r="Z111" s="93">
        <f>Modeloutput!H463/1000</f>
        <v>0</v>
      </c>
      <c r="AA111" s="93">
        <f>Modeloutput!I463/1000</f>
        <v>0</v>
      </c>
      <c r="AB111" s="93">
        <f>Modeloutput!J463/1000</f>
        <v>0</v>
      </c>
      <c r="AC111" s="93">
        <f>Modeloutput!K463/1000</f>
        <v>0</v>
      </c>
      <c r="AD111" s="93">
        <f>Modeloutput!L463/1000</f>
        <v>0</v>
      </c>
      <c r="AE111" s="93">
        <f>Modeloutput!M463/1000</f>
        <v>0</v>
      </c>
      <c r="AF111" s="93">
        <f>Modeloutput!N463/1000</f>
        <v>0</v>
      </c>
      <c r="AG111" s="93">
        <f>Modeloutput!O463/1000</f>
        <v>0</v>
      </c>
      <c r="AH111" s="93">
        <f>Modeloutput!P463/1000</f>
        <v>0</v>
      </c>
      <c r="AJ111" s="7" t="s">
        <v>1</v>
      </c>
      <c r="AK111" s="93">
        <f>Modeloutput!B718/1000</f>
        <v>0</v>
      </c>
      <c r="AL111" s="93">
        <f>Modeloutput!C718/1000</f>
        <v>0</v>
      </c>
      <c r="AM111" s="93">
        <f>Modeloutput!D718/1000</f>
        <v>0</v>
      </c>
      <c r="AN111" s="93">
        <f>Modeloutput!E718/1000</f>
        <v>0</v>
      </c>
      <c r="AO111" s="93">
        <f>Modeloutput!F718/1000</f>
        <v>0</v>
      </c>
      <c r="AP111" s="93">
        <f>Modeloutput!G718/1000</f>
        <v>0</v>
      </c>
      <c r="AQ111" s="93">
        <f>Modeloutput!H718/1000</f>
        <v>0</v>
      </c>
      <c r="AR111" s="93">
        <f>Modeloutput!I718/1000</f>
        <v>0</v>
      </c>
      <c r="AS111" s="93">
        <f>Modeloutput!J718/1000</f>
        <v>0</v>
      </c>
      <c r="AT111" s="93">
        <f>Modeloutput!K718/1000</f>
        <v>0</v>
      </c>
      <c r="AU111" s="93">
        <f>Modeloutput!L718/1000</f>
        <v>0</v>
      </c>
      <c r="AV111" s="93">
        <f>Modeloutput!M718/1000</f>
        <v>0</v>
      </c>
      <c r="AW111" s="93">
        <f>Modeloutput!N718/1000</f>
        <v>0</v>
      </c>
      <c r="AX111" s="93">
        <f>Modeloutput!O718/1000</f>
        <v>0</v>
      </c>
      <c r="AY111" s="93">
        <f>Modeloutput!P718/1000</f>
        <v>0</v>
      </c>
      <c r="BA111" s="7" t="s">
        <v>1</v>
      </c>
      <c r="BB111" s="93">
        <f>Modeloutput!B973/1000</f>
        <v>0</v>
      </c>
      <c r="BC111" s="93">
        <f>Modeloutput!C973/1000</f>
        <v>0</v>
      </c>
      <c r="BD111" s="93">
        <f>Modeloutput!D973/1000</f>
        <v>0</v>
      </c>
      <c r="BE111" s="93">
        <f>Modeloutput!E973/1000</f>
        <v>0</v>
      </c>
      <c r="BF111" s="93">
        <f>Modeloutput!F973/1000</f>
        <v>0</v>
      </c>
      <c r="BG111" s="93">
        <f>Modeloutput!G973/1000</f>
        <v>0</v>
      </c>
      <c r="BH111" s="93">
        <f>Modeloutput!H973/1000</f>
        <v>0</v>
      </c>
      <c r="BI111" s="93">
        <f>Modeloutput!I973/1000</f>
        <v>0</v>
      </c>
      <c r="BJ111" s="93">
        <f>Modeloutput!J973/1000</f>
        <v>0</v>
      </c>
      <c r="BK111" s="93">
        <f>Modeloutput!K973/1000</f>
        <v>0</v>
      </c>
      <c r="BL111" s="93">
        <f>Modeloutput!L973/1000</f>
        <v>0</v>
      </c>
      <c r="BM111" s="93">
        <f>Modeloutput!M973/1000</f>
        <v>0</v>
      </c>
      <c r="BN111" s="93">
        <f>Modeloutput!N973/1000</f>
        <v>0</v>
      </c>
      <c r="BO111" s="93">
        <f>Modeloutput!O973/1000</f>
        <v>0</v>
      </c>
      <c r="BP111" s="93">
        <f>Modeloutput!P973/1000</f>
        <v>0</v>
      </c>
      <c r="BR111" s="7" t="s">
        <v>1</v>
      </c>
      <c r="BS111" s="93">
        <f>Modeloutput!B1228/1000</f>
        <v>0</v>
      </c>
      <c r="BT111" s="93">
        <f>Modeloutput!C1228/1000</f>
        <v>0</v>
      </c>
      <c r="BU111" s="93">
        <f>Modeloutput!D1228/1000</f>
        <v>0</v>
      </c>
      <c r="BV111" s="93">
        <f>Modeloutput!E1228/1000</f>
        <v>0</v>
      </c>
      <c r="BW111" s="93">
        <f>Modeloutput!F1228/1000</f>
        <v>0</v>
      </c>
      <c r="BX111" s="93">
        <f>Modeloutput!G1228/1000</f>
        <v>0</v>
      </c>
      <c r="BY111" s="93">
        <f>Modeloutput!H1228/1000</f>
        <v>0</v>
      </c>
      <c r="BZ111" s="93">
        <f>Modeloutput!I1228/1000</f>
        <v>0</v>
      </c>
      <c r="CA111" s="93">
        <f>Modeloutput!J1228/1000</f>
        <v>0</v>
      </c>
      <c r="CB111" s="93">
        <f>Modeloutput!K1228/1000</f>
        <v>0</v>
      </c>
      <c r="CC111" s="93">
        <f>Modeloutput!L1228/1000</f>
        <v>0</v>
      </c>
      <c r="CD111" s="93">
        <f>Modeloutput!M1228/1000</f>
        <v>0</v>
      </c>
      <c r="CE111" s="93">
        <f>Modeloutput!N1228/1000</f>
        <v>0</v>
      </c>
      <c r="CF111" s="93">
        <f>Modeloutput!O1228/1000</f>
        <v>0</v>
      </c>
      <c r="CG111" s="93">
        <f>Modeloutput!P1228/1000</f>
        <v>0</v>
      </c>
    </row>
    <row r="112" spans="1:85" s="7" customFormat="1" x14ac:dyDescent="0.25">
      <c r="B112" s="7" t="s">
        <v>2</v>
      </c>
      <c r="C112" s="93">
        <f>Modeloutput!B209/1000</f>
        <v>1.0231682799999999E-2</v>
      </c>
      <c r="D112" s="93">
        <f>Modeloutput!C209/1000</f>
        <v>0</v>
      </c>
      <c r="E112" s="93">
        <f>Modeloutput!D209/1000</f>
        <v>1.0231682799999999E-2</v>
      </c>
      <c r="F112" s="94">
        <f>Modeloutput!E209/1000</f>
        <v>0</v>
      </c>
      <c r="G112" s="94">
        <f>Modeloutput!F209/1000</f>
        <v>0</v>
      </c>
      <c r="H112" s="94">
        <f>Modeloutput!G209/1000</f>
        <v>0</v>
      </c>
      <c r="I112" s="94">
        <f>Modeloutput!H209/1000</f>
        <v>0</v>
      </c>
      <c r="J112" s="94">
        <f>Modeloutput!I209/1000</f>
        <v>0</v>
      </c>
      <c r="K112" s="94">
        <f>Modeloutput!J209/1000</f>
        <v>0</v>
      </c>
      <c r="L112" s="95">
        <f>Modeloutput!K209/1000</f>
        <v>1.0231682799999999E-2</v>
      </c>
      <c r="M112" s="95">
        <f>Modeloutput!L209/1000</f>
        <v>0</v>
      </c>
      <c r="N112" s="95">
        <f>Modeloutput!M209/1000</f>
        <v>0</v>
      </c>
      <c r="O112" s="95">
        <f>Modeloutput!N209/1000</f>
        <v>0</v>
      </c>
      <c r="P112" s="95">
        <f>Modeloutput!O209/1000</f>
        <v>0</v>
      </c>
      <c r="Q112" s="93">
        <f>Modeloutput!P209/1000</f>
        <v>0</v>
      </c>
      <c r="S112" s="7" t="s">
        <v>2</v>
      </c>
      <c r="T112" s="93">
        <f>Modeloutput!B464/1000</f>
        <v>6.5504727400000004E-3</v>
      </c>
      <c r="U112" s="93">
        <f>Modeloutput!C464/1000</f>
        <v>0</v>
      </c>
      <c r="V112" s="93">
        <f>Modeloutput!D464/1000</f>
        <v>6.5504727400000004E-3</v>
      </c>
      <c r="W112" s="94">
        <f>Modeloutput!E464/1000</f>
        <v>0</v>
      </c>
      <c r="X112" s="94">
        <f>Modeloutput!F464/1000</f>
        <v>0</v>
      </c>
      <c r="Y112" s="94">
        <f>Modeloutput!G464/1000</f>
        <v>0</v>
      </c>
      <c r="Z112" s="94">
        <f>Modeloutput!H464/1000</f>
        <v>0</v>
      </c>
      <c r="AA112" s="94">
        <f>Modeloutput!I464/1000</f>
        <v>0</v>
      </c>
      <c r="AB112" s="94">
        <f>Modeloutput!J464/1000</f>
        <v>0</v>
      </c>
      <c r="AC112" s="95">
        <f>Modeloutput!K464/1000</f>
        <v>6.5504727400000004E-3</v>
      </c>
      <c r="AD112" s="95">
        <f>Modeloutput!L464/1000</f>
        <v>0</v>
      </c>
      <c r="AE112" s="95">
        <f>Modeloutput!M464/1000</f>
        <v>0</v>
      </c>
      <c r="AF112" s="95">
        <f>Modeloutput!N464/1000</f>
        <v>0</v>
      </c>
      <c r="AG112" s="95">
        <f>Modeloutput!O464/1000</f>
        <v>0</v>
      </c>
      <c r="AH112" s="93">
        <f>Modeloutput!P464/1000</f>
        <v>0</v>
      </c>
      <c r="AJ112" s="7" t="s">
        <v>2</v>
      </c>
      <c r="AK112" s="93">
        <f>Modeloutput!B719/1000</f>
        <v>0</v>
      </c>
      <c r="AL112" s="93">
        <f>Modeloutput!C719/1000</f>
        <v>0</v>
      </c>
      <c r="AM112" s="93">
        <f>Modeloutput!D719/1000</f>
        <v>0</v>
      </c>
      <c r="AN112" s="94">
        <f>Modeloutput!E719/1000</f>
        <v>0</v>
      </c>
      <c r="AO112" s="94">
        <f>Modeloutput!F719/1000</f>
        <v>0</v>
      </c>
      <c r="AP112" s="94">
        <f>Modeloutput!G719/1000</f>
        <v>0</v>
      </c>
      <c r="AQ112" s="94">
        <f>Modeloutput!H719/1000</f>
        <v>0</v>
      </c>
      <c r="AR112" s="94">
        <f>Modeloutput!I719/1000</f>
        <v>0</v>
      </c>
      <c r="AS112" s="94">
        <f>Modeloutput!J719/1000</f>
        <v>0</v>
      </c>
      <c r="AT112" s="95">
        <f>Modeloutput!K719/1000</f>
        <v>0</v>
      </c>
      <c r="AU112" s="95">
        <f>Modeloutput!L719/1000</f>
        <v>0</v>
      </c>
      <c r="AV112" s="95">
        <f>Modeloutput!M719/1000</f>
        <v>0</v>
      </c>
      <c r="AW112" s="95">
        <f>Modeloutput!N719/1000</f>
        <v>0</v>
      </c>
      <c r="AX112" s="95">
        <f>Modeloutput!O719/1000</f>
        <v>0</v>
      </c>
      <c r="AY112" s="93">
        <f>Modeloutput!P719/1000</f>
        <v>0</v>
      </c>
      <c r="BA112" s="7" t="s">
        <v>2</v>
      </c>
      <c r="BB112" s="93">
        <f>Modeloutput!B974/1000</f>
        <v>0</v>
      </c>
      <c r="BC112" s="93">
        <f>Modeloutput!C974/1000</f>
        <v>0</v>
      </c>
      <c r="BD112" s="93">
        <f>Modeloutput!D974/1000</f>
        <v>0</v>
      </c>
      <c r="BE112" s="94">
        <f>Modeloutput!E974/1000</f>
        <v>0</v>
      </c>
      <c r="BF112" s="94">
        <f>Modeloutput!F974/1000</f>
        <v>0</v>
      </c>
      <c r="BG112" s="94">
        <f>Modeloutput!G974/1000</f>
        <v>0</v>
      </c>
      <c r="BH112" s="94">
        <f>Modeloutput!H974/1000</f>
        <v>0</v>
      </c>
      <c r="BI112" s="94">
        <f>Modeloutput!I974/1000</f>
        <v>0</v>
      </c>
      <c r="BJ112" s="94">
        <f>Modeloutput!J974/1000</f>
        <v>0</v>
      </c>
      <c r="BK112" s="95">
        <f>Modeloutput!K974/1000</f>
        <v>0</v>
      </c>
      <c r="BL112" s="95">
        <f>Modeloutput!L974/1000</f>
        <v>0</v>
      </c>
      <c r="BM112" s="95">
        <f>Modeloutput!M974/1000</f>
        <v>0</v>
      </c>
      <c r="BN112" s="95">
        <f>Modeloutput!N974/1000</f>
        <v>0</v>
      </c>
      <c r="BO112" s="95">
        <f>Modeloutput!O974/1000</f>
        <v>0</v>
      </c>
      <c r="BP112" s="93">
        <f>Modeloutput!P974/1000</f>
        <v>0</v>
      </c>
      <c r="BR112" s="7" t="s">
        <v>2</v>
      </c>
      <c r="BS112" s="93">
        <f>Modeloutput!B1229/1000</f>
        <v>2.4379267599999997E-2</v>
      </c>
      <c r="BT112" s="93">
        <f>Modeloutput!C1229/1000</f>
        <v>0</v>
      </c>
      <c r="BU112" s="93">
        <f>Modeloutput!D1229/1000</f>
        <v>2.4379267599999997E-2</v>
      </c>
      <c r="BV112" s="94">
        <f>Modeloutput!E1229/1000</f>
        <v>0</v>
      </c>
      <c r="BW112" s="94">
        <f>Modeloutput!F1229/1000</f>
        <v>0</v>
      </c>
      <c r="BX112" s="94">
        <f>Modeloutput!G1229/1000</f>
        <v>0</v>
      </c>
      <c r="BY112" s="94">
        <f>Modeloutput!H1229/1000</f>
        <v>0</v>
      </c>
      <c r="BZ112" s="94">
        <f>Modeloutput!I1229/1000</f>
        <v>0</v>
      </c>
      <c r="CA112" s="94">
        <f>Modeloutput!J1229/1000</f>
        <v>0</v>
      </c>
      <c r="CB112" s="95">
        <f>Modeloutput!K1229/1000</f>
        <v>2.4379267599999997E-2</v>
      </c>
      <c r="CC112" s="95">
        <f>Modeloutput!L1229/1000</f>
        <v>0</v>
      </c>
      <c r="CD112" s="95">
        <f>Modeloutput!M1229/1000</f>
        <v>0</v>
      </c>
      <c r="CE112" s="95">
        <f>Modeloutput!N1229/1000</f>
        <v>0</v>
      </c>
      <c r="CF112" s="95">
        <f>Modeloutput!O1229/1000</f>
        <v>0</v>
      </c>
      <c r="CG112" s="93">
        <f>Modeloutput!P1229/1000</f>
        <v>0</v>
      </c>
    </row>
    <row r="113" spans="2:85" s="7" customFormat="1" x14ac:dyDescent="0.25">
      <c r="B113" s="7" t="s">
        <v>3</v>
      </c>
      <c r="C113" s="93">
        <f>Modeloutput!B210/1000</f>
        <v>0.20755638300000001</v>
      </c>
      <c r="D113" s="93">
        <f>Modeloutput!C210/1000</f>
        <v>0</v>
      </c>
      <c r="E113" s="93">
        <f>Modeloutput!D210/1000</f>
        <v>0.20755638300000001</v>
      </c>
      <c r="F113" s="96">
        <f>Modeloutput!E210/1000</f>
        <v>0.14579468299999998</v>
      </c>
      <c r="G113" s="96">
        <f>Modeloutput!F210/1000</f>
        <v>4.0620095699999998E-4</v>
      </c>
      <c r="H113" s="96">
        <f>Modeloutput!G210/1000</f>
        <v>2.7349268899999998E-2</v>
      </c>
      <c r="I113" s="96">
        <f>Modeloutput!H210/1000</f>
        <v>4.74989023E-5</v>
      </c>
      <c r="J113" s="96">
        <f>Modeloutput!I210/1000</f>
        <v>0</v>
      </c>
      <c r="K113" s="96">
        <f>Modeloutput!J210/1000</f>
        <v>0</v>
      </c>
      <c r="L113" s="97">
        <f>Modeloutput!K210/1000</f>
        <v>3.39587311E-2</v>
      </c>
      <c r="M113" s="97">
        <f>Modeloutput!L210/1000</f>
        <v>0</v>
      </c>
      <c r="N113" s="97">
        <f>Modeloutput!M210/1000</f>
        <v>0</v>
      </c>
      <c r="O113" s="97">
        <f>Modeloutput!N210/1000</f>
        <v>0</v>
      </c>
      <c r="P113" s="97">
        <f>Modeloutput!O210/1000</f>
        <v>0</v>
      </c>
      <c r="Q113" s="93">
        <f>Modeloutput!P210/1000</f>
        <v>0</v>
      </c>
      <c r="S113" s="7" t="s">
        <v>3</v>
      </c>
      <c r="T113" s="93">
        <f>Modeloutput!B465/1000</f>
        <v>0.16202823199999999</v>
      </c>
      <c r="U113" s="93">
        <f>Modeloutput!C465/1000</f>
        <v>0</v>
      </c>
      <c r="V113" s="93">
        <f>Modeloutput!D465/1000</f>
        <v>0.16202823199999999</v>
      </c>
      <c r="W113" s="96">
        <f>Modeloutput!E465/1000</f>
        <v>0.122299877</v>
      </c>
      <c r="X113" s="96">
        <f>Modeloutput!F465/1000</f>
        <v>4.7751534000000002E-4</v>
      </c>
      <c r="Y113" s="96">
        <f>Modeloutput!G465/1000</f>
        <v>1.45373802E-2</v>
      </c>
      <c r="Z113" s="96">
        <f>Modeloutput!H465/1000</f>
        <v>2.98356411E-5</v>
      </c>
      <c r="AA113" s="96">
        <f>Modeloutput!I465/1000</f>
        <v>0</v>
      </c>
      <c r="AB113" s="96">
        <f>Modeloutput!J465/1000</f>
        <v>0</v>
      </c>
      <c r="AC113" s="97">
        <f>Modeloutput!K465/1000</f>
        <v>2.4683623699999997E-2</v>
      </c>
      <c r="AD113" s="97">
        <f>Modeloutput!L465/1000</f>
        <v>0</v>
      </c>
      <c r="AE113" s="97">
        <f>Modeloutput!M465/1000</f>
        <v>0</v>
      </c>
      <c r="AF113" s="97">
        <f>Modeloutput!N465/1000</f>
        <v>0</v>
      </c>
      <c r="AG113" s="97">
        <f>Modeloutput!O465/1000</f>
        <v>0</v>
      </c>
      <c r="AH113" s="93">
        <f>Modeloutput!P465/1000</f>
        <v>0</v>
      </c>
      <c r="AJ113" s="7" t="s">
        <v>3</v>
      </c>
      <c r="AK113" s="93">
        <f>Modeloutput!B720/1000</f>
        <v>3.3676877799999998E-2</v>
      </c>
      <c r="AL113" s="93">
        <f>Modeloutput!C720/1000</f>
        <v>0</v>
      </c>
      <c r="AM113" s="93">
        <f>Modeloutput!D720/1000</f>
        <v>3.3676877799999998E-2</v>
      </c>
      <c r="AN113" s="96">
        <f>Modeloutput!E720/1000</f>
        <v>1.61098831E-2</v>
      </c>
      <c r="AO113" s="96">
        <f>Modeloutput!F720/1000</f>
        <v>2.9599982499999998E-4</v>
      </c>
      <c r="AP113" s="96">
        <f>Modeloutput!G720/1000</f>
        <v>2.49707958E-3</v>
      </c>
      <c r="AQ113" s="96">
        <f>Modeloutput!H720/1000</f>
        <v>4.4538889699999999E-5</v>
      </c>
      <c r="AR113" s="96">
        <f>Modeloutput!I720/1000</f>
        <v>0</v>
      </c>
      <c r="AS113" s="96">
        <f>Modeloutput!J720/1000</f>
        <v>0</v>
      </c>
      <c r="AT113" s="97">
        <f>Modeloutput!K720/1000</f>
        <v>1.4729376399999999E-2</v>
      </c>
      <c r="AU113" s="97">
        <f>Modeloutput!L720/1000</f>
        <v>0</v>
      </c>
      <c r="AV113" s="97">
        <f>Modeloutput!M720/1000</f>
        <v>0</v>
      </c>
      <c r="AW113" s="97">
        <f>Modeloutput!N720/1000</f>
        <v>0</v>
      </c>
      <c r="AX113" s="97">
        <f>Modeloutput!O720/1000</f>
        <v>0</v>
      </c>
      <c r="AY113" s="93">
        <f>Modeloutput!P720/1000</f>
        <v>0</v>
      </c>
      <c r="BA113" s="7" t="s">
        <v>3</v>
      </c>
      <c r="BB113" s="93">
        <f>Modeloutput!B975/1000</f>
        <v>2.8366061099999999E-2</v>
      </c>
      <c r="BC113" s="93">
        <f>Modeloutput!C975/1000</f>
        <v>0</v>
      </c>
      <c r="BD113" s="93">
        <f>Modeloutput!D975/1000</f>
        <v>2.8366061099999999E-2</v>
      </c>
      <c r="BE113" s="96">
        <f>Modeloutput!E975/1000</f>
        <v>0</v>
      </c>
      <c r="BF113" s="96">
        <f>Modeloutput!F975/1000</f>
        <v>0</v>
      </c>
      <c r="BG113" s="96">
        <f>Modeloutput!G975/1000</f>
        <v>0</v>
      </c>
      <c r="BH113" s="96">
        <f>Modeloutput!H975/1000</f>
        <v>0</v>
      </c>
      <c r="BI113" s="96">
        <f>Modeloutput!I975/1000</f>
        <v>0</v>
      </c>
      <c r="BJ113" s="96">
        <f>Modeloutput!J975/1000</f>
        <v>0</v>
      </c>
      <c r="BK113" s="97">
        <f>Modeloutput!K975/1000</f>
        <v>2.8366061099999999E-2</v>
      </c>
      <c r="BL113" s="97">
        <f>Modeloutput!L975/1000</f>
        <v>0</v>
      </c>
      <c r="BM113" s="97">
        <f>Modeloutput!M975/1000</f>
        <v>0</v>
      </c>
      <c r="BN113" s="97">
        <f>Modeloutput!N975/1000</f>
        <v>0</v>
      </c>
      <c r="BO113" s="97">
        <f>Modeloutput!O975/1000</f>
        <v>0</v>
      </c>
      <c r="BP113" s="93">
        <f>Modeloutput!P975/1000</f>
        <v>0</v>
      </c>
      <c r="BR113" s="7" t="s">
        <v>3</v>
      </c>
      <c r="BS113" s="93">
        <f>Modeloutput!B1230/1000</f>
        <v>6.2080099100000001E-2</v>
      </c>
      <c r="BT113" s="93">
        <f>Modeloutput!C1230/1000</f>
        <v>0</v>
      </c>
      <c r="BU113" s="93">
        <f>Modeloutput!D1230/1000</f>
        <v>6.2080099100000001E-2</v>
      </c>
      <c r="BV113" s="96">
        <f>Modeloutput!E1230/1000</f>
        <v>5.4066821499999991E-4</v>
      </c>
      <c r="BW113" s="96">
        <f>Modeloutput!F1230/1000</f>
        <v>1.20626153E-5</v>
      </c>
      <c r="BX113" s="96">
        <f>Modeloutput!G1230/1000</f>
        <v>5.7771265799999997E-5</v>
      </c>
      <c r="BY113" s="96">
        <f>Modeloutput!H1230/1000</f>
        <v>0</v>
      </c>
      <c r="BZ113" s="96">
        <f>Modeloutput!I1230/1000</f>
        <v>0</v>
      </c>
      <c r="CA113" s="96">
        <f>Modeloutput!J1230/1000</f>
        <v>0</v>
      </c>
      <c r="CB113" s="97">
        <f>Modeloutput!K1230/1000</f>
        <v>4.1999356400000007E-2</v>
      </c>
      <c r="CC113" s="97">
        <f>Modeloutput!L1230/1000</f>
        <v>1.9470240600000001E-2</v>
      </c>
      <c r="CD113" s="97">
        <f>Modeloutput!M1230/1000</f>
        <v>0</v>
      </c>
      <c r="CE113" s="97">
        <f>Modeloutput!N1230/1000</f>
        <v>0</v>
      </c>
      <c r="CF113" s="97">
        <f>Modeloutput!O1230/1000</f>
        <v>0</v>
      </c>
      <c r="CG113" s="93">
        <f>Modeloutput!P1230/1000</f>
        <v>0</v>
      </c>
    </row>
    <row r="114" spans="2:85" s="7" customFormat="1" x14ac:dyDescent="0.25">
      <c r="B114" s="7" t="s">
        <v>4</v>
      </c>
      <c r="C114" s="93">
        <f>Modeloutput!B211/1000</f>
        <v>3.1307742E-2</v>
      </c>
      <c r="D114" s="93">
        <f>Modeloutput!C211/1000</f>
        <v>0</v>
      </c>
      <c r="E114" s="93">
        <f>Modeloutput!D211/1000</f>
        <v>3.1307742E-2</v>
      </c>
      <c r="F114" s="98">
        <f>Modeloutput!E211/1000</f>
        <v>1.43158664E-2</v>
      </c>
      <c r="G114" s="98">
        <f>Modeloutput!F211/1000</f>
        <v>2.1387187699999999E-3</v>
      </c>
      <c r="H114" s="98">
        <f>Modeloutput!G211/1000</f>
        <v>1.3370133499999999E-2</v>
      </c>
      <c r="I114" s="98">
        <f>Modeloutput!H211/1000</f>
        <v>6.6384739400000001E-4</v>
      </c>
      <c r="J114" s="98">
        <f>Modeloutput!I211/1000</f>
        <v>0</v>
      </c>
      <c r="K114" s="98">
        <f>Modeloutput!J211/1000</f>
        <v>0</v>
      </c>
      <c r="L114" s="95">
        <f>Modeloutput!K211/1000</f>
        <v>0</v>
      </c>
      <c r="M114" s="95">
        <f>Modeloutput!L211/1000</f>
        <v>0</v>
      </c>
      <c r="N114" s="95">
        <f>Modeloutput!M211/1000</f>
        <v>8.1917599900000002E-4</v>
      </c>
      <c r="O114" s="95">
        <f>Modeloutput!N211/1000</f>
        <v>0</v>
      </c>
      <c r="P114" s="95">
        <f>Modeloutput!O211/1000</f>
        <v>0</v>
      </c>
      <c r="Q114" s="93">
        <f>Modeloutput!P211/1000</f>
        <v>0</v>
      </c>
      <c r="S114" s="7" t="s">
        <v>4</v>
      </c>
      <c r="T114" s="93">
        <f>Modeloutput!B466/1000</f>
        <v>3.1307618600000003E-2</v>
      </c>
      <c r="U114" s="93">
        <f>Modeloutput!C466/1000</f>
        <v>0</v>
      </c>
      <c r="V114" s="93">
        <f>Modeloutput!D466/1000</f>
        <v>3.1307618600000003E-2</v>
      </c>
      <c r="W114" s="98">
        <f>Modeloutput!E466/1000</f>
        <v>1.43158664E-2</v>
      </c>
      <c r="X114" s="98">
        <f>Modeloutput!F466/1000</f>
        <v>2.1387187699999999E-3</v>
      </c>
      <c r="Y114" s="98">
        <f>Modeloutput!G466/1000</f>
        <v>1.3384749E-2</v>
      </c>
      <c r="Z114" s="98">
        <f>Modeloutput!H466/1000</f>
        <v>6.6384739400000001E-4</v>
      </c>
      <c r="AA114" s="98">
        <f>Modeloutput!I466/1000</f>
        <v>0</v>
      </c>
      <c r="AB114" s="98">
        <f>Modeloutput!J466/1000</f>
        <v>0</v>
      </c>
      <c r="AC114" s="95">
        <f>Modeloutput!K466/1000</f>
        <v>0</v>
      </c>
      <c r="AD114" s="95">
        <f>Modeloutput!L466/1000</f>
        <v>0</v>
      </c>
      <c r="AE114" s="95">
        <f>Modeloutput!M466/1000</f>
        <v>8.0443702999999996E-4</v>
      </c>
      <c r="AF114" s="95">
        <f>Modeloutput!N466/1000</f>
        <v>0</v>
      </c>
      <c r="AG114" s="95">
        <f>Modeloutput!O466/1000</f>
        <v>0</v>
      </c>
      <c r="AH114" s="93">
        <f>Modeloutput!P466/1000</f>
        <v>0</v>
      </c>
      <c r="AJ114" s="7" t="s">
        <v>4</v>
      </c>
      <c r="AK114" s="93">
        <f>Modeloutput!B721/1000</f>
        <v>3.6918337100000004E-2</v>
      </c>
      <c r="AL114" s="93">
        <f>Modeloutput!C721/1000</f>
        <v>0</v>
      </c>
      <c r="AM114" s="93">
        <f>Modeloutput!D721/1000</f>
        <v>3.6918337100000004E-2</v>
      </c>
      <c r="AN114" s="98">
        <f>Modeloutput!E721/1000</f>
        <v>1.43158664E-2</v>
      </c>
      <c r="AO114" s="98">
        <f>Modeloutput!F721/1000</f>
        <v>2.1387187699999999E-3</v>
      </c>
      <c r="AP114" s="98">
        <f>Modeloutput!G721/1000</f>
        <v>1.29256679E-2</v>
      </c>
      <c r="AQ114" s="98">
        <f>Modeloutput!H721/1000</f>
        <v>6.6142691399999993E-4</v>
      </c>
      <c r="AR114" s="98">
        <f>Modeloutput!I721/1000</f>
        <v>0</v>
      </c>
      <c r="AS114" s="98">
        <f>Modeloutput!J721/1000</f>
        <v>0</v>
      </c>
      <c r="AT114" s="95">
        <f>Modeloutput!K721/1000</f>
        <v>0</v>
      </c>
      <c r="AU114" s="95">
        <f>Modeloutput!L721/1000</f>
        <v>0</v>
      </c>
      <c r="AV114" s="95">
        <f>Modeloutput!M721/1000</f>
        <v>6.8766571399999999E-3</v>
      </c>
      <c r="AW114" s="95">
        <f>Modeloutput!N721/1000</f>
        <v>0</v>
      </c>
      <c r="AX114" s="95">
        <f>Modeloutput!O721/1000</f>
        <v>0</v>
      </c>
      <c r="AY114" s="93">
        <f>Modeloutput!P721/1000</f>
        <v>0</v>
      </c>
      <c r="BA114" s="7" t="s">
        <v>4</v>
      </c>
      <c r="BB114" s="93">
        <f>Modeloutput!B976/1000</f>
        <v>3.4305533300000003E-2</v>
      </c>
      <c r="BC114" s="93">
        <f>Modeloutput!C976/1000</f>
        <v>0</v>
      </c>
      <c r="BD114" s="93">
        <f>Modeloutput!D976/1000</f>
        <v>3.4305533300000003E-2</v>
      </c>
      <c r="BE114" s="98">
        <f>Modeloutput!E976/1000</f>
        <v>1.7139503600000001E-2</v>
      </c>
      <c r="BF114" s="98">
        <f>Modeloutput!F976/1000</f>
        <v>2.4672862299999999E-3</v>
      </c>
      <c r="BG114" s="98">
        <f>Modeloutput!G976/1000</f>
        <v>1.39190405E-2</v>
      </c>
      <c r="BH114" s="98">
        <f>Modeloutput!H976/1000</f>
        <v>7.7970301400000002E-4</v>
      </c>
      <c r="BI114" s="98">
        <f>Modeloutput!I976/1000</f>
        <v>0</v>
      </c>
      <c r="BJ114" s="98">
        <f>Modeloutput!J976/1000</f>
        <v>0</v>
      </c>
      <c r="BK114" s="95">
        <f>Modeloutput!K976/1000</f>
        <v>0</v>
      </c>
      <c r="BL114" s="95">
        <f>Modeloutput!L976/1000</f>
        <v>0</v>
      </c>
      <c r="BM114" s="95">
        <f>Modeloutput!M976/1000</f>
        <v>0</v>
      </c>
      <c r="BN114" s="95">
        <f>Modeloutput!N976/1000</f>
        <v>0</v>
      </c>
      <c r="BO114" s="95">
        <f>Modeloutput!O976/1000</f>
        <v>0</v>
      </c>
      <c r="BP114" s="93">
        <f>Modeloutput!P976/1000</f>
        <v>0</v>
      </c>
      <c r="BR114" s="7" t="s">
        <v>4</v>
      </c>
      <c r="BS114" s="93">
        <f>Modeloutput!B1231/1000</f>
        <v>3.0640449300000001E-2</v>
      </c>
      <c r="BT114" s="93">
        <f>Modeloutput!C1231/1000</f>
        <v>0</v>
      </c>
      <c r="BU114" s="93">
        <f>Modeloutput!D1231/1000</f>
        <v>3.0640449300000001E-2</v>
      </c>
      <c r="BV114" s="98">
        <f>Modeloutput!E1231/1000</f>
        <v>1.43158664E-2</v>
      </c>
      <c r="BW114" s="98">
        <f>Modeloutput!F1231/1000</f>
        <v>2.1387187699999999E-3</v>
      </c>
      <c r="BX114" s="98">
        <f>Modeloutput!G1231/1000</f>
        <v>1.34296604E-2</v>
      </c>
      <c r="BY114" s="98">
        <f>Modeloutput!H1231/1000</f>
        <v>7.48942394E-4</v>
      </c>
      <c r="BZ114" s="98">
        <f>Modeloutput!I1231/1000</f>
        <v>0</v>
      </c>
      <c r="CA114" s="98">
        <f>Modeloutput!J1231/1000</f>
        <v>0</v>
      </c>
      <c r="CB114" s="95">
        <f>Modeloutput!K1231/1000</f>
        <v>0</v>
      </c>
      <c r="CC114" s="95">
        <f>Modeloutput!L1231/1000</f>
        <v>0</v>
      </c>
      <c r="CD114" s="95">
        <f>Modeloutput!M1231/1000</f>
        <v>7.2613295000000001E-6</v>
      </c>
      <c r="CE114" s="95">
        <f>Modeloutput!N1231/1000</f>
        <v>0</v>
      </c>
      <c r="CF114" s="95">
        <f>Modeloutput!O1231/1000</f>
        <v>0</v>
      </c>
      <c r="CG114" s="93">
        <f>Modeloutput!P1231/1000</f>
        <v>0</v>
      </c>
    </row>
    <row r="115" spans="2:85" s="7" customFormat="1" x14ac:dyDescent="0.25">
      <c r="B115" s="7" t="s">
        <v>5</v>
      </c>
      <c r="C115" s="93">
        <f>Modeloutput!B212/1000</f>
        <v>4.4190413900000003E-2</v>
      </c>
      <c r="D115" s="93">
        <f>Modeloutput!C212/1000</f>
        <v>4.4190413900000003E-2</v>
      </c>
      <c r="E115" s="93">
        <f>Modeloutput!D212/1000</f>
        <v>7.1054273600000004E-18</v>
      </c>
      <c r="F115" s="99">
        <f>Modeloutput!E212/1000</f>
        <v>2.1427952600000001E-2</v>
      </c>
      <c r="G115" s="99">
        <f>Modeloutput!F212/1000</f>
        <v>3.3191692099999999E-3</v>
      </c>
      <c r="H115" s="99">
        <f>Modeloutput!G212/1000</f>
        <v>1.9203767599999998E-2</v>
      </c>
      <c r="I115" s="99">
        <f>Modeloutput!H212/1000</f>
        <v>2.3952457299999998E-4</v>
      </c>
      <c r="J115" s="99">
        <f>Modeloutput!I212/1000</f>
        <v>0</v>
      </c>
      <c r="K115" s="99">
        <f>Modeloutput!J212/1000</f>
        <v>0</v>
      </c>
      <c r="L115" s="93">
        <f>Modeloutput!K212/1000</f>
        <v>0</v>
      </c>
      <c r="M115" s="93">
        <f>Modeloutput!L212/1000</f>
        <v>0</v>
      </c>
      <c r="N115" s="93">
        <f>Modeloutput!M212/1000</f>
        <v>0</v>
      </c>
      <c r="O115" s="93">
        <f>Modeloutput!N212/1000</f>
        <v>0</v>
      </c>
      <c r="P115" s="93">
        <f>Modeloutput!O212/1000</f>
        <v>0</v>
      </c>
      <c r="Q115" s="93">
        <f>Modeloutput!P212/1000</f>
        <v>0</v>
      </c>
      <c r="S115" s="7" t="s">
        <v>5</v>
      </c>
      <c r="T115" s="93">
        <f>Modeloutput!B467/1000</f>
        <v>3.1234096499999999E-2</v>
      </c>
      <c r="U115" s="93">
        <f>Modeloutput!C467/1000</f>
        <v>3.1234096499999999E-2</v>
      </c>
      <c r="V115" s="93">
        <f>Modeloutput!D467/1000</f>
        <v>3.5527136800000002E-18</v>
      </c>
      <c r="W115" s="99">
        <f>Modeloutput!E467/1000</f>
        <v>1.82434299E-2</v>
      </c>
      <c r="X115" s="99">
        <f>Modeloutput!F467/1000</f>
        <v>3.2275487299999999E-3</v>
      </c>
      <c r="Y115" s="99">
        <f>Modeloutput!G467/1000</f>
        <v>9.5241705999999995E-3</v>
      </c>
      <c r="Z115" s="99">
        <f>Modeloutput!H467/1000</f>
        <v>2.3894724500000001E-4</v>
      </c>
      <c r="AA115" s="99">
        <f>Modeloutput!I467/1000</f>
        <v>0</v>
      </c>
      <c r="AB115" s="99">
        <f>Modeloutput!J467/1000</f>
        <v>0</v>
      </c>
      <c r="AC115" s="93">
        <f>Modeloutput!K467/1000</f>
        <v>0</v>
      </c>
      <c r="AD115" s="93">
        <f>Modeloutput!L467/1000</f>
        <v>0</v>
      </c>
      <c r="AE115" s="93">
        <f>Modeloutput!M467/1000</f>
        <v>0</v>
      </c>
      <c r="AF115" s="93">
        <f>Modeloutput!N467/1000</f>
        <v>0</v>
      </c>
      <c r="AG115" s="93">
        <f>Modeloutput!O467/1000</f>
        <v>0</v>
      </c>
      <c r="AH115" s="93">
        <f>Modeloutput!P467/1000</f>
        <v>0</v>
      </c>
      <c r="AJ115" s="7" t="s">
        <v>5</v>
      </c>
      <c r="AK115" s="93">
        <f>Modeloutput!B722/1000</f>
        <v>1.4729376399999999E-2</v>
      </c>
      <c r="AL115" s="93">
        <f>Modeloutput!C722/1000</f>
        <v>1.4729376399999999E-2</v>
      </c>
      <c r="AM115" s="93">
        <f>Modeloutput!D722/1000</f>
        <v>1.7763568400000001E-18</v>
      </c>
      <c r="AN115" s="99">
        <f>Modeloutput!E722/1000</f>
        <v>9.2865518899999996E-3</v>
      </c>
      <c r="AO115" s="99">
        <f>Modeloutput!F722/1000</f>
        <v>2.54899653E-3</v>
      </c>
      <c r="AP115" s="99">
        <f>Modeloutput!G722/1000</f>
        <v>2.7143263399999999E-3</v>
      </c>
      <c r="AQ115" s="99">
        <f>Modeloutput!H722/1000</f>
        <v>1.7950163300000001E-4</v>
      </c>
      <c r="AR115" s="99">
        <f>Modeloutput!I722/1000</f>
        <v>0</v>
      </c>
      <c r="AS115" s="99">
        <f>Modeloutput!J722/1000</f>
        <v>0</v>
      </c>
      <c r="AT115" s="93">
        <f>Modeloutput!K722/1000</f>
        <v>0</v>
      </c>
      <c r="AU115" s="93">
        <f>Modeloutput!L722/1000</f>
        <v>0</v>
      </c>
      <c r="AV115" s="93">
        <f>Modeloutput!M722/1000</f>
        <v>0</v>
      </c>
      <c r="AW115" s="93">
        <f>Modeloutput!N722/1000</f>
        <v>0</v>
      </c>
      <c r="AX115" s="93">
        <f>Modeloutput!O722/1000</f>
        <v>0</v>
      </c>
      <c r="AY115" s="93">
        <f>Modeloutput!P722/1000</f>
        <v>0</v>
      </c>
      <c r="BA115" s="7" t="s">
        <v>5</v>
      </c>
      <c r="BB115" s="93">
        <f>Modeloutput!B977/1000</f>
        <v>2.8366061099999999E-2</v>
      </c>
      <c r="BC115" s="93">
        <f>Modeloutput!C977/1000</f>
        <v>2.8366061099999999E-2</v>
      </c>
      <c r="BD115" s="93">
        <f>Modeloutput!D977/1000</f>
        <v>-7.1054273600000004E-18</v>
      </c>
      <c r="BE115" s="99">
        <f>Modeloutput!E977/1000</f>
        <v>1.6026877200000001E-2</v>
      </c>
      <c r="BF115" s="99">
        <f>Modeloutput!F977/1000</f>
        <v>2.54899653E-3</v>
      </c>
      <c r="BG115" s="99">
        <f>Modeloutput!G977/1000</f>
        <v>9.6106857500000004E-3</v>
      </c>
      <c r="BH115" s="99">
        <f>Modeloutput!H977/1000</f>
        <v>1.7950163300000001E-4</v>
      </c>
      <c r="BI115" s="99">
        <f>Modeloutput!I977/1000</f>
        <v>0</v>
      </c>
      <c r="BJ115" s="99">
        <f>Modeloutput!J977/1000</f>
        <v>0</v>
      </c>
      <c r="BK115" s="93">
        <f>Modeloutput!K977/1000</f>
        <v>0</v>
      </c>
      <c r="BL115" s="93">
        <f>Modeloutput!L977/1000</f>
        <v>0</v>
      </c>
      <c r="BM115" s="93">
        <f>Modeloutput!M977/1000</f>
        <v>0</v>
      </c>
      <c r="BN115" s="93">
        <f>Modeloutput!N977/1000</f>
        <v>0</v>
      </c>
      <c r="BO115" s="93">
        <f>Modeloutput!O977/1000</f>
        <v>0</v>
      </c>
      <c r="BP115" s="93">
        <f>Modeloutput!P977/1000</f>
        <v>0</v>
      </c>
      <c r="BR115" s="7" t="s">
        <v>5</v>
      </c>
      <c r="BS115" s="93">
        <f>Modeloutput!B1232/1000</f>
        <v>6.6378623899999989E-2</v>
      </c>
      <c r="BT115" s="93">
        <f>Modeloutput!C1232/1000</f>
        <v>6.6378623899999989E-2</v>
      </c>
      <c r="BU115" s="93">
        <f>Modeloutput!D1232/1000</f>
        <v>1.4210854699999998E-17</v>
      </c>
      <c r="BV115" s="99">
        <f>Modeloutput!E1232/1000</f>
        <v>4.5650260899999996E-2</v>
      </c>
      <c r="BW115" s="99">
        <f>Modeloutput!F1232/1000</f>
        <v>5.7490556799999993E-3</v>
      </c>
      <c r="BX115" s="99">
        <f>Modeloutput!G1232/1000</f>
        <v>1.4605729099999999E-2</v>
      </c>
      <c r="BY115" s="99">
        <f>Modeloutput!H1232/1000</f>
        <v>3.7357822600000003E-4</v>
      </c>
      <c r="BZ115" s="99">
        <f>Modeloutput!I1232/1000</f>
        <v>0</v>
      </c>
      <c r="CA115" s="99">
        <f>Modeloutput!J1232/1000</f>
        <v>0</v>
      </c>
      <c r="CB115" s="93">
        <f>Modeloutput!K1232/1000</f>
        <v>0</v>
      </c>
      <c r="CC115" s="93">
        <f>Modeloutput!L1232/1000</f>
        <v>0</v>
      </c>
      <c r="CD115" s="93">
        <f>Modeloutput!M1232/1000</f>
        <v>0</v>
      </c>
      <c r="CE115" s="93">
        <f>Modeloutput!N1232/1000</f>
        <v>0</v>
      </c>
      <c r="CF115" s="93">
        <f>Modeloutput!O1232/1000</f>
        <v>0</v>
      </c>
      <c r="CG115" s="93">
        <f>Modeloutput!P1232/1000</f>
        <v>0</v>
      </c>
    </row>
    <row r="116" spans="2:85" s="7" customFormat="1" x14ac:dyDescent="0.25">
      <c r="B116" s="7" t="s">
        <v>6</v>
      </c>
      <c r="C116" s="93">
        <f>Modeloutput!B213/1000</f>
        <v>0</v>
      </c>
      <c r="D116" s="93">
        <f>Modeloutput!C213/1000</f>
        <v>0</v>
      </c>
      <c r="E116" s="93">
        <f>Modeloutput!D213/1000</f>
        <v>0</v>
      </c>
      <c r="F116" s="99">
        <f>Modeloutput!E213/1000</f>
        <v>0</v>
      </c>
      <c r="G116" s="99">
        <f>Modeloutput!F213/1000</f>
        <v>0</v>
      </c>
      <c r="H116" s="99">
        <f>Modeloutput!G213/1000</f>
        <v>0</v>
      </c>
      <c r="I116" s="99">
        <f>Modeloutput!H213/1000</f>
        <v>0</v>
      </c>
      <c r="J116" s="99">
        <f>Modeloutput!I213/1000</f>
        <v>0</v>
      </c>
      <c r="K116" s="99">
        <f>Modeloutput!J213/1000</f>
        <v>0</v>
      </c>
      <c r="L116" s="93">
        <f>Modeloutput!K213/1000</f>
        <v>0</v>
      </c>
      <c r="M116" s="93">
        <f>Modeloutput!L213/1000</f>
        <v>0</v>
      </c>
      <c r="N116" s="93">
        <f>Modeloutput!M213/1000</f>
        <v>0</v>
      </c>
      <c r="O116" s="93">
        <f>Modeloutput!N213/1000</f>
        <v>0</v>
      </c>
      <c r="P116" s="93">
        <f>Modeloutput!O213/1000</f>
        <v>0</v>
      </c>
      <c r="Q116" s="93">
        <f>Modeloutput!P213/1000</f>
        <v>0</v>
      </c>
      <c r="S116" s="7" t="s">
        <v>6</v>
      </c>
      <c r="T116" s="93">
        <f>Modeloutput!B468/1000</f>
        <v>0</v>
      </c>
      <c r="U116" s="93">
        <f>Modeloutput!C468/1000</f>
        <v>0</v>
      </c>
      <c r="V116" s="93">
        <f>Modeloutput!D468/1000</f>
        <v>0</v>
      </c>
      <c r="W116" s="99">
        <f>Modeloutput!E468/1000</f>
        <v>0</v>
      </c>
      <c r="X116" s="99">
        <f>Modeloutput!F468/1000</f>
        <v>0</v>
      </c>
      <c r="Y116" s="99">
        <f>Modeloutput!G468/1000</f>
        <v>0</v>
      </c>
      <c r="Z116" s="99">
        <f>Modeloutput!H468/1000</f>
        <v>0</v>
      </c>
      <c r="AA116" s="99">
        <f>Modeloutput!I468/1000</f>
        <v>0</v>
      </c>
      <c r="AB116" s="99">
        <f>Modeloutput!J468/1000</f>
        <v>0</v>
      </c>
      <c r="AC116" s="93">
        <f>Modeloutput!K468/1000</f>
        <v>0</v>
      </c>
      <c r="AD116" s="93">
        <f>Modeloutput!L468/1000</f>
        <v>0</v>
      </c>
      <c r="AE116" s="93">
        <f>Modeloutput!M468/1000</f>
        <v>0</v>
      </c>
      <c r="AF116" s="93">
        <f>Modeloutput!N468/1000</f>
        <v>0</v>
      </c>
      <c r="AG116" s="93">
        <f>Modeloutput!O468/1000</f>
        <v>0</v>
      </c>
      <c r="AH116" s="93">
        <f>Modeloutput!P468/1000</f>
        <v>0</v>
      </c>
      <c r="AJ116" s="7" t="s">
        <v>6</v>
      </c>
      <c r="AK116" s="93">
        <f>Modeloutput!B723/1000</f>
        <v>0</v>
      </c>
      <c r="AL116" s="93">
        <f>Modeloutput!C723/1000</f>
        <v>0</v>
      </c>
      <c r="AM116" s="93">
        <f>Modeloutput!D723/1000</f>
        <v>0</v>
      </c>
      <c r="AN116" s="99">
        <f>Modeloutput!E723/1000</f>
        <v>0</v>
      </c>
      <c r="AO116" s="99">
        <f>Modeloutput!F723/1000</f>
        <v>0</v>
      </c>
      <c r="AP116" s="99">
        <f>Modeloutput!G723/1000</f>
        <v>0</v>
      </c>
      <c r="AQ116" s="99">
        <f>Modeloutput!H723/1000</f>
        <v>0</v>
      </c>
      <c r="AR116" s="99">
        <f>Modeloutput!I723/1000</f>
        <v>0</v>
      </c>
      <c r="AS116" s="99">
        <f>Modeloutput!J723/1000</f>
        <v>0</v>
      </c>
      <c r="AT116" s="93">
        <f>Modeloutput!K723/1000</f>
        <v>0</v>
      </c>
      <c r="AU116" s="93">
        <f>Modeloutput!L723/1000</f>
        <v>0</v>
      </c>
      <c r="AV116" s="93">
        <f>Modeloutput!M723/1000</f>
        <v>0</v>
      </c>
      <c r="AW116" s="93">
        <f>Modeloutput!N723/1000</f>
        <v>0</v>
      </c>
      <c r="AX116" s="93">
        <f>Modeloutput!O723/1000</f>
        <v>0</v>
      </c>
      <c r="AY116" s="93">
        <f>Modeloutput!P723/1000</f>
        <v>0</v>
      </c>
      <c r="BA116" s="7" t="s">
        <v>6</v>
      </c>
      <c r="BB116" s="93">
        <f>Modeloutput!B978/1000</f>
        <v>0</v>
      </c>
      <c r="BC116" s="93">
        <f>Modeloutput!C978/1000</f>
        <v>0</v>
      </c>
      <c r="BD116" s="93">
        <f>Modeloutput!D978/1000</f>
        <v>0</v>
      </c>
      <c r="BE116" s="99">
        <f>Modeloutput!E978/1000</f>
        <v>0</v>
      </c>
      <c r="BF116" s="99">
        <f>Modeloutput!F978/1000</f>
        <v>0</v>
      </c>
      <c r="BG116" s="99">
        <f>Modeloutput!G978/1000</f>
        <v>0</v>
      </c>
      <c r="BH116" s="99">
        <f>Modeloutput!H978/1000</f>
        <v>0</v>
      </c>
      <c r="BI116" s="99">
        <f>Modeloutput!I978/1000</f>
        <v>0</v>
      </c>
      <c r="BJ116" s="99">
        <f>Modeloutput!J978/1000</f>
        <v>0</v>
      </c>
      <c r="BK116" s="93">
        <f>Modeloutput!K978/1000</f>
        <v>0</v>
      </c>
      <c r="BL116" s="93">
        <f>Modeloutput!L978/1000</f>
        <v>0</v>
      </c>
      <c r="BM116" s="93">
        <f>Modeloutput!M978/1000</f>
        <v>0</v>
      </c>
      <c r="BN116" s="93">
        <f>Modeloutput!N978/1000</f>
        <v>0</v>
      </c>
      <c r="BO116" s="93">
        <f>Modeloutput!O978/1000</f>
        <v>0</v>
      </c>
      <c r="BP116" s="93">
        <f>Modeloutput!P978/1000</f>
        <v>0</v>
      </c>
      <c r="BR116" s="7" t="s">
        <v>6</v>
      </c>
      <c r="BS116" s="93">
        <f>Modeloutput!B1233/1000</f>
        <v>1.9470240600000001E-2</v>
      </c>
      <c r="BT116" s="93">
        <f>Modeloutput!C1233/1000</f>
        <v>1.9470240600000001E-2</v>
      </c>
      <c r="BU116" s="93">
        <f>Modeloutput!D1233/1000</f>
        <v>-3.5527136800000002E-18</v>
      </c>
      <c r="BV116" s="99">
        <f>Modeloutput!E1233/1000</f>
        <v>1.53134089E-2</v>
      </c>
      <c r="BW116" s="99">
        <f>Modeloutput!F1233/1000</f>
        <v>1.1443102300000001E-3</v>
      </c>
      <c r="BX116" s="99">
        <f>Modeloutput!G1233/1000</f>
        <v>2.8590267399999998E-3</v>
      </c>
      <c r="BY116" s="99">
        <f>Modeloutput!H1233/1000</f>
        <v>1.5349479299999998E-4</v>
      </c>
      <c r="BZ116" s="99">
        <f>Modeloutput!I1233/1000</f>
        <v>0</v>
      </c>
      <c r="CA116" s="99">
        <f>Modeloutput!J1233/1000</f>
        <v>0</v>
      </c>
      <c r="CB116" s="93">
        <f>Modeloutput!K1233/1000</f>
        <v>0</v>
      </c>
      <c r="CC116" s="93">
        <f>Modeloutput!L1233/1000</f>
        <v>0</v>
      </c>
      <c r="CD116" s="93">
        <f>Modeloutput!M1233/1000</f>
        <v>0</v>
      </c>
      <c r="CE116" s="93">
        <f>Modeloutput!N1233/1000</f>
        <v>0</v>
      </c>
      <c r="CF116" s="93">
        <f>Modeloutput!O1233/1000</f>
        <v>0</v>
      </c>
      <c r="CG116" s="93">
        <f>Modeloutput!P1233/1000</f>
        <v>0</v>
      </c>
    </row>
    <row r="117" spans="2:85" s="7" customFormat="1" x14ac:dyDescent="0.25">
      <c r="B117" s="7" t="s">
        <v>7</v>
      </c>
      <c r="C117" s="93">
        <f>Modeloutput!B214/1000</f>
        <v>8.1917599900000002E-4</v>
      </c>
      <c r="D117" s="93">
        <f>Modeloutput!C214/1000</f>
        <v>8.1917599900000002E-4</v>
      </c>
      <c r="E117" s="93">
        <f>Modeloutput!D214/1000</f>
        <v>0</v>
      </c>
      <c r="F117" s="99">
        <f>Modeloutput!E214/1000</f>
        <v>0</v>
      </c>
      <c r="G117" s="99">
        <f>Modeloutput!F214/1000</f>
        <v>6.2308327699999995E-4</v>
      </c>
      <c r="H117" s="99">
        <f>Modeloutput!G214/1000</f>
        <v>1.3838798599999998E-4</v>
      </c>
      <c r="I117" s="99">
        <f>Modeloutput!H214/1000</f>
        <v>5.7704735899999997E-5</v>
      </c>
      <c r="J117" s="99">
        <f>Modeloutput!I214/1000</f>
        <v>0</v>
      </c>
      <c r="K117" s="99">
        <f>Modeloutput!J214/1000</f>
        <v>0</v>
      </c>
      <c r="L117" s="93">
        <f>Modeloutput!K214/1000</f>
        <v>0</v>
      </c>
      <c r="M117" s="93">
        <f>Modeloutput!L214/1000</f>
        <v>0</v>
      </c>
      <c r="N117" s="93">
        <f>Modeloutput!M214/1000</f>
        <v>0</v>
      </c>
      <c r="O117" s="93">
        <f>Modeloutput!N214/1000</f>
        <v>0</v>
      </c>
      <c r="P117" s="93">
        <f>Modeloutput!O214/1000</f>
        <v>0</v>
      </c>
      <c r="Q117" s="93">
        <f>Modeloutput!P214/1000</f>
        <v>0</v>
      </c>
      <c r="S117" s="7" t="s">
        <v>7</v>
      </c>
      <c r="T117" s="93">
        <f>Modeloutput!B469/1000</f>
        <v>8.0443702999999996E-4</v>
      </c>
      <c r="U117" s="93">
        <f>Modeloutput!C469/1000</f>
        <v>8.0443702999999996E-4</v>
      </c>
      <c r="V117" s="93">
        <f>Modeloutput!D469/1000</f>
        <v>0</v>
      </c>
      <c r="W117" s="99">
        <f>Modeloutput!E469/1000</f>
        <v>0</v>
      </c>
      <c r="X117" s="99">
        <f>Modeloutput!F469/1000</f>
        <v>6.1719502899999995E-4</v>
      </c>
      <c r="Y117" s="99">
        <f>Modeloutput!G469/1000</f>
        <v>1.29616296E-4</v>
      </c>
      <c r="Z117" s="99">
        <f>Modeloutput!H469/1000</f>
        <v>5.76257042E-5</v>
      </c>
      <c r="AA117" s="99">
        <f>Modeloutput!I469/1000</f>
        <v>0</v>
      </c>
      <c r="AB117" s="99">
        <f>Modeloutput!J469/1000</f>
        <v>0</v>
      </c>
      <c r="AC117" s="93">
        <f>Modeloutput!K469/1000</f>
        <v>0</v>
      </c>
      <c r="AD117" s="93">
        <f>Modeloutput!L469/1000</f>
        <v>0</v>
      </c>
      <c r="AE117" s="93">
        <f>Modeloutput!M469/1000</f>
        <v>0</v>
      </c>
      <c r="AF117" s="93">
        <f>Modeloutput!N469/1000</f>
        <v>0</v>
      </c>
      <c r="AG117" s="93">
        <f>Modeloutput!O469/1000</f>
        <v>0</v>
      </c>
      <c r="AH117" s="93">
        <f>Modeloutput!P469/1000</f>
        <v>0</v>
      </c>
      <c r="AJ117" s="7" t="s">
        <v>7</v>
      </c>
      <c r="AK117" s="93">
        <f>Modeloutput!B724/1000</f>
        <v>6.8766571399999999E-3</v>
      </c>
      <c r="AL117" s="93">
        <f>Modeloutput!C724/1000</f>
        <v>6.8766571399999999E-3</v>
      </c>
      <c r="AM117" s="93">
        <f>Modeloutput!D724/1000</f>
        <v>0</v>
      </c>
      <c r="AN117" s="99">
        <f>Modeloutput!E724/1000</f>
        <v>5.0228037499999998E-3</v>
      </c>
      <c r="AO117" s="99">
        <f>Modeloutput!F724/1000</f>
        <v>6.6442601199999992E-4</v>
      </c>
      <c r="AP117" s="99">
        <f>Modeloutput!G724/1000</f>
        <v>1.1271768200000001E-3</v>
      </c>
      <c r="AQ117" s="99">
        <f>Modeloutput!H724/1000</f>
        <v>6.2250561500000001E-5</v>
      </c>
      <c r="AR117" s="99">
        <f>Modeloutput!I724/1000</f>
        <v>0</v>
      </c>
      <c r="AS117" s="99">
        <f>Modeloutput!J724/1000</f>
        <v>0</v>
      </c>
      <c r="AT117" s="93">
        <f>Modeloutput!K724/1000</f>
        <v>0</v>
      </c>
      <c r="AU117" s="93">
        <f>Modeloutput!L724/1000</f>
        <v>0</v>
      </c>
      <c r="AV117" s="93">
        <f>Modeloutput!M724/1000</f>
        <v>0</v>
      </c>
      <c r="AW117" s="93">
        <f>Modeloutput!N724/1000</f>
        <v>0</v>
      </c>
      <c r="AX117" s="93">
        <f>Modeloutput!O724/1000</f>
        <v>0</v>
      </c>
      <c r="AY117" s="93">
        <f>Modeloutput!P724/1000</f>
        <v>0</v>
      </c>
      <c r="BA117" s="7" t="s">
        <v>7</v>
      </c>
      <c r="BB117" s="93">
        <f>Modeloutput!B979/1000</f>
        <v>0</v>
      </c>
      <c r="BC117" s="93">
        <f>Modeloutput!C979/1000</f>
        <v>0</v>
      </c>
      <c r="BD117" s="93">
        <f>Modeloutput!D979/1000</f>
        <v>0</v>
      </c>
      <c r="BE117" s="99">
        <f>Modeloutput!E979/1000</f>
        <v>0</v>
      </c>
      <c r="BF117" s="99">
        <f>Modeloutput!F979/1000</f>
        <v>0</v>
      </c>
      <c r="BG117" s="99">
        <f>Modeloutput!G979/1000</f>
        <v>0</v>
      </c>
      <c r="BH117" s="99">
        <f>Modeloutput!H979/1000</f>
        <v>0</v>
      </c>
      <c r="BI117" s="99">
        <f>Modeloutput!I979/1000</f>
        <v>0</v>
      </c>
      <c r="BJ117" s="99">
        <f>Modeloutput!J979/1000</f>
        <v>0</v>
      </c>
      <c r="BK117" s="93">
        <f>Modeloutput!K979/1000</f>
        <v>0</v>
      </c>
      <c r="BL117" s="93">
        <f>Modeloutput!L979/1000</f>
        <v>0</v>
      </c>
      <c r="BM117" s="93">
        <f>Modeloutput!M979/1000</f>
        <v>0</v>
      </c>
      <c r="BN117" s="93">
        <f>Modeloutput!N979/1000</f>
        <v>0</v>
      </c>
      <c r="BO117" s="93">
        <f>Modeloutput!O979/1000</f>
        <v>0</v>
      </c>
      <c r="BP117" s="93">
        <f>Modeloutput!P979/1000</f>
        <v>0</v>
      </c>
      <c r="BR117" s="7" t="s">
        <v>7</v>
      </c>
      <c r="BS117" s="93">
        <f>Modeloutput!B1234/1000</f>
        <v>7.2613295000000001E-6</v>
      </c>
      <c r="BT117" s="93">
        <f>Modeloutput!C1234/1000</f>
        <v>7.2613295000000001E-6</v>
      </c>
      <c r="BU117" s="93">
        <f>Modeloutput!D1234/1000</f>
        <v>8.6736173799999996E-22</v>
      </c>
      <c r="BV117" s="99">
        <f>Modeloutput!E1234/1000</f>
        <v>0</v>
      </c>
      <c r="BW117" s="99">
        <f>Modeloutput!F1234/1000</f>
        <v>3.8681018800000003E-6</v>
      </c>
      <c r="BX117" s="99">
        <f>Modeloutput!G1234/1000</f>
        <v>1.7815010900000002E-6</v>
      </c>
      <c r="BY117" s="99">
        <f>Modeloutput!H1234/1000</f>
        <v>1.6117265300000001E-6</v>
      </c>
      <c r="BZ117" s="99">
        <f>Modeloutput!I1234/1000</f>
        <v>0</v>
      </c>
      <c r="CA117" s="99">
        <f>Modeloutput!J1234/1000</f>
        <v>0</v>
      </c>
      <c r="CB117" s="93">
        <f>Modeloutput!K1234/1000</f>
        <v>0</v>
      </c>
      <c r="CC117" s="93">
        <f>Modeloutput!L1234/1000</f>
        <v>0</v>
      </c>
      <c r="CD117" s="93">
        <f>Modeloutput!M1234/1000</f>
        <v>0</v>
      </c>
      <c r="CE117" s="93">
        <f>Modeloutput!N1234/1000</f>
        <v>0</v>
      </c>
      <c r="CF117" s="93">
        <f>Modeloutput!O1234/1000</f>
        <v>0</v>
      </c>
      <c r="CG117" s="93">
        <f>Modeloutput!P1234/1000</f>
        <v>0</v>
      </c>
    </row>
    <row r="118" spans="2:85" s="7" customFormat="1" x14ac:dyDescent="0.25">
      <c r="B118" s="7" t="s">
        <v>8</v>
      </c>
      <c r="C118" s="93">
        <f>Modeloutput!B215/1000</f>
        <v>0</v>
      </c>
      <c r="D118" s="93">
        <f>Modeloutput!C215/1000</f>
        <v>0</v>
      </c>
      <c r="E118" s="93">
        <f>Modeloutput!D215/1000</f>
        <v>0</v>
      </c>
      <c r="F118" s="99">
        <f>Modeloutput!E215/1000</f>
        <v>0</v>
      </c>
      <c r="G118" s="99">
        <f>Modeloutput!F215/1000</f>
        <v>0</v>
      </c>
      <c r="H118" s="99">
        <f>Modeloutput!G215/1000</f>
        <v>0</v>
      </c>
      <c r="I118" s="99">
        <f>Modeloutput!H215/1000</f>
        <v>0</v>
      </c>
      <c r="J118" s="99">
        <f>Modeloutput!I215/1000</f>
        <v>0</v>
      </c>
      <c r="K118" s="99">
        <f>Modeloutput!J215/1000</f>
        <v>0</v>
      </c>
      <c r="L118" s="93">
        <f>Modeloutput!K215/1000</f>
        <v>0</v>
      </c>
      <c r="M118" s="93">
        <f>Modeloutput!L215/1000</f>
        <v>0</v>
      </c>
      <c r="N118" s="93">
        <f>Modeloutput!M215/1000</f>
        <v>0</v>
      </c>
      <c r="O118" s="93">
        <f>Modeloutput!N215/1000</f>
        <v>0</v>
      </c>
      <c r="P118" s="93">
        <f>Modeloutput!O215/1000</f>
        <v>0</v>
      </c>
      <c r="Q118" s="93">
        <f>Modeloutput!P215/1000</f>
        <v>0</v>
      </c>
      <c r="S118" s="7" t="s">
        <v>8</v>
      </c>
      <c r="T118" s="93">
        <f>Modeloutput!B470/1000</f>
        <v>0</v>
      </c>
      <c r="U118" s="93">
        <f>Modeloutput!C470/1000</f>
        <v>0</v>
      </c>
      <c r="V118" s="93">
        <f>Modeloutput!D470/1000</f>
        <v>0</v>
      </c>
      <c r="W118" s="99">
        <f>Modeloutput!E470/1000</f>
        <v>0</v>
      </c>
      <c r="X118" s="99">
        <f>Modeloutput!F470/1000</f>
        <v>0</v>
      </c>
      <c r="Y118" s="99">
        <f>Modeloutput!G470/1000</f>
        <v>0</v>
      </c>
      <c r="Z118" s="99">
        <f>Modeloutput!H470/1000</f>
        <v>0</v>
      </c>
      <c r="AA118" s="99">
        <f>Modeloutput!I470/1000</f>
        <v>0</v>
      </c>
      <c r="AB118" s="99">
        <f>Modeloutput!J470/1000</f>
        <v>0</v>
      </c>
      <c r="AC118" s="93">
        <f>Modeloutput!K470/1000</f>
        <v>0</v>
      </c>
      <c r="AD118" s="93">
        <f>Modeloutput!L470/1000</f>
        <v>0</v>
      </c>
      <c r="AE118" s="93">
        <f>Modeloutput!M470/1000</f>
        <v>0</v>
      </c>
      <c r="AF118" s="93">
        <f>Modeloutput!N470/1000</f>
        <v>0</v>
      </c>
      <c r="AG118" s="93">
        <f>Modeloutput!O470/1000</f>
        <v>0</v>
      </c>
      <c r="AH118" s="93">
        <f>Modeloutput!P470/1000</f>
        <v>0</v>
      </c>
      <c r="AJ118" s="7" t="s">
        <v>8</v>
      </c>
      <c r="AK118" s="93">
        <f>Modeloutput!B725/1000</f>
        <v>0</v>
      </c>
      <c r="AL118" s="93">
        <f>Modeloutput!C725/1000</f>
        <v>0</v>
      </c>
      <c r="AM118" s="93">
        <f>Modeloutput!D725/1000</f>
        <v>0</v>
      </c>
      <c r="AN118" s="99">
        <f>Modeloutput!E725/1000</f>
        <v>0</v>
      </c>
      <c r="AO118" s="99">
        <f>Modeloutput!F725/1000</f>
        <v>0</v>
      </c>
      <c r="AP118" s="99">
        <f>Modeloutput!G725/1000</f>
        <v>0</v>
      </c>
      <c r="AQ118" s="99">
        <f>Modeloutput!H725/1000</f>
        <v>0</v>
      </c>
      <c r="AR118" s="99">
        <f>Modeloutput!I725/1000</f>
        <v>0</v>
      </c>
      <c r="AS118" s="99">
        <f>Modeloutput!J725/1000</f>
        <v>0</v>
      </c>
      <c r="AT118" s="93">
        <f>Modeloutput!K725/1000</f>
        <v>0</v>
      </c>
      <c r="AU118" s="93">
        <f>Modeloutput!L725/1000</f>
        <v>0</v>
      </c>
      <c r="AV118" s="93">
        <f>Modeloutput!M725/1000</f>
        <v>0</v>
      </c>
      <c r="AW118" s="93">
        <f>Modeloutput!N725/1000</f>
        <v>0</v>
      </c>
      <c r="AX118" s="93">
        <f>Modeloutput!O725/1000</f>
        <v>0</v>
      </c>
      <c r="AY118" s="93">
        <f>Modeloutput!P725/1000</f>
        <v>0</v>
      </c>
      <c r="BA118" s="7" t="s">
        <v>8</v>
      </c>
      <c r="BB118" s="93">
        <f>Modeloutput!B980/1000</f>
        <v>0</v>
      </c>
      <c r="BC118" s="93">
        <f>Modeloutput!C980/1000</f>
        <v>0</v>
      </c>
      <c r="BD118" s="93">
        <f>Modeloutput!D980/1000</f>
        <v>0</v>
      </c>
      <c r="BE118" s="99">
        <f>Modeloutput!E980/1000</f>
        <v>0</v>
      </c>
      <c r="BF118" s="99">
        <f>Modeloutput!F980/1000</f>
        <v>0</v>
      </c>
      <c r="BG118" s="99">
        <f>Modeloutput!G980/1000</f>
        <v>0</v>
      </c>
      <c r="BH118" s="99">
        <f>Modeloutput!H980/1000</f>
        <v>0</v>
      </c>
      <c r="BI118" s="99">
        <f>Modeloutput!I980/1000</f>
        <v>0</v>
      </c>
      <c r="BJ118" s="99">
        <f>Modeloutput!J980/1000</f>
        <v>0</v>
      </c>
      <c r="BK118" s="93">
        <f>Modeloutput!K980/1000</f>
        <v>0</v>
      </c>
      <c r="BL118" s="93">
        <f>Modeloutput!L980/1000</f>
        <v>0</v>
      </c>
      <c r="BM118" s="93">
        <f>Modeloutput!M980/1000</f>
        <v>0</v>
      </c>
      <c r="BN118" s="93">
        <f>Modeloutput!N980/1000</f>
        <v>0</v>
      </c>
      <c r="BO118" s="93">
        <f>Modeloutput!O980/1000</f>
        <v>0</v>
      </c>
      <c r="BP118" s="93">
        <f>Modeloutput!P980/1000</f>
        <v>0</v>
      </c>
      <c r="BR118" s="7" t="s">
        <v>8</v>
      </c>
      <c r="BS118" s="93">
        <f>Modeloutput!B1235/1000</f>
        <v>0</v>
      </c>
      <c r="BT118" s="93">
        <f>Modeloutput!C1235/1000</f>
        <v>0</v>
      </c>
      <c r="BU118" s="93">
        <f>Modeloutput!D1235/1000</f>
        <v>0</v>
      </c>
      <c r="BV118" s="99">
        <f>Modeloutput!E1235/1000</f>
        <v>0</v>
      </c>
      <c r="BW118" s="99">
        <f>Modeloutput!F1235/1000</f>
        <v>0</v>
      </c>
      <c r="BX118" s="99">
        <f>Modeloutput!G1235/1000</f>
        <v>0</v>
      </c>
      <c r="BY118" s="99">
        <f>Modeloutput!H1235/1000</f>
        <v>0</v>
      </c>
      <c r="BZ118" s="99">
        <f>Modeloutput!I1235/1000</f>
        <v>0</v>
      </c>
      <c r="CA118" s="99">
        <f>Modeloutput!J1235/1000</f>
        <v>0</v>
      </c>
      <c r="CB118" s="93">
        <f>Modeloutput!K1235/1000</f>
        <v>0</v>
      </c>
      <c r="CC118" s="93">
        <f>Modeloutput!L1235/1000</f>
        <v>0</v>
      </c>
      <c r="CD118" s="93">
        <f>Modeloutput!M1235/1000</f>
        <v>0</v>
      </c>
      <c r="CE118" s="93">
        <f>Modeloutput!N1235/1000</f>
        <v>0</v>
      </c>
      <c r="CF118" s="93">
        <f>Modeloutput!O1235/1000</f>
        <v>0</v>
      </c>
      <c r="CG118" s="93">
        <f>Modeloutput!P1235/1000</f>
        <v>0</v>
      </c>
    </row>
    <row r="119" spans="2:85" s="7" customFormat="1" x14ac:dyDescent="0.25">
      <c r="B119" s="7" t="s">
        <v>9</v>
      </c>
      <c r="C119" s="93">
        <f>Modeloutput!B216/1000</f>
        <v>0</v>
      </c>
      <c r="D119" s="93">
        <f>Modeloutput!C216/1000</f>
        <v>0</v>
      </c>
      <c r="E119" s="93">
        <f>Modeloutput!D216/1000</f>
        <v>0</v>
      </c>
      <c r="F119" s="99">
        <f>Modeloutput!E216/1000</f>
        <v>0</v>
      </c>
      <c r="G119" s="99">
        <f>Modeloutput!F216/1000</f>
        <v>0</v>
      </c>
      <c r="H119" s="99">
        <f>Modeloutput!G216/1000</f>
        <v>0</v>
      </c>
      <c r="I119" s="99">
        <f>Modeloutput!H216/1000</f>
        <v>0</v>
      </c>
      <c r="J119" s="99">
        <f>Modeloutput!I216/1000</f>
        <v>0</v>
      </c>
      <c r="K119" s="99">
        <f>Modeloutput!J216/1000</f>
        <v>0</v>
      </c>
      <c r="L119" s="93">
        <f>Modeloutput!K216/1000</f>
        <v>0</v>
      </c>
      <c r="M119" s="93">
        <f>Modeloutput!L216/1000</f>
        <v>0</v>
      </c>
      <c r="N119" s="93">
        <f>Modeloutput!M216/1000</f>
        <v>0</v>
      </c>
      <c r="O119" s="93">
        <f>Modeloutput!N216/1000</f>
        <v>0</v>
      </c>
      <c r="P119" s="93">
        <f>Modeloutput!O216/1000</f>
        <v>0</v>
      </c>
      <c r="Q119" s="93">
        <f>Modeloutput!P216/1000</f>
        <v>0</v>
      </c>
      <c r="S119" s="7" t="s">
        <v>9</v>
      </c>
      <c r="T119" s="93">
        <f>Modeloutput!B471/1000</f>
        <v>0</v>
      </c>
      <c r="U119" s="93">
        <f>Modeloutput!C471/1000</f>
        <v>0</v>
      </c>
      <c r="V119" s="93">
        <f>Modeloutput!D471/1000</f>
        <v>0</v>
      </c>
      <c r="W119" s="99">
        <f>Modeloutput!E471/1000</f>
        <v>0</v>
      </c>
      <c r="X119" s="99">
        <f>Modeloutput!F471/1000</f>
        <v>0</v>
      </c>
      <c r="Y119" s="99">
        <f>Modeloutput!G471/1000</f>
        <v>0</v>
      </c>
      <c r="Z119" s="99">
        <f>Modeloutput!H471/1000</f>
        <v>0</v>
      </c>
      <c r="AA119" s="99">
        <f>Modeloutput!I471/1000</f>
        <v>0</v>
      </c>
      <c r="AB119" s="99">
        <f>Modeloutput!J471/1000</f>
        <v>0</v>
      </c>
      <c r="AC119" s="93">
        <f>Modeloutput!K471/1000</f>
        <v>0</v>
      </c>
      <c r="AD119" s="93">
        <f>Modeloutput!L471/1000</f>
        <v>0</v>
      </c>
      <c r="AE119" s="93">
        <f>Modeloutput!M471/1000</f>
        <v>0</v>
      </c>
      <c r="AF119" s="93">
        <f>Modeloutput!N471/1000</f>
        <v>0</v>
      </c>
      <c r="AG119" s="93">
        <f>Modeloutput!O471/1000</f>
        <v>0</v>
      </c>
      <c r="AH119" s="93">
        <f>Modeloutput!P471/1000</f>
        <v>0</v>
      </c>
      <c r="AJ119" s="7" t="s">
        <v>9</v>
      </c>
      <c r="AK119" s="93">
        <f>Modeloutput!B726/1000</f>
        <v>0</v>
      </c>
      <c r="AL119" s="93">
        <f>Modeloutput!C726/1000</f>
        <v>0</v>
      </c>
      <c r="AM119" s="93">
        <f>Modeloutput!D726/1000</f>
        <v>0</v>
      </c>
      <c r="AN119" s="99">
        <f>Modeloutput!E726/1000</f>
        <v>0</v>
      </c>
      <c r="AO119" s="99">
        <f>Modeloutput!F726/1000</f>
        <v>0</v>
      </c>
      <c r="AP119" s="99">
        <f>Modeloutput!G726/1000</f>
        <v>0</v>
      </c>
      <c r="AQ119" s="99">
        <f>Modeloutput!H726/1000</f>
        <v>0</v>
      </c>
      <c r="AR119" s="99">
        <f>Modeloutput!I726/1000</f>
        <v>0</v>
      </c>
      <c r="AS119" s="99">
        <f>Modeloutput!J726/1000</f>
        <v>0</v>
      </c>
      <c r="AT119" s="93">
        <f>Modeloutput!K726/1000</f>
        <v>0</v>
      </c>
      <c r="AU119" s="93">
        <f>Modeloutput!L726/1000</f>
        <v>0</v>
      </c>
      <c r="AV119" s="93">
        <f>Modeloutput!M726/1000</f>
        <v>0</v>
      </c>
      <c r="AW119" s="93">
        <f>Modeloutput!N726/1000</f>
        <v>0</v>
      </c>
      <c r="AX119" s="93">
        <f>Modeloutput!O726/1000</f>
        <v>0</v>
      </c>
      <c r="AY119" s="93">
        <f>Modeloutput!P726/1000</f>
        <v>0</v>
      </c>
      <c r="BA119" s="7" t="s">
        <v>9</v>
      </c>
      <c r="BB119" s="93">
        <f>Modeloutput!B981/1000</f>
        <v>0</v>
      </c>
      <c r="BC119" s="93">
        <f>Modeloutput!C981/1000</f>
        <v>0</v>
      </c>
      <c r="BD119" s="93">
        <f>Modeloutput!D981/1000</f>
        <v>0</v>
      </c>
      <c r="BE119" s="99">
        <f>Modeloutput!E981/1000</f>
        <v>0</v>
      </c>
      <c r="BF119" s="99">
        <f>Modeloutput!F981/1000</f>
        <v>0</v>
      </c>
      <c r="BG119" s="99">
        <f>Modeloutput!G981/1000</f>
        <v>0</v>
      </c>
      <c r="BH119" s="99">
        <f>Modeloutput!H981/1000</f>
        <v>0</v>
      </c>
      <c r="BI119" s="99">
        <f>Modeloutput!I981/1000</f>
        <v>0</v>
      </c>
      <c r="BJ119" s="99">
        <f>Modeloutput!J981/1000</f>
        <v>0</v>
      </c>
      <c r="BK119" s="93">
        <f>Modeloutput!K981/1000</f>
        <v>0</v>
      </c>
      <c r="BL119" s="93">
        <f>Modeloutput!L981/1000</f>
        <v>0</v>
      </c>
      <c r="BM119" s="93">
        <f>Modeloutput!M981/1000</f>
        <v>0</v>
      </c>
      <c r="BN119" s="93">
        <f>Modeloutput!N981/1000</f>
        <v>0</v>
      </c>
      <c r="BO119" s="93">
        <f>Modeloutput!O981/1000</f>
        <v>0</v>
      </c>
      <c r="BP119" s="93">
        <f>Modeloutput!P981/1000</f>
        <v>0</v>
      </c>
      <c r="BR119" s="7" t="s">
        <v>9</v>
      </c>
      <c r="BS119" s="93">
        <f>Modeloutput!B1236/1000</f>
        <v>0</v>
      </c>
      <c r="BT119" s="93">
        <f>Modeloutput!C1236/1000</f>
        <v>0</v>
      </c>
      <c r="BU119" s="93">
        <f>Modeloutput!D1236/1000</f>
        <v>0</v>
      </c>
      <c r="BV119" s="99">
        <f>Modeloutput!E1236/1000</f>
        <v>0</v>
      </c>
      <c r="BW119" s="99">
        <f>Modeloutput!F1236/1000</f>
        <v>0</v>
      </c>
      <c r="BX119" s="99">
        <f>Modeloutput!G1236/1000</f>
        <v>0</v>
      </c>
      <c r="BY119" s="99">
        <f>Modeloutput!H1236/1000</f>
        <v>0</v>
      </c>
      <c r="BZ119" s="99">
        <f>Modeloutput!I1236/1000</f>
        <v>0</v>
      </c>
      <c r="CA119" s="99">
        <f>Modeloutput!J1236/1000</f>
        <v>0</v>
      </c>
      <c r="CB119" s="93">
        <f>Modeloutput!K1236/1000</f>
        <v>0</v>
      </c>
      <c r="CC119" s="93">
        <f>Modeloutput!L1236/1000</f>
        <v>0</v>
      </c>
      <c r="CD119" s="93">
        <f>Modeloutput!M1236/1000</f>
        <v>0</v>
      </c>
      <c r="CE119" s="93">
        <f>Modeloutput!N1236/1000</f>
        <v>0</v>
      </c>
      <c r="CF119" s="93">
        <f>Modeloutput!O1236/1000</f>
        <v>0</v>
      </c>
      <c r="CG119" s="93">
        <f>Modeloutput!P1236/1000</f>
        <v>0</v>
      </c>
    </row>
    <row r="120" spans="2:85" s="7" customFormat="1" x14ac:dyDescent="0.25">
      <c r="B120" s="7" t="s">
        <v>10</v>
      </c>
      <c r="C120" s="93">
        <f>Modeloutput!B217/1000</f>
        <v>0</v>
      </c>
      <c r="D120" s="93">
        <f>Modeloutput!C217/1000</f>
        <v>0</v>
      </c>
      <c r="E120" s="93">
        <f>Modeloutput!D217/1000</f>
        <v>0</v>
      </c>
      <c r="F120" s="93">
        <f>Modeloutput!E217/1000</f>
        <v>0</v>
      </c>
      <c r="G120" s="93">
        <f>Modeloutput!F217/1000</f>
        <v>0</v>
      </c>
      <c r="H120" s="93">
        <f>Modeloutput!G217/1000</f>
        <v>0</v>
      </c>
      <c r="I120" s="93">
        <f>Modeloutput!H217/1000</f>
        <v>0</v>
      </c>
      <c r="J120" s="93">
        <f>Modeloutput!I217/1000</f>
        <v>0</v>
      </c>
      <c r="K120" s="93">
        <f>Modeloutput!J217/1000</f>
        <v>0</v>
      </c>
      <c r="L120" s="93">
        <f>Modeloutput!K217/1000</f>
        <v>0</v>
      </c>
      <c r="M120" s="93">
        <f>Modeloutput!L217/1000</f>
        <v>0</v>
      </c>
      <c r="N120" s="93">
        <f>Modeloutput!M217/1000</f>
        <v>0</v>
      </c>
      <c r="O120" s="93">
        <f>Modeloutput!N217/1000</f>
        <v>0</v>
      </c>
      <c r="P120" s="93">
        <f>Modeloutput!O217/1000</f>
        <v>0</v>
      </c>
      <c r="Q120" s="93">
        <f>Modeloutput!P217/1000</f>
        <v>0</v>
      </c>
      <c r="S120" s="7" t="s">
        <v>10</v>
      </c>
      <c r="T120" s="93">
        <f>Modeloutput!B472/1000</f>
        <v>0</v>
      </c>
      <c r="U120" s="93">
        <f>Modeloutput!C472/1000</f>
        <v>0</v>
      </c>
      <c r="V120" s="93">
        <f>Modeloutput!D472/1000</f>
        <v>0</v>
      </c>
      <c r="W120" s="93">
        <f>Modeloutput!E472/1000</f>
        <v>0</v>
      </c>
      <c r="X120" s="93">
        <f>Modeloutput!F472/1000</f>
        <v>0</v>
      </c>
      <c r="Y120" s="93">
        <f>Modeloutput!G472/1000</f>
        <v>0</v>
      </c>
      <c r="Z120" s="93">
        <f>Modeloutput!H472/1000</f>
        <v>0</v>
      </c>
      <c r="AA120" s="93">
        <f>Modeloutput!I472/1000</f>
        <v>0</v>
      </c>
      <c r="AB120" s="93">
        <f>Modeloutput!J472/1000</f>
        <v>0</v>
      </c>
      <c r="AC120" s="93">
        <f>Modeloutput!K472/1000</f>
        <v>0</v>
      </c>
      <c r="AD120" s="93">
        <f>Modeloutput!L472/1000</f>
        <v>0</v>
      </c>
      <c r="AE120" s="93">
        <f>Modeloutput!M472/1000</f>
        <v>0</v>
      </c>
      <c r="AF120" s="93">
        <f>Modeloutput!N472/1000</f>
        <v>0</v>
      </c>
      <c r="AG120" s="93">
        <f>Modeloutput!O472/1000</f>
        <v>0</v>
      </c>
      <c r="AH120" s="93">
        <f>Modeloutput!P472/1000</f>
        <v>0</v>
      </c>
      <c r="AJ120" s="7" t="s">
        <v>10</v>
      </c>
      <c r="AK120" s="93">
        <f>Modeloutput!B727/1000</f>
        <v>0</v>
      </c>
      <c r="AL120" s="93">
        <f>Modeloutput!C727/1000</f>
        <v>0</v>
      </c>
      <c r="AM120" s="93">
        <f>Modeloutput!D727/1000</f>
        <v>0</v>
      </c>
      <c r="AN120" s="93">
        <f>Modeloutput!E727/1000</f>
        <v>0</v>
      </c>
      <c r="AO120" s="93">
        <f>Modeloutput!F727/1000</f>
        <v>0</v>
      </c>
      <c r="AP120" s="93">
        <f>Modeloutput!G727/1000</f>
        <v>0</v>
      </c>
      <c r="AQ120" s="93">
        <f>Modeloutput!H727/1000</f>
        <v>0</v>
      </c>
      <c r="AR120" s="93">
        <f>Modeloutput!I727/1000</f>
        <v>0</v>
      </c>
      <c r="AS120" s="93">
        <f>Modeloutput!J727/1000</f>
        <v>0</v>
      </c>
      <c r="AT120" s="93">
        <f>Modeloutput!K727/1000</f>
        <v>0</v>
      </c>
      <c r="AU120" s="93">
        <f>Modeloutput!L727/1000</f>
        <v>0</v>
      </c>
      <c r="AV120" s="93">
        <f>Modeloutput!M727/1000</f>
        <v>0</v>
      </c>
      <c r="AW120" s="93">
        <f>Modeloutput!N727/1000</f>
        <v>0</v>
      </c>
      <c r="AX120" s="93">
        <f>Modeloutput!O727/1000</f>
        <v>0</v>
      </c>
      <c r="AY120" s="93">
        <f>Modeloutput!P727/1000</f>
        <v>0</v>
      </c>
      <c r="BA120" s="7" t="s">
        <v>10</v>
      </c>
      <c r="BB120" s="93">
        <f>Modeloutput!B982/1000</f>
        <v>0</v>
      </c>
      <c r="BC120" s="93">
        <f>Modeloutput!C982/1000</f>
        <v>0</v>
      </c>
      <c r="BD120" s="93">
        <f>Modeloutput!D982/1000</f>
        <v>0</v>
      </c>
      <c r="BE120" s="93">
        <f>Modeloutput!E982/1000</f>
        <v>0</v>
      </c>
      <c r="BF120" s="93">
        <f>Modeloutput!F982/1000</f>
        <v>0</v>
      </c>
      <c r="BG120" s="93">
        <f>Modeloutput!G982/1000</f>
        <v>0</v>
      </c>
      <c r="BH120" s="93">
        <f>Modeloutput!H982/1000</f>
        <v>0</v>
      </c>
      <c r="BI120" s="93">
        <f>Modeloutput!I982/1000</f>
        <v>0</v>
      </c>
      <c r="BJ120" s="93">
        <f>Modeloutput!J982/1000</f>
        <v>0</v>
      </c>
      <c r="BK120" s="93">
        <f>Modeloutput!K982/1000</f>
        <v>0</v>
      </c>
      <c r="BL120" s="93">
        <f>Modeloutput!L982/1000</f>
        <v>0</v>
      </c>
      <c r="BM120" s="93">
        <f>Modeloutput!M982/1000</f>
        <v>0</v>
      </c>
      <c r="BN120" s="93">
        <f>Modeloutput!N982/1000</f>
        <v>0</v>
      </c>
      <c r="BO120" s="93">
        <f>Modeloutput!O982/1000</f>
        <v>0</v>
      </c>
      <c r="BP120" s="93">
        <f>Modeloutput!P982/1000</f>
        <v>0</v>
      </c>
      <c r="BR120" s="7" t="s">
        <v>10</v>
      </c>
      <c r="BS120" s="93">
        <f>Modeloutput!B1237/1000</f>
        <v>0</v>
      </c>
      <c r="BT120" s="93">
        <f>Modeloutput!C1237/1000</f>
        <v>0</v>
      </c>
      <c r="BU120" s="93">
        <f>Modeloutput!D1237/1000</f>
        <v>0</v>
      </c>
      <c r="BV120" s="93">
        <f>Modeloutput!E1237/1000</f>
        <v>0</v>
      </c>
      <c r="BW120" s="93">
        <f>Modeloutput!F1237/1000</f>
        <v>0</v>
      </c>
      <c r="BX120" s="93">
        <f>Modeloutput!G1237/1000</f>
        <v>0</v>
      </c>
      <c r="BY120" s="93">
        <f>Modeloutput!H1237/1000</f>
        <v>0</v>
      </c>
      <c r="BZ120" s="93">
        <f>Modeloutput!I1237/1000</f>
        <v>0</v>
      </c>
      <c r="CA120" s="93">
        <f>Modeloutput!J1237/1000</f>
        <v>0</v>
      </c>
      <c r="CB120" s="93">
        <f>Modeloutput!K1237/1000</f>
        <v>0</v>
      </c>
      <c r="CC120" s="93">
        <f>Modeloutput!L1237/1000</f>
        <v>0</v>
      </c>
      <c r="CD120" s="93">
        <f>Modeloutput!M1237/1000</f>
        <v>0</v>
      </c>
      <c r="CE120" s="93">
        <f>Modeloutput!N1237/1000</f>
        <v>0</v>
      </c>
      <c r="CF120" s="93">
        <f>Modeloutput!O1237/1000</f>
        <v>0</v>
      </c>
      <c r="CG120" s="93">
        <f>Modeloutput!P1237/1000</f>
        <v>0</v>
      </c>
    </row>
    <row r="121" spans="2:85" s="7" customFormat="1" x14ac:dyDescent="0.25">
      <c r="B121" s="7" t="s">
        <v>11</v>
      </c>
      <c r="C121" s="93">
        <f>Modeloutput!B218/1000</f>
        <v>0</v>
      </c>
      <c r="D121" s="93">
        <f>Modeloutput!C218/1000</f>
        <v>0</v>
      </c>
      <c r="E121" s="93">
        <f>Modeloutput!D218/1000</f>
        <v>0</v>
      </c>
      <c r="F121" s="93">
        <f>Modeloutput!E218/1000</f>
        <v>0</v>
      </c>
      <c r="G121" s="93">
        <f>Modeloutput!F218/1000</f>
        <v>0</v>
      </c>
      <c r="H121" s="93">
        <f>Modeloutput!G218/1000</f>
        <v>0</v>
      </c>
      <c r="I121" s="93">
        <f>Modeloutput!H218/1000</f>
        <v>0</v>
      </c>
      <c r="J121" s="93">
        <f>Modeloutput!I218/1000</f>
        <v>0</v>
      </c>
      <c r="K121" s="93">
        <f>Modeloutput!J218/1000</f>
        <v>0</v>
      </c>
      <c r="L121" s="93">
        <f>Modeloutput!K218/1000</f>
        <v>0</v>
      </c>
      <c r="M121" s="93">
        <f>Modeloutput!L218/1000</f>
        <v>0</v>
      </c>
      <c r="N121" s="93">
        <f>Modeloutput!M218/1000</f>
        <v>0</v>
      </c>
      <c r="O121" s="93">
        <f>Modeloutput!N218/1000</f>
        <v>0</v>
      </c>
      <c r="P121" s="93">
        <f>Modeloutput!O218/1000</f>
        <v>0</v>
      </c>
      <c r="Q121" s="93">
        <f>Modeloutput!P218/1000</f>
        <v>0</v>
      </c>
      <c r="S121" s="7" t="s">
        <v>11</v>
      </c>
      <c r="T121" s="93">
        <f>Modeloutput!B473/1000</f>
        <v>0</v>
      </c>
      <c r="U121" s="93">
        <f>Modeloutput!C473/1000</f>
        <v>0</v>
      </c>
      <c r="V121" s="93">
        <f>Modeloutput!D473/1000</f>
        <v>0</v>
      </c>
      <c r="W121" s="93">
        <f>Modeloutput!E473/1000</f>
        <v>0</v>
      </c>
      <c r="X121" s="93">
        <f>Modeloutput!F473/1000</f>
        <v>0</v>
      </c>
      <c r="Y121" s="93">
        <f>Modeloutput!G473/1000</f>
        <v>0</v>
      </c>
      <c r="Z121" s="93">
        <f>Modeloutput!H473/1000</f>
        <v>0</v>
      </c>
      <c r="AA121" s="93">
        <f>Modeloutput!I473/1000</f>
        <v>0</v>
      </c>
      <c r="AB121" s="93">
        <f>Modeloutput!J473/1000</f>
        <v>0</v>
      </c>
      <c r="AC121" s="93">
        <f>Modeloutput!K473/1000</f>
        <v>0</v>
      </c>
      <c r="AD121" s="93">
        <f>Modeloutput!L473/1000</f>
        <v>0</v>
      </c>
      <c r="AE121" s="93">
        <f>Modeloutput!M473/1000</f>
        <v>0</v>
      </c>
      <c r="AF121" s="93">
        <f>Modeloutput!N473/1000</f>
        <v>0</v>
      </c>
      <c r="AG121" s="93">
        <f>Modeloutput!O473/1000</f>
        <v>0</v>
      </c>
      <c r="AH121" s="93">
        <f>Modeloutput!P473/1000</f>
        <v>0</v>
      </c>
      <c r="AJ121" s="7" t="s">
        <v>11</v>
      </c>
      <c r="AK121" s="93">
        <f>Modeloutput!B728/1000</f>
        <v>0</v>
      </c>
      <c r="AL121" s="93">
        <f>Modeloutput!C728/1000</f>
        <v>0</v>
      </c>
      <c r="AM121" s="93">
        <f>Modeloutput!D728/1000</f>
        <v>0</v>
      </c>
      <c r="AN121" s="93">
        <f>Modeloutput!E728/1000</f>
        <v>0</v>
      </c>
      <c r="AO121" s="93">
        <f>Modeloutput!F728/1000</f>
        <v>0</v>
      </c>
      <c r="AP121" s="93">
        <f>Modeloutput!G728/1000</f>
        <v>0</v>
      </c>
      <c r="AQ121" s="93">
        <f>Modeloutput!H728/1000</f>
        <v>0</v>
      </c>
      <c r="AR121" s="93">
        <f>Modeloutput!I728/1000</f>
        <v>0</v>
      </c>
      <c r="AS121" s="93">
        <f>Modeloutput!J728/1000</f>
        <v>0</v>
      </c>
      <c r="AT121" s="93">
        <f>Modeloutput!K728/1000</f>
        <v>0</v>
      </c>
      <c r="AU121" s="93">
        <f>Modeloutput!L728/1000</f>
        <v>0</v>
      </c>
      <c r="AV121" s="93">
        <f>Modeloutput!M728/1000</f>
        <v>0</v>
      </c>
      <c r="AW121" s="93">
        <f>Modeloutput!N728/1000</f>
        <v>0</v>
      </c>
      <c r="AX121" s="93">
        <f>Modeloutput!O728/1000</f>
        <v>0</v>
      </c>
      <c r="AY121" s="93">
        <f>Modeloutput!P728/1000</f>
        <v>0</v>
      </c>
      <c r="BA121" s="7" t="s">
        <v>11</v>
      </c>
      <c r="BB121" s="93">
        <f>Modeloutput!B983/1000</f>
        <v>0</v>
      </c>
      <c r="BC121" s="93">
        <f>Modeloutput!C983/1000</f>
        <v>0</v>
      </c>
      <c r="BD121" s="93">
        <f>Modeloutput!D983/1000</f>
        <v>0</v>
      </c>
      <c r="BE121" s="93">
        <f>Modeloutput!E983/1000</f>
        <v>0</v>
      </c>
      <c r="BF121" s="93">
        <f>Modeloutput!F983/1000</f>
        <v>0</v>
      </c>
      <c r="BG121" s="93">
        <f>Modeloutput!G983/1000</f>
        <v>0</v>
      </c>
      <c r="BH121" s="93">
        <f>Modeloutput!H983/1000</f>
        <v>0</v>
      </c>
      <c r="BI121" s="93">
        <f>Modeloutput!I983/1000</f>
        <v>0</v>
      </c>
      <c r="BJ121" s="93">
        <f>Modeloutput!J983/1000</f>
        <v>0</v>
      </c>
      <c r="BK121" s="93">
        <f>Modeloutput!K983/1000</f>
        <v>0</v>
      </c>
      <c r="BL121" s="93">
        <f>Modeloutput!L983/1000</f>
        <v>0</v>
      </c>
      <c r="BM121" s="93">
        <f>Modeloutput!M983/1000</f>
        <v>0</v>
      </c>
      <c r="BN121" s="93">
        <f>Modeloutput!N983/1000</f>
        <v>0</v>
      </c>
      <c r="BO121" s="93">
        <f>Modeloutput!O983/1000</f>
        <v>0</v>
      </c>
      <c r="BP121" s="93">
        <f>Modeloutput!P983/1000</f>
        <v>0</v>
      </c>
      <c r="BR121" s="7" t="s">
        <v>11</v>
      </c>
      <c r="BS121" s="93">
        <f>Modeloutput!B1238/1000</f>
        <v>0</v>
      </c>
      <c r="BT121" s="93">
        <f>Modeloutput!C1238/1000</f>
        <v>0</v>
      </c>
      <c r="BU121" s="93">
        <f>Modeloutput!D1238/1000</f>
        <v>0</v>
      </c>
      <c r="BV121" s="93">
        <f>Modeloutput!E1238/1000</f>
        <v>0</v>
      </c>
      <c r="BW121" s="93">
        <f>Modeloutput!F1238/1000</f>
        <v>0</v>
      </c>
      <c r="BX121" s="93">
        <f>Modeloutput!G1238/1000</f>
        <v>0</v>
      </c>
      <c r="BY121" s="93">
        <f>Modeloutput!H1238/1000</f>
        <v>0</v>
      </c>
      <c r="BZ121" s="93">
        <f>Modeloutput!I1238/1000</f>
        <v>0</v>
      </c>
      <c r="CA121" s="93">
        <f>Modeloutput!J1238/1000</f>
        <v>0</v>
      </c>
      <c r="CB121" s="93">
        <f>Modeloutput!K1238/1000</f>
        <v>0</v>
      </c>
      <c r="CC121" s="93">
        <f>Modeloutput!L1238/1000</f>
        <v>0</v>
      </c>
      <c r="CD121" s="93">
        <f>Modeloutput!M1238/1000</f>
        <v>0</v>
      </c>
      <c r="CE121" s="93">
        <f>Modeloutput!N1238/1000</f>
        <v>0</v>
      </c>
      <c r="CF121" s="93">
        <f>Modeloutput!O1238/1000</f>
        <v>0</v>
      </c>
      <c r="CG121" s="93">
        <f>Modeloutput!P1238/1000</f>
        <v>0</v>
      </c>
    </row>
    <row r="122" spans="2:85" s="7" customFormat="1" x14ac:dyDescent="0.25">
      <c r="B122" s="7" t="s">
        <v>12</v>
      </c>
      <c r="C122" s="93">
        <f>Modeloutput!B219/1000</f>
        <v>0</v>
      </c>
      <c r="D122" s="93">
        <f>Modeloutput!C219/1000</f>
        <v>0</v>
      </c>
      <c r="E122" s="93">
        <f>Modeloutput!D219/1000</f>
        <v>0</v>
      </c>
      <c r="F122" s="93">
        <f>Modeloutput!E219/1000</f>
        <v>0</v>
      </c>
      <c r="G122" s="93">
        <f>Modeloutput!F219/1000</f>
        <v>0</v>
      </c>
      <c r="H122" s="93">
        <f>Modeloutput!G219/1000</f>
        <v>0</v>
      </c>
      <c r="I122" s="93">
        <f>Modeloutput!H219/1000</f>
        <v>0</v>
      </c>
      <c r="J122" s="93">
        <f>Modeloutput!I219/1000</f>
        <v>0</v>
      </c>
      <c r="K122" s="93">
        <f>Modeloutput!J219/1000</f>
        <v>0</v>
      </c>
      <c r="L122" s="93">
        <f>Modeloutput!K219/1000</f>
        <v>0</v>
      </c>
      <c r="M122" s="93">
        <f>Modeloutput!L219/1000</f>
        <v>0</v>
      </c>
      <c r="N122" s="93">
        <f>Modeloutput!M219/1000</f>
        <v>0</v>
      </c>
      <c r="O122" s="93">
        <f>Modeloutput!N219/1000</f>
        <v>0</v>
      </c>
      <c r="P122" s="93">
        <f>Modeloutput!O219/1000</f>
        <v>0</v>
      </c>
      <c r="Q122" s="93">
        <f>Modeloutput!P219/1000</f>
        <v>0</v>
      </c>
      <c r="S122" s="7" t="s">
        <v>12</v>
      </c>
      <c r="T122" s="93">
        <f>Modeloutput!B474/1000</f>
        <v>0</v>
      </c>
      <c r="U122" s="93">
        <f>Modeloutput!C474/1000</f>
        <v>0</v>
      </c>
      <c r="V122" s="93">
        <f>Modeloutput!D474/1000</f>
        <v>0</v>
      </c>
      <c r="W122" s="93">
        <f>Modeloutput!E474/1000</f>
        <v>0</v>
      </c>
      <c r="X122" s="93">
        <f>Modeloutput!F474/1000</f>
        <v>0</v>
      </c>
      <c r="Y122" s="93">
        <f>Modeloutput!G474/1000</f>
        <v>0</v>
      </c>
      <c r="Z122" s="93">
        <f>Modeloutput!H474/1000</f>
        <v>0</v>
      </c>
      <c r="AA122" s="93">
        <f>Modeloutput!I474/1000</f>
        <v>0</v>
      </c>
      <c r="AB122" s="93">
        <f>Modeloutput!J474/1000</f>
        <v>0</v>
      </c>
      <c r="AC122" s="93">
        <f>Modeloutput!K474/1000</f>
        <v>0</v>
      </c>
      <c r="AD122" s="93">
        <f>Modeloutput!L474/1000</f>
        <v>0</v>
      </c>
      <c r="AE122" s="93">
        <f>Modeloutput!M474/1000</f>
        <v>0</v>
      </c>
      <c r="AF122" s="93">
        <f>Modeloutput!N474/1000</f>
        <v>0</v>
      </c>
      <c r="AG122" s="93">
        <f>Modeloutput!O474/1000</f>
        <v>0</v>
      </c>
      <c r="AH122" s="93">
        <f>Modeloutput!P474/1000</f>
        <v>0</v>
      </c>
      <c r="AJ122" s="7" t="s">
        <v>12</v>
      </c>
      <c r="AK122" s="93">
        <f>Modeloutput!B729/1000</f>
        <v>0</v>
      </c>
      <c r="AL122" s="93">
        <f>Modeloutput!C729/1000</f>
        <v>0</v>
      </c>
      <c r="AM122" s="93">
        <f>Modeloutput!D729/1000</f>
        <v>0</v>
      </c>
      <c r="AN122" s="93">
        <f>Modeloutput!E729/1000</f>
        <v>0</v>
      </c>
      <c r="AO122" s="93">
        <f>Modeloutput!F729/1000</f>
        <v>0</v>
      </c>
      <c r="AP122" s="93">
        <f>Modeloutput!G729/1000</f>
        <v>0</v>
      </c>
      <c r="AQ122" s="93">
        <f>Modeloutput!H729/1000</f>
        <v>0</v>
      </c>
      <c r="AR122" s="93">
        <f>Modeloutput!I729/1000</f>
        <v>0</v>
      </c>
      <c r="AS122" s="93">
        <f>Modeloutput!J729/1000</f>
        <v>0</v>
      </c>
      <c r="AT122" s="93">
        <f>Modeloutput!K729/1000</f>
        <v>0</v>
      </c>
      <c r="AU122" s="93">
        <f>Modeloutput!L729/1000</f>
        <v>0</v>
      </c>
      <c r="AV122" s="93">
        <f>Modeloutput!M729/1000</f>
        <v>0</v>
      </c>
      <c r="AW122" s="93">
        <f>Modeloutput!N729/1000</f>
        <v>0</v>
      </c>
      <c r="AX122" s="93">
        <f>Modeloutput!O729/1000</f>
        <v>0</v>
      </c>
      <c r="AY122" s="93">
        <f>Modeloutput!P729/1000</f>
        <v>0</v>
      </c>
      <c r="BA122" s="7" t="s">
        <v>12</v>
      </c>
      <c r="BB122" s="93">
        <f>Modeloutput!B984/1000</f>
        <v>0</v>
      </c>
      <c r="BC122" s="93">
        <f>Modeloutput!C984/1000</f>
        <v>0</v>
      </c>
      <c r="BD122" s="93">
        <f>Modeloutput!D984/1000</f>
        <v>0</v>
      </c>
      <c r="BE122" s="93">
        <f>Modeloutput!E984/1000</f>
        <v>0</v>
      </c>
      <c r="BF122" s="93">
        <f>Modeloutput!F984/1000</f>
        <v>0</v>
      </c>
      <c r="BG122" s="93">
        <f>Modeloutput!G984/1000</f>
        <v>0</v>
      </c>
      <c r="BH122" s="93">
        <f>Modeloutput!H984/1000</f>
        <v>0</v>
      </c>
      <c r="BI122" s="93">
        <f>Modeloutput!I984/1000</f>
        <v>0</v>
      </c>
      <c r="BJ122" s="93">
        <f>Modeloutput!J984/1000</f>
        <v>0</v>
      </c>
      <c r="BK122" s="93">
        <f>Modeloutput!K984/1000</f>
        <v>0</v>
      </c>
      <c r="BL122" s="93">
        <f>Modeloutput!L984/1000</f>
        <v>0</v>
      </c>
      <c r="BM122" s="93">
        <f>Modeloutput!M984/1000</f>
        <v>0</v>
      </c>
      <c r="BN122" s="93">
        <f>Modeloutput!N984/1000</f>
        <v>0</v>
      </c>
      <c r="BO122" s="93">
        <f>Modeloutput!O984/1000</f>
        <v>0</v>
      </c>
      <c r="BP122" s="93">
        <f>Modeloutput!P984/1000</f>
        <v>0</v>
      </c>
      <c r="BR122" s="7" t="s">
        <v>12</v>
      </c>
      <c r="BS122" s="93">
        <f>Modeloutput!B1239/1000</f>
        <v>0</v>
      </c>
      <c r="BT122" s="93">
        <f>Modeloutput!C1239/1000</f>
        <v>0</v>
      </c>
      <c r="BU122" s="93">
        <f>Modeloutput!D1239/1000</f>
        <v>0</v>
      </c>
      <c r="BV122" s="93">
        <f>Modeloutput!E1239/1000</f>
        <v>0</v>
      </c>
      <c r="BW122" s="93">
        <f>Modeloutput!F1239/1000</f>
        <v>0</v>
      </c>
      <c r="BX122" s="93">
        <f>Modeloutput!G1239/1000</f>
        <v>0</v>
      </c>
      <c r="BY122" s="93">
        <f>Modeloutput!H1239/1000</f>
        <v>0</v>
      </c>
      <c r="BZ122" s="93">
        <f>Modeloutput!I1239/1000</f>
        <v>0</v>
      </c>
      <c r="CA122" s="93">
        <f>Modeloutput!J1239/1000</f>
        <v>0</v>
      </c>
      <c r="CB122" s="93">
        <f>Modeloutput!K1239/1000</f>
        <v>0</v>
      </c>
      <c r="CC122" s="93">
        <f>Modeloutput!L1239/1000</f>
        <v>0</v>
      </c>
      <c r="CD122" s="93">
        <f>Modeloutput!M1239/1000</f>
        <v>0</v>
      </c>
      <c r="CE122" s="93">
        <f>Modeloutput!N1239/1000</f>
        <v>0</v>
      </c>
      <c r="CF122" s="93">
        <f>Modeloutput!O1239/1000</f>
        <v>0</v>
      </c>
      <c r="CG122" s="93">
        <f>Modeloutput!P1239/1000</f>
        <v>0</v>
      </c>
    </row>
    <row r="123" spans="2:85" s="7" customFormat="1" x14ac:dyDescent="0.25">
      <c r="B123" s="7" t="s">
        <v>13</v>
      </c>
      <c r="C123" s="93">
        <f>Modeloutput!B220/1000</f>
        <v>0</v>
      </c>
      <c r="D123" s="93">
        <f>Modeloutput!C220/1000</f>
        <v>0</v>
      </c>
      <c r="E123" s="93">
        <f>Modeloutput!D220/1000</f>
        <v>0</v>
      </c>
      <c r="F123" s="93">
        <f>Modeloutput!E220/1000</f>
        <v>0</v>
      </c>
      <c r="G123" s="93">
        <f>Modeloutput!F220/1000</f>
        <v>0</v>
      </c>
      <c r="H123" s="93">
        <f>Modeloutput!G220/1000</f>
        <v>0</v>
      </c>
      <c r="I123" s="93">
        <f>Modeloutput!H220/1000</f>
        <v>0</v>
      </c>
      <c r="J123" s="93">
        <f>Modeloutput!I220/1000</f>
        <v>0</v>
      </c>
      <c r="K123" s="93">
        <f>Modeloutput!J220/1000</f>
        <v>0</v>
      </c>
      <c r="L123" s="93">
        <f>Modeloutput!K220/1000</f>
        <v>0</v>
      </c>
      <c r="M123" s="93">
        <f>Modeloutput!L220/1000</f>
        <v>0</v>
      </c>
      <c r="N123" s="93">
        <f>Modeloutput!M220/1000</f>
        <v>0</v>
      </c>
      <c r="O123" s="93">
        <f>Modeloutput!N220/1000</f>
        <v>0</v>
      </c>
      <c r="P123" s="93">
        <f>Modeloutput!O220/1000</f>
        <v>0</v>
      </c>
      <c r="Q123" s="93">
        <f>Modeloutput!P220/1000</f>
        <v>0</v>
      </c>
      <c r="S123" s="7" t="s">
        <v>13</v>
      </c>
      <c r="T123" s="93">
        <f>Modeloutput!B475/1000</f>
        <v>0</v>
      </c>
      <c r="U123" s="93">
        <f>Modeloutput!C475/1000</f>
        <v>0</v>
      </c>
      <c r="V123" s="93">
        <f>Modeloutput!D475/1000</f>
        <v>0</v>
      </c>
      <c r="W123" s="93">
        <f>Modeloutput!E475/1000</f>
        <v>0</v>
      </c>
      <c r="X123" s="93">
        <f>Modeloutput!F475/1000</f>
        <v>0</v>
      </c>
      <c r="Y123" s="93">
        <f>Modeloutput!G475/1000</f>
        <v>0</v>
      </c>
      <c r="Z123" s="93">
        <f>Modeloutput!H475/1000</f>
        <v>0</v>
      </c>
      <c r="AA123" s="93">
        <f>Modeloutput!I475/1000</f>
        <v>0</v>
      </c>
      <c r="AB123" s="93">
        <f>Modeloutput!J475/1000</f>
        <v>0</v>
      </c>
      <c r="AC123" s="93">
        <f>Modeloutput!K475/1000</f>
        <v>0</v>
      </c>
      <c r="AD123" s="93">
        <f>Modeloutput!L475/1000</f>
        <v>0</v>
      </c>
      <c r="AE123" s="93">
        <f>Modeloutput!M475/1000</f>
        <v>0</v>
      </c>
      <c r="AF123" s="93">
        <f>Modeloutput!N475/1000</f>
        <v>0</v>
      </c>
      <c r="AG123" s="93">
        <f>Modeloutput!O475/1000</f>
        <v>0</v>
      </c>
      <c r="AH123" s="93">
        <f>Modeloutput!P475/1000</f>
        <v>0</v>
      </c>
      <c r="AJ123" s="7" t="s">
        <v>13</v>
      </c>
      <c r="AK123" s="93">
        <f>Modeloutput!B730/1000</f>
        <v>0</v>
      </c>
      <c r="AL123" s="93">
        <f>Modeloutput!C730/1000</f>
        <v>0</v>
      </c>
      <c r="AM123" s="93">
        <f>Modeloutput!D730/1000</f>
        <v>0</v>
      </c>
      <c r="AN123" s="93">
        <f>Modeloutput!E730/1000</f>
        <v>0</v>
      </c>
      <c r="AO123" s="93">
        <f>Modeloutput!F730/1000</f>
        <v>0</v>
      </c>
      <c r="AP123" s="93">
        <f>Modeloutput!G730/1000</f>
        <v>0</v>
      </c>
      <c r="AQ123" s="93">
        <f>Modeloutput!H730/1000</f>
        <v>0</v>
      </c>
      <c r="AR123" s="93">
        <f>Modeloutput!I730/1000</f>
        <v>0</v>
      </c>
      <c r="AS123" s="93">
        <f>Modeloutput!J730/1000</f>
        <v>0</v>
      </c>
      <c r="AT123" s="93">
        <f>Modeloutput!K730/1000</f>
        <v>0</v>
      </c>
      <c r="AU123" s="93">
        <f>Modeloutput!L730/1000</f>
        <v>0</v>
      </c>
      <c r="AV123" s="93">
        <f>Modeloutput!M730/1000</f>
        <v>0</v>
      </c>
      <c r="AW123" s="93">
        <f>Modeloutput!N730/1000</f>
        <v>0</v>
      </c>
      <c r="AX123" s="93">
        <f>Modeloutput!O730/1000</f>
        <v>0</v>
      </c>
      <c r="AY123" s="93">
        <f>Modeloutput!P730/1000</f>
        <v>0</v>
      </c>
      <c r="BA123" s="7" t="s">
        <v>13</v>
      </c>
      <c r="BB123" s="93">
        <f>Modeloutput!B985/1000</f>
        <v>0</v>
      </c>
      <c r="BC123" s="93">
        <f>Modeloutput!C985/1000</f>
        <v>0</v>
      </c>
      <c r="BD123" s="93">
        <f>Modeloutput!D985/1000</f>
        <v>0</v>
      </c>
      <c r="BE123" s="93">
        <f>Modeloutput!E985/1000</f>
        <v>0</v>
      </c>
      <c r="BF123" s="93">
        <f>Modeloutput!F985/1000</f>
        <v>0</v>
      </c>
      <c r="BG123" s="93">
        <f>Modeloutput!G985/1000</f>
        <v>0</v>
      </c>
      <c r="BH123" s="93">
        <f>Modeloutput!H985/1000</f>
        <v>0</v>
      </c>
      <c r="BI123" s="93">
        <f>Modeloutput!I985/1000</f>
        <v>0</v>
      </c>
      <c r="BJ123" s="93">
        <f>Modeloutput!J985/1000</f>
        <v>0</v>
      </c>
      <c r="BK123" s="93">
        <f>Modeloutput!K985/1000</f>
        <v>0</v>
      </c>
      <c r="BL123" s="93">
        <f>Modeloutput!L985/1000</f>
        <v>0</v>
      </c>
      <c r="BM123" s="93">
        <f>Modeloutput!M985/1000</f>
        <v>0</v>
      </c>
      <c r="BN123" s="93">
        <f>Modeloutput!N985/1000</f>
        <v>0</v>
      </c>
      <c r="BO123" s="93">
        <f>Modeloutput!O985/1000</f>
        <v>0</v>
      </c>
      <c r="BP123" s="93">
        <f>Modeloutput!P985/1000</f>
        <v>0</v>
      </c>
      <c r="BR123" s="7" t="s">
        <v>13</v>
      </c>
      <c r="BS123" s="93">
        <f>Modeloutput!B1240/1000</f>
        <v>0</v>
      </c>
      <c r="BT123" s="93">
        <f>Modeloutput!C1240/1000</f>
        <v>0</v>
      </c>
      <c r="BU123" s="93">
        <f>Modeloutput!D1240/1000</f>
        <v>0</v>
      </c>
      <c r="BV123" s="93">
        <f>Modeloutput!E1240/1000</f>
        <v>0</v>
      </c>
      <c r="BW123" s="93">
        <f>Modeloutput!F1240/1000</f>
        <v>0</v>
      </c>
      <c r="BX123" s="93">
        <f>Modeloutput!G1240/1000</f>
        <v>0</v>
      </c>
      <c r="BY123" s="93">
        <f>Modeloutput!H1240/1000</f>
        <v>0</v>
      </c>
      <c r="BZ123" s="93">
        <f>Modeloutput!I1240/1000</f>
        <v>0</v>
      </c>
      <c r="CA123" s="93">
        <f>Modeloutput!J1240/1000</f>
        <v>0</v>
      </c>
      <c r="CB123" s="93">
        <f>Modeloutput!K1240/1000</f>
        <v>0</v>
      </c>
      <c r="CC123" s="93">
        <f>Modeloutput!L1240/1000</f>
        <v>0</v>
      </c>
      <c r="CD123" s="93">
        <f>Modeloutput!M1240/1000</f>
        <v>0</v>
      </c>
      <c r="CE123" s="93">
        <f>Modeloutput!N1240/1000</f>
        <v>0</v>
      </c>
      <c r="CF123" s="93">
        <f>Modeloutput!O1240/1000</f>
        <v>0</v>
      </c>
      <c r="CG123" s="93">
        <f>Modeloutput!P1240/1000</f>
        <v>0</v>
      </c>
    </row>
    <row r="124" spans="2:85" s="7" customFormat="1" x14ac:dyDescent="0.25">
      <c r="B124" s="7" t="s">
        <v>14</v>
      </c>
      <c r="C124" s="93">
        <f>Modeloutput!B221/1000</f>
        <v>0</v>
      </c>
      <c r="D124" s="93">
        <f>Modeloutput!C221/1000</f>
        <v>0</v>
      </c>
      <c r="E124" s="93">
        <f>Modeloutput!D221/1000</f>
        <v>0</v>
      </c>
      <c r="F124" s="93">
        <f>Modeloutput!E221/1000</f>
        <v>0</v>
      </c>
      <c r="G124" s="93">
        <f>Modeloutput!F221/1000</f>
        <v>0</v>
      </c>
      <c r="H124" s="93">
        <f>Modeloutput!G221/1000</f>
        <v>0</v>
      </c>
      <c r="I124" s="93">
        <f>Modeloutput!H221/1000</f>
        <v>0</v>
      </c>
      <c r="J124" s="93">
        <f>Modeloutput!I221/1000</f>
        <v>0</v>
      </c>
      <c r="K124" s="93">
        <f>Modeloutput!J221/1000</f>
        <v>0</v>
      </c>
      <c r="L124" s="93">
        <f>Modeloutput!K221/1000</f>
        <v>0</v>
      </c>
      <c r="M124" s="93">
        <f>Modeloutput!L221/1000</f>
        <v>0</v>
      </c>
      <c r="N124" s="93">
        <f>Modeloutput!M221/1000</f>
        <v>0</v>
      </c>
      <c r="O124" s="93">
        <f>Modeloutput!N221/1000</f>
        <v>0</v>
      </c>
      <c r="P124" s="93">
        <f>Modeloutput!O221/1000</f>
        <v>0</v>
      </c>
      <c r="Q124" s="93">
        <f>Modeloutput!P221/1000</f>
        <v>0</v>
      </c>
      <c r="S124" s="7" t="s">
        <v>14</v>
      </c>
      <c r="T124" s="93">
        <f>Modeloutput!B476/1000</f>
        <v>0</v>
      </c>
      <c r="U124" s="93">
        <f>Modeloutput!C476/1000</f>
        <v>0</v>
      </c>
      <c r="V124" s="93">
        <f>Modeloutput!D476/1000</f>
        <v>0</v>
      </c>
      <c r="W124" s="93">
        <f>Modeloutput!E476/1000</f>
        <v>0</v>
      </c>
      <c r="X124" s="93">
        <f>Modeloutput!F476/1000</f>
        <v>0</v>
      </c>
      <c r="Y124" s="93">
        <f>Modeloutput!G476/1000</f>
        <v>0</v>
      </c>
      <c r="Z124" s="93">
        <f>Modeloutput!H476/1000</f>
        <v>0</v>
      </c>
      <c r="AA124" s="93">
        <f>Modeloutput!I476/1000</f>
        <v>0</v>
      </c>
      <c r="AB124" s="93">
        <f>Modeloutput!J476/1000</f>
        <v>0</v>
      </c>
      <c r="AC124" s="93">
        <f>Modeloutput!K476/1000</f>
        <v>0</v>
      </c>
      <c r="AD124" s="93">
        <f>Modeloutput!L476/1000</f>
        <v>0</v>
      </c>
      <c r="AE124" s="93">
        <f>Modeloutput!M476/1000</f>
        <v>0</v>
      </c>
      <c r="AF124" s="93">
        <f>Modeloutput!N476/1000</f>
        <v>0</v>
      </c>
      <c r="AG124" s="93">
        <f>Modeloutput!O476/1000</f>
        <v>0</v>
      </c>
      <c r="AH124" s="93">
        <f>Modeloutput!P476/1000</f>
        <v>0</v>
      </c>
      <c r="AJ124" s="7" t="s">
        <v>14</v>
      </c>
      <c r="AK124" s="93">
        <f>Modeloutput!B731/1000</f>
        <v>0</v>
      </c>
      <c r="AL124" s="93">
        <f>Modeloutput!C731/1000</f>
        <v>0</v>
      </c>
      <c r="AM124" s="93">
        <f>Modeloutput!D731/1000</f>
        <v>0</v>
      </c>
      <c r="AN124" s="93">
        <f>Modeloutput!E731/1000</f>
        <v>0</v>
      </c>
      <c r="AO124" s="93">
        <f>Modeloutput!F731/1000</f>
        <v>0</v>
      </c>
      <c r="AP124" s="93">
        <f>Modeloutput!G731/1000</f>
        <v>0</v>
      </c>
      <c r="AQ124" s="93">
        <f>Modeloutput!H731/1000</f>
        <v>0</v>
      </c>
      <c r="AR124" s="93">
        <f>Modeloutput!I731/1000</f>
        <v>0</v>
      </c>
      <c r="AS124" s="93">
        <f>Modeloutput!J731/1000</f>
        <v>0</v>
      </c>
      <c r="AT124" s="93">
        <f>Modeloutput!K731/1000</f>
        <v>0</v>
      </c>
      <c r="AU124" s="93">
        <f>Modeloutput!L731/1000</f>
        <v>0</v>
      </c>
      <c r="AV124" s="93">
        <f>Modeloutput!M731/1000</f>
        <v>0</v>
      </c>
      <c r="AW124" s="93">
        <f>Modeloutput!N731/1000</f>
        <v>0</v>
      </c>
      <c r="AX124" s="93">
        <f>Modeloutput!O731/1000</f>
        <v>0</v>
      </c>
      <c r="AY124" s="93">
        <f>Modeloutput!P731/1000</f>
        <v>0</v>
      </c>
      <c r="BA124" s="7" t="s">
        <v>14</v>
      </c>
      <c r="BB124" s="93">
        <f>Modeloutput!B986/1000</f>
        <v>0</v>
      </c>
      <c r="BC124" s="93">
        <f>Modeloutput!C986/1000</f>
        <v>0</v>
      </c>
      <c r="BD124" s="93">
        <f>Modeloutput!D986/1000</f>
        <v>0</v>
      </c>
      <c r="BE124" s="93">
        <f>Modeloutput!E986/1000</f>
        <v>0</v>
      </c>
      <c r="BF124" s="93">
        <f>Modeloutput!F986/1000</f>
        <v>0</v>
      </c>
      <c r="BG124" s="93">
        <f>Modeloutput!G986/1000</f>
        <v>0</v>
      </c>
      <c r="BH124" s="93">
        <f>Modeloutput!H986/1000</f>
        <v>0</v>
      </c>
      <c r="BI124" s="93">
        <f>Modeloutput!I986/1000</f>
        <v>0</v>
      </c>
      <c r="BJ124" s="93">
        <f>Modeloutput!J986/1000</f>
        <v>0</v>
      </c>
      <c r="BK124" s="93">
        <f>Modeloutput!K986/1000</f>
        <v>0</v>
      </c>
      <c r="BL124" s="93">
        <f>Modeloutput!L986/1000</f>
        <v>0</v>
      </c>
      <c r="BM124" s="93">
        <f>Modeloutput!M986/1000</f>
        <v>0</v>
      </c>
      <c r="BN124" s="93">
        <f>Modeloutput!N986/1000</f>
        <v>0</v>
      </c>
      <c r="BO124" s="93">
        <f>Modeloutput!O986/1000</f>
        <v>0</v>
      </c>
      <c r="BP124" s="93">
        <f>Modeloutput!P986/1000</f>
        <v>0</v>
      </c>
      <c r="BR124" s="7" t="s">
        <v>14</v>
      </c>
      <c r="BS124" s="93">
        <f>Modeloutput!B1241/1000</f>
        <v>0</v>
      </c>
      <c r="BT124" s="93">
        <f>Modeloutput!C1241/1000</f>
        <v>0</v>
      </c>
      <c r="BU124" s="93">
        <f>Modeloutput!D1241/1000</f>
        <v>0</v>
      </c>
      <c r="BV124" s="93">
        <f>Modeloutput!E1241/1000</f>
        <v>0</v>
      </c>
      <c r="BW124" s="93">
        <f>Modeloutput!F1241/1000</f>
        <v>0</v>
      </c>
      <c r="BX124" s="93">
        <f>Modeloutput!G1241/1000</f>
        <v>0</v>
      </c>
      <c r="BY124" s="93">
        <f>Modeloutput!H1241/1000</f>
        <v>0</v>
      </c>
      <c r="BZ124" s="93">
        <f>Modeloutput!I1241/1000</f>
        <v>0</v>
      </c>
      <c r="CA124" s="93">
        <f>Modeloutput!J1241/1000</f>
        <v>0</v>
      </c>
      <c r="CB124" s="93">
        <f>Modeloutput!K1241/1000</f>
        <v>0</v>
      </c>
      <c r="CC124" s="93">
        <f>Modeloutput!L1241/1000</f>
        <v>0</v>
      </c>
      <c r="CD124" s="93">
        <f>Modeloutput!M1241/1000</f>
        <v>0</v>
      </c>
      <c r="CE124" s="93">
        <f>Modeloutput!N1241/1000</f>
        <v>0</v>
      </c>
      <c r="CF124" s="93">
        <f>Modeloutput!O1241/1000</f>
        <v>0</v>
      </c>
      <c r="CG124" s="93">
        <f>Modeloutput!P1241/1000</f>
        <v>0</v>
      </c>
    </row>
    <row r="125" spans="2:85" s="7" customFormat="1" x14ac:dyDescent="0.25">
      <c r="B125" s="28" t="s">
        <v>18</v>
      </c>
      <c r="C125" s="100">
        <f t="shared" ref="C125:Q125" si="20">SUM(C111:C124)</f>
        <v>0.29410539769900002</v>
      </c>
      <c r="D125" s="100">
        <f t="shared" si="20"/>
        <v>4.5009589899000002E-2</v>
      </c>
      <c r="E125" s="100">
        <f t="shared" si="20"/>
        <v>0.24909580780000001</v>
      </c>
      <c r="F125" s="100">
        <f t="shared" si="20"/>
        <v>0.18153850199999996</v>
      </c>
      <c r="G125" s="100">
        <f t="shared" si="20"/>
        <v>6.4871722140000003E-3</v>
      </c>
      <c r="H125" s="100">
        <f t="shared" si="20"/>
        <v>6.0061557985999992E-2</v>
      </c>
      <c r="I125" s="100">
        <f t="shared" si="20"/>
        <v>1.0085756052E-3</v>
      </c>
      <c r="J125" s="100">
        <f t="shared" si="20"/>
        <v>0</v>
      </c>
      <c r="K125" s="100">
        <f t="shared" si="20"/>
        <v>0</v>
      </c>
      <c r="L125" s="100">
        <f t="shared" si="20"/>
        <v>4.4190413900000003E-2</v>
      </c>
      <c r="M125" s="100">
        <f t="shared" si="20"/>
        <v>0</v>
      </c>
      <c r="N125" s="100">
        <f t="shared" si="20"/>
        <v>8.1917599900000002E-4</v>
      </c>
      <c r="O125" s="100">
        <f t="shared" si="20"/>
        <v>0</v>
      </c>
      <c r="P125" s="100">
        <f t="shared" si="20"/>
        <v>0</v>
      </c>
      <c r="Q125" s="100">
        <f t="shared" si="20"/>
        <v>0</v>
      </c>
      <c r="S125" s="28" t="s">
        <v>18</v>
      </c>
      <c r="T125" s="100">
        <f t="shared" ref="T125:AH125" si="21">SUM(T111:T124)</f>
        <v>0.23192485687</v>
      </c>
      <c r="U125" s="100">
        <f t="shared" si="21"/>
        <v>3.2038533529999996E-2</v>
      </c>
      <c r="V125" s="100">
        <f t="shared" si="21"/>
        <v>0.19988632334000001</v>
      </c>
      <c r="W125" s="100">
        <f t="shared" si="21"/>
        <v>0.15485917329999999</v>
      </c>
      <c r="X125" s="100">
        <f t="shared" si="21"/>
        <v>6.4609778690000001E-3</v>
      </c>
      <c r="Y125" s="100">
        <f t="shared" si="21"/>
        <v>3.7575916096E-2</v>
      </c>
      <c r="Z125" s="100">
        <f t="shared" si="21"/>
        <v>9.9025598430000001E-4</v>
      </c>
      <c r="AA125" s="100">
        <f t="shared" si="21"/>
        <v>0</v>
      </c>
      <c r="AB125" s="100">
        <f t="shared" si="21"/>
        <v>0</v>
      </c>
      <c r="AC125" s="100">
        <f t="shared" si="21"/>
        <v>3.1234096439999998E-2</v>
      </c>
      <c r="AD125" s="100">
        <f t="shared" si="21"/>
        <v>0</v>
      </c>
      <c r="AE125" s="100">
        <f t="shared" si="21"/>
        <v>8.0443702999999996E-4</v>
      </c>
      <c r="AF125" s="100">
        <f t="shared" si="21"/>
        <v>0</v>
      </c>
      <c r="AG125" s="100">
        <f t="shared" si="21"/>
        <v>0</v>
      </c>
      <c r="AH125" s="100">
        <f t="shared" si="21"/>
        <v>0</v>
      </c>
      <c r="AJ125" s="28" t="s">
        <v>18</v>
      </c>
      <c r="AK125" s="100">
        <f t="shared" ref="AK125:AY125" si="22">SUM(AK111:AK124)</f>
        <v>9.2201248440000008E-2</v>
      </c>
      <c r="AL125" s="100">
        <f t="shared" si="22"/>
        <v>2.160603354E-2</v>
      </c>
      <c r="AM125" s="100">
        <f t="shared" si="22"/>
        <v>7.0595214900000008E-2</v>
      </c>
      <c r="AN125" s="100">
        <f t="shared" si="22"/>
        <v>4.4735105140000002E-2</v>
      </c>
      <c r="AO125" s="100">
        <f t="shared" si="22"/>
        <v>5.6481411369999996E-3</v>
      </c>
      <c r="AP125" s="100">
        <f t="shared" si="22"/>
        <v>1.9264250640000001E-2</v>
      </c>
      <c r="AQ125" s="100">
        <f t="shared" si="22"/>
        <v>9.4771799819999992E-4</v>
      </c>
      <c r="AR125" s="100">
        <f t="shared" si="22"/>
        <v>0</v>
      </c>
      <c r="AS125" s="100">
        <f t="shared" si="22"/>
        <v>0</v>
      </c>
      <c r="AT125" s="100">
        <f t="shared" si="22"/>
        <v>1.4729376399999999E-2</v>
      </c>
      <c r="AU125" s="100">
        <f t="shared" si="22"/>
        <v>0</v>
      </c>
      <c r="AV125" s="100">
        <f t="shared" si="22"/>
        <v>6.8766571399999999E-3</v>
      </c>
      <c r="AW125" s="100">
        <f t="shared" si="22"/>
        <v>0</v>
      </c>
      <c r="AX125" s="100">
        <f t="shared" si="22"/>
        <v>0</v>
      </c>
      <c r="AY125" s="100">
        <f t="shared" si="22"/>
        <v>0</v>
      </c>
      <c r="BA125" s="28" t="s">
        <v>18</v>
      </c>
      <c r="BB125" s="100">
        <f t="shared" ref="BB125:BP125" si="23">SUM(BB111:BB124)</f>
        <v>9.1037655500000009E-2</v>
      </c>
      <c r="BC125" s="100">
        <f t="shared" si="23"/>
        <v>2.8366061099999999E-2</v>
      </c>
      <c r="BD125" s="100">
        <f t="shared" si="23"/>
        <v>6.2671594399999989E-2</v>
      </c>
      <c r="BE125" s="100">
        <f t="shared" si="23"/>
        <v>3.3166380800000006E-2</v>
      </c>
      <c r="BF125" s="100">
        <f t="shared" si="23"/>
        <v>5.0162827599999999E-3</v>
      </c>
      <c r="BG125" s="100">
        <f t="shared" si="23"/>
        <v>2.3529726250000001E-2</v>
      </c>
      <c r="BH125" s="100">
        <f t="shared" si="23"/>
        <v>9.5920464699999998E-4</v>
      </c>
      <c r="BI125" s="100">
        <f t="shared" si="23"/>
        <v>0</v>
      </c>
      <c r="BJ125" s="100">
        <f t="shared" si="23"/>
        <v>0</v>
      </c>
      <c r="BK125" s="100">
        <f t="shared" si="23"/>
        <v>2.8366061099999999E-2</v>
      </c>
      <c r="BL125" s="100">
        <f t="shared" si="23"/>
        <v>0</v>
      </c>
      <c r="BM125" s="100">
        <f t="shared" si="23"/>
        <v>0</v>
      </c>
      <c r="BN125" s="100">
        <f t="shared" si="23"/>
        <v>0</v>
      </c>
      <c r="BO125" s="100">
        <f t="shared" si="23"/>
        <v>0</v>
      </c>
      <c r="BP125" s="100">
        <f t="shared" si="23"/>
        <v>0</v>
      </c>
      <c r="BR125" s="28" t="s">
        <v>18</v>
      </c>
      <c r="BS125" s="100">
        <f t="shared" ref="BS125:CG125" si="24">SUM(BS111:BS124)</f>
        <v>0.20295594182949997</v>
      </c>
      <c r="BT125" s="100">
        <f t="shared" si="24"/>
        <v>8.5856125829499988E-2</v>
      </c>
      <c r="BU125" s="100">
        <f t="shared" si="24"/>
        <v>0.11709981600000001</v>
      </c>
      <c r="BV125" s="100">
        <f t="shared" si="24"/>
        <v>7.5820204414999995E-2</v>
      </c>
      <c r="BW125" s="100">
        <f t="shared" si="24"/>
        <v>9.0480153971800002E-3</v>
      </c>
      <c r="BX125" s="100">
        <f t="shared" si="24"/>
        <v>3.0953969006889997E-2</v>
      </c>
      <c r="BY125" s="100">
        <f t="shared" si="24"/>
        <v>1.2776271395299999E-3</v>
      </c>
      <c r="BZ125" s="100">
        <f t="shared" si="24"/>
        <v>0</v>
      </c>
      <c r="CA125" s="100">
        <f t="shared" si="24"/>
        <v>0</v>
      </c>
      <c r="CB125" s="100">
        <f t="shared" si="24"/>
        <v>6.6378623999999997E-2</v>
      </c>
      <c r="CC125" s="100">
        <f t="shared" si="24"/>
        <v>1.9470240600000001E-2</v>
      </c>
      <c r="CD125" s="100">
        <f t="shared" si="24"/>
        <v>7.2613295000000001E-6</v>
      </c>
      <c r="CE125" s="100">
        <f t="shared" si="24"/>
        <v>0</v>
      </c>
      <c r="CF125" s="100">
        <f t="shared" si="24"/>
        <v>0</v>
      </c>
      <c r="CG125" s="100">
        <f t="shared" si="24"/>
        <v>0</v>
      </c>
    </row>
    <row r="127" spans="2:85" x14ac:dyDescent="0.25">
      <c r="B127" s="21" t="s">
        <v>3</v>
      </c>
      <c r="C127" s="86">
        <f>SUM(F113:K113)</f>
        <v>0.17359765175929998</v>
      </c>
      <c r="D127" s="8"/>
      <c r="E127" s="8"/>
      <c r="F127" s="8"/>
      <c r="G127" s="8"/>
      <c r="H127" s="8"/>
      <c r="S127" s="21" t="s">
        <v>3</v>
      </c>
      <c r="T127" s="86">
        <f>SUM(W113:AB113)</f>
        <v>0.1373446081811</v>
      </c>
      <c r="U127" s="8"/>
      <c r="V127" s="8"/>
      <c r="W127" s="8"/>
      <c r="X127" s="8"/>
      <c r="Y127" s="8"/>
      <c r="AJ127" s="21" t="s">
        <v>3</v>
      </c>
      <c r="AK127" s="86">
        <f>SUM(AN113:AS113)</f>
        <v>1.89475013947E-2</v>
      </c>
      <c r="AL127" s="8"/>
      <c r="AM127" s="8"/>
      <c r="AN127" s="8"/>
      <c r="AO127" s="8"/>
      <c r="AP127" s="8"/>
      <c r="BA127" s="21" t="s">
        <v>3</v>
      </c>
      <c r="BB127" s="86">
        <f>SUM(BE113:BJ113)</f>
        <v>0</v>
      </c>
      <c r="BC127" s="8"/>
      <c r="BD127" s="8"/>
      <c r="BE127" s="8"/>
      <c r="BF127" s="8"/>
      <c r="BG127" s="8"/>
      <c r="BR127" s="21" t="s">
        <v>3</v>
      </c>
      <c r="BS127" s="86">
        <f>SUM(BV113:CA113)</f>
        <v>6.1050209609999999E-4</v>
      </c>
      <c r="BT127" s="8"/>
      <c r="BU127" s="8"/>
      <c r="BV127" s="8"/>
      <c r="BW127" s="8"/>
      <c r="BX127" s="8"/>
    </row>
    <row r="128" spans="2:85" x14ac:dyDescent="0.25">
      <c r="B128" s="12" t="s">
        <v>38</v>
      </c>
      <c r="C128" s="87">
        <f>SUM(F114:K114)</f>
        <v>3.0488566064000001E-2</v>
      </c>
      <c r="D128" s="8"/>
      <c r="E128" s="8"/>
      <c r="F128" s="8"/>
      <c r="G128" s="8"/>
      <c r="H128" s="8"/>
      <c r="S128" s="12" t="s">
        <v>38</v>
      </c>
      <c r="T128" s="87">
        <f>SUM(W114:AB114)</f>
        <v>3.0503181564000004E-2</v>
      </c>
      <c r="U128" s="8"/>
      <c r="V128" s="8"/>
      <c r="W128" s="8"/>
      <c r="X128" s="8"/>
      <c r="Y128" s="8"/>
      <c r="AJ128" s="12" t="s">
        <v>38</v>
      </c>
      <c r="AK128" s="87">
        <f>SUM(AN114:AS114)</f>
        <v>3.0041679984000001E-2</v>
      </c>
      <c r="AL128" s="8"/>
      <c r="AM128" s="8"/>
      <c r="AN128" s="8"/>
      <c r="AO128" s="8"/>
      <c r="AP128" s="8"/>
      <c r="BA128" s="12" t="s">
        <v>38</v>
      </c>
      <c r="BB128" s="87">
        <f>SUM(BE114:BJ114)</f>
        <v>3.4305533344000008E-2</v>
      </c>
      <c r="BC128" s="8"/>
      <c r="BD128" s="8"/>
      <c r="BE128" s="8"/>
      <c r="BF128" s="8"/>
      <c r="BG128" s="8"/>
      <c r="BR128" s="12" t="s">
        <v>38</v>
      </c>
      <c r="BS128" s="87">
        <f>SUM(BV114:CA114)</f>
        <v>3.0633187964000004E-2</v>
      </c>
      <c r="BT128" s="8"/>
      <c r="BU128" s="8"/>
      <c r="BV128" s="8"/>
      <c r="BW128" s="8"/>
      <c r="BX128" s="8"/>
    </row>
    <row r="129" spans="2:76" x14ac:dyDescent="0.25">
      <c r="B129" s="26" t="s">
        <v>39</v>
      </c>
      <c r="C129" s="88">
        <f>SUM(F115:K119)-C131</f>
        <v>1.1050858881900001E-2</v>
      </c>
      <c r="D129" s="8"/>
      <c r="E129" s="92" t="s">
        <v>374</v>
      </c>
      <c r="F129" s="91"/>
      <c r="G129" s="91"/>
      <c r="H129" s="91"/>
      <c r="S129" s="26" t="s">
        <v>39</v>
      </c>
      <c r="T129" s="88">
        <f>SUM(W115:AB119)-T131</f>
        <v>7.354909804200005E-3</v>
      </c>
      <c r="U129" s="8"/>
      <c r="V129" s="92" t="s">
        <v>374</v>
      </c>
      <c r="W129" s="91"/>
      <c r="X129" s="91"/>
      <c r="Y129" s="91"/>
      <c r="AJ129" s="26" t="s">
        <v>39</v>
      </c>
      <c r="AK129" s="88">
        <f>SUM(AN115:AS119)-AK131</f>
        <v>6.8766571364999984E-3</v>
      </c>
      <c r="AL129" s="8"/>
      <c r="AM129" s="92" t="s">
        <v>374</v>
      </c>
      <c r="AN129" s="91"/>
      <c r="AO129" s="91"/>
      <c r="AP129" s="91"/>
      <c r="BA129" s="26" t="s">
        <v>39</v>
      </c>
      <c r="BB129" s="88">
        <f>SUM(BE115:BJ119)-BB131</f>
        <v>1.3000003851182385E-11</v>
      </c>
      <c r="BC129" s="8"/>
      <c r="BD129" s="92" t="s">
        <v>374</v>
      </c>
      <c r="BE129" s="91"/>
      <c r="BF129" s="91"/>
      <c r="BG129" s="91"/>
      <c r="BR129" s="26" t="s">
        <v>39</v>
      </c>
      <c r="BS129" s="88">
        <f>SUM(BV115:CA119)-BS131</f>
        <v>2.438652889849998E-2</v>
      </c>
      <c r="BT129" s="8"/>
      <c r="BU129" s="92" t="s">
        <v>374</v>
      </c>
      <c r="BV129" s="91"/>
      <c r="BW129" s="91"/>
      <c r="BX129" s="91"/>
    </row>
    <row r="130" spans="2:76" x14ac:dyDescent="0.25">
      <c r="B130" s="10" t="s">
        <v>40</v>
      </c>
      <c r="C130" s="89">
        <f>SUM(F112:K112)</f>
        <v>0</v>
      </c>
      <c r="D130" s="8"/>
      <c r="E130" s="8"/>
      <c r="F130" s="8"/>
      <c r="G130" s="8"/>
      <c r="H130" s="8"/>
      <c r="S130" s="10" t="s">
        <v>40</v>
      </c>
      <c r="T130" s="89">
        <f>SUM(W112:AB112)</f>
        <v>0</v>
      </c>
      <c r="U130" s="8"/>
      <c r="V130" s="8"/>
      <c r="W130" s="8"/>
      <c r="X130" s="8"/>
      <c r="Y130" s="8"/>
      <c r="AJ130" s="10" t="s">
        <v>40</v>
      </c>
      <c r="AK130" s="89">
        <f>SUM(AN112:AS112)</f>
        <v>0</v>
      </c>
      <c r="AL130" s="8"/>
      <c r="AM130" s="8"/>
      <c r="AN130" s="8"/>
      <c r="AO130" s="8"/>
      <c r="AP130" s="8"/>
      <c r="BA130" s="10" t="s">
        <v>40</v>
      </c>
      <c r="BB130" s="89">
        <f>SUM(BE112:BJ112)</f>
        <v>0</v>
      </c>
      <c r="BC130" s="8"/>
      <c r="BD130" s="8"/>
      <c r="BE130" s="8"/>
      <c r="BF130" s="8"/>
      <c r="BG130" s="8"/>
      <c r="BR130" s="10" t="s">
        <v>40</v>
      </c>
      <c r="BS130" s="89">
        <f>SUM(BV112:CA112)</f>
        <v>0</v>
      </c>
      <c r="BT130" s="8"/>
      <c r="BU130" s="8"/>
      <c r="BV130" s="8"/>
      <c r="BW130" s="8"/>
      <c r="BX130" s="8"/>
    </row>
    <row r="131" spans="2:76" x14ac:dyDescent="0.25">
      <c r="B131" s="20" t="s">
        <v>41</v>
      </c>
      <c r="C131" s="90">
        <f>SUM(L113:P113)</f>
        <v>3.39587311E-2</v>
      </c>
      <c r="D131" s="84"/>
      <c r="E131" s="84"/>
      <c r="F131" s="84"/>
      <c r="G131" s="84"/>
      <c r="H131" s="84"/>
      <c r="S131" s="20" t="s">
        <v>41</v>
      </c>
      <c r="T131" s="90">
        <f>SUM(AC113:AG113)</f>
        <v>2.4683623699999997E-2</v>
      </c>
      <c r="U131" s="84"/>
      <c r="V131" s="84"/>
      <c r="W131" s="84"/>
      <c r="X131" s="84"/>
      <c r="Y131" s="84"/>
      <c r="AJ131" s="20" t="s">
        <v>41</v>
      </c>
      <c r="AK131" s="90">
        <f>SUM(AT113:AX113)</f>
        <v>1.4729376399999999E-2</v>
      </c>
      <c r="AL131" s="84"/>
      <c r="AM131" s="84"/>
      <c r="AN131" s="84"/>
      <c r="AO131" s="84"/>
      <c r="AP131" s="84"/>
      <c r="BA131" s="20" t="s">
        <v>41</v>
      </c>
      <c r="BB131" s="90">
        <f>SUM(BK113:BO113)</f>
        <v>2.8366061099999999E-2</v>
      </c>
      <c r="BC131" s="84"/>
      <c r="BD131" s="84"/>
      <c r="BE131" s="84"/>
      <c r="BF131" s="84"/>
      <c r="BG131" s="84"/>
      <c r="BR131" s="20" t="s">
        <v>41</v>
      </c>
      <c r="BS131" s="90">
        <f>SUM(CB113:CF113)</f>
        <v>6.1469597000000008E-2</v>
      </c>
      <c r="BT131" s="84"/>
      <c r="BU131" s="84"/>
      <c r="BV131" s="84"/>
      <c r="BW131" s="84"/>
      <c r="BX131" s="84"/>
    </row>
  </sheetData>
  <customSheetViews>
    <customSheetView guid="{FE9E7DEF-61E7-497F-AA37-E5D7A2E31674}" scale="60" topLeftCell="BN91">
      <selection activeCell="CY141" sqref="CY141"/>
    </customSheetView>
  </customSheetView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A6:U164"/>
  <sheetViews>
    <sheetView zoomScale="60" zoomScaleNormal="60" workbookViewId="0">
      <selection activeCell="G109" sqref="G109"/>
    </sheetView>
  </sheetViews>
  <sheetFormatPr defaultRowHeight="15" x14ac:dyDescent="0.25"/>
  <cols>
    <col min="1" max="1" width="32" customWidth="1"/>
    <col min="2" max="2" width="22.7109375" customWidth="1"/>
    <col min="3" max="3" width="22.5703125" customWidth="1"/>
    <col min="4" max="7" width="22.7109375" customWidth="1"/>
    <col min="8" max="8" width="29.5703125" customWidth="1"/>
    <col min="9" max="13" width="22.7109375" customWidth="1"/>
    <col min="14" max="14" width="25.28515625" customWidth="1"/>
    <col min="15" max="15" width="22" customWidth="1"/>
    <col min="16" max="20" width="22.7109375" customWidth="1"/>
    <col min="21" max="21" width="22" customWidth="1"/>
  </cols>
  <sheetData>
    <row r="6" spans="1:21" ht="21" x14ac:dyDescent="0.35">
      <c r="A6" s="5" t="s">
        <v>31</v>
      </c>
      <c r="H6" s="5" t="s">
        <v>32</v>
      </c>
      <c r="O6" s="5" t="s">
        <v>33</v>
      </c>
    </row>
    <row r="7" spans="1:21" x14ac:dyDescent="0.25">
      <c r="A7" s="4">
        <v>2010</v>
      </c>
      <c r="H7" s="4">
        <v>2010</v>
      </c>
      <c r="O7" s="4">
        <v>2010</v>
      </c>
    </row>
    <row r="8" spans="1:21" ht="30" customHeight="1" x14ac:dyDescent="0.25">
      <c r="B8" s="9" t="str">
        <f>Cost_Flow!B6</f>
        <v>ReferentieUtrecht</v>
      </c>
      <c r="C8" s="9" t="str">
        <f>Cost_Flow!S6</f>
        <v>Utrecht_Label B</v>
      </c>
      <c r="D8" s="9" t="str">
        <f>Cost_Flow!AJ6</f>
        <v>Utrecht_Label Aplus</v>
      </c>
      <c r="E8" s="9" t="str">
        <f>Cost_Flow!BA6</f>
        <v>Utrecht_Label Aplus, met eWP</v>
      </c>
      <c r="F8" s="9" t="str">
        <f>Cost_Flow!BR6</f>
        <v>Utrecht_Label B_Warmtenetten</v>
      </c>
      <c r="G8" s="9"/>
      <c r="H8" s="9"/>
      <c r="I8" s="9" t="str">
        <f>B8</f>
        <v>ReferentieUtrecht</v>
      </c>
      <c r="J8" s="9" t="str">
        <f>C8</f>
        <v>Utrecht_Label B</v>
      </c>
      <c r="K8" s="9" t="str">
        <f>D8</f>
        <v>Utrecht_Label Aplus</v>
      </c>
      <c r="L8" s="9" t="str">
        <f>E8</f>
        <v>Utrecht_Label Aplus, met eWP</v>
      </c>
      <c r="M8" s="9" t="str">
        <f>F8</f>
        <v>Utrecht_Label B_Warmtenetten</v>
      </c>
      <c r="N8" s="9"/>
      <c r="O8" s="9"/>
      <c r="P8" s="9" t="str">
        <f>I8</f>
        <v>ReferentieUtrecht</v>
      </c>
      <c r="Q8" s="9" t="str">
        <f>J8</f>
        <v>Utrecht_Label B</v>
      </c>
      <c r="R8" s="9" t="str">
        <f>K8</f>
        <v>Utrecht_Label Aplus</v>
      </c>
      <c r="S8" s="9" t="str">
        <f>L8</f>
        <v>Utrecht_Label Aplus, met eWP</v>
      </c>
      <c r="T8" s="9" t="str">
        <f>M8</f>
        <v>Utrecht_Label B_Warmtenetten</v>
      </c>
      <c r="U8" s="9"/>
    </row>
    <row r="9" spans="1:21" x14ac:dyDescent="0.25">
      <c r="A9" s="11" t="s">
        <v>375</v>
      </c>
      <c r="B9" s="16">
        <f>Cost_Flow!$C27</f>
        <v>225.46842604699981</v>
      </c>
      <c r="C9" s="16">
        <f>Cost_Flow!$T27</f>
        <v>225.46842604699981</v>
      </c>
      <c r="D9" s="16">
        <f>Cost_Flow!$AK27</f>
        <v>225.46842604699981</v>
      </c>
      <c r="E9" s="16">
        <f>Cost_Flow!$BB27</f>
        <v>225.46842604699981</v>
      </c>
      <c r="F9" s="16">
        <f>Cost_Flow!$BS27</f>
        <v>225.46842604699981</v>
      </c>
      <c r="H9" s="21" t="s">
        <v>3</v>
      </c>
      <c r="I9" s="23">
        <f>Energy_Flow!$C27</f>
        <v>4.7156557600000006</v>
      </c>
      <c r="J9" s="23">
        <f>Energy_Flow!$T27</f>
        <v>4.7156557600000006</v>
      </c>
      <c r="K9" s="23">
        <f>Energy_Flow!$AK27</f>
        <v>4.7156557600000006</v>
      </c>
      <c r="L9" s="23">
        <f>Energy_Flow!$BB27</f>
        <v>4.7156557600000006</v>
      </c>
      <c r="M9" s="23">
        <f>Energy_Flow!$BS27</f>
        <v>4.7156557600000006</v>
      </c>
      <c r="O9" s="21" t="s">
        <v>3</v>
      </c>
      <c r="P9" s="86">
        <f>CO2_Flow!$C27</f>
        <v>0.23868816780000002</v>
      </c>
      <c r="Q9" s="86">
        <f>CO2_Flow!$T27</f>
        <v>0.23868816780000002</v>
      </c>
      <c r="R9" s="86">
        <f>CO2_Flow!$AK27</f>
        <v>0.23868816780000002</v>
      </c>
      <c r="S9" s="86">
        <f>CO2_Flow!$BB27</f>
        <v>0.23868816780000002</v>
      </c>
      <c r="T9" s="86">
        <f>CO2_Flow!$BS27</f>
        <v>0.23868816780000002</v>
      </c>
    </row>
    <row r="10" spans="1:21" x14ac:dyDescent="0.25">
      <c r="A10" s="17" t="s">
        <v>36</v>
      </c>
      <c r="B10" s="18">
        <f>Cost_Flow!$C28</f>
        <v>130.07956248000002</v>
      </c>
      <c r="C10" s="18">
        <f>Cost_Flow!$T28</f>
        <v>130.07956248000002</v>
      </c>
      <c r="D10" s="18">
        <f>Cost_Flow!$AK28</f>
        <v>130.07956248000002</v>
      </c>
      <c r="E10" s="18">
        <f>Cost_Flow!$BB28</f>
        <v>130.07956248000002</v>
      </c>
      <c r="F10" s="18">
        <f>Cost_Flow!$BS28</f>
        <v>130.07956248000002</v>
      </c>
      <c r="H10" s="12" t="s">
        <v>38</v>
      </c>
      <c r="I10" s="25">
        <f>Energy_Flow!$C28</f>
        <v>2.7905743200000002</v>
      </c>
      <c r="J10" s="25">
        <f>Energy_Flow!$T28</f>
        <v>2.7905743200000002</v>
      </c>
      <c r="K10" s="25">
        <f>Energy_Flow!$AK28</f>
        <v>2.7905743200000002</v>
      </c>
      <c r="L10" s="25">
        <f>Energy_Flow!$BB28</f>
        <v>2.7905743200000002</v>
      </c>
      <c r="M10" s="25">
        <f>Energy_Flow!$BS28</f>
        <v>2.7905743200000002</v>
      </c>
      <c r="O10" s="12" t="s">
        <v>38</v>
      </c>
      <c r="P10" s="87">
        <f>CO2_Flow!$C28</f>
        <v>0.35192242800000001</v>
      </c>
      <c r="Q10" s="87">
        <f>CO2_Flow!$T28</f>
        <v>0.35192242800000001</v>
      </c>
      <c r="R10" s="87">
        <f>CO2_Flow!$AK28</f>
        <v>0.35192242800000001</v>
      </c>
      <c r="S10" s="87">
        <f>CO2_Flow!$BB28</f>
        <v>0.35192242800000001</v>
      </c>
      <c r="T10" s="87">
        <f>CO2_Flow!$BS28</f>
        <v>0.35192242800000001</v>
      </c>
    </row>
    <row r="11" spans="1:21" x14ac:dyDescent="0.25">
      <c r="A11" s="20" t="s">
        <v>35</v>
      </c>
      <c r="B11" s="19">
        <f>Cost_Flow!$C29</f>
        <v>-1.86205252</v>
      </c>
      <c r="C11" s="19">
        <f>Cost_Flow!$T29</f>
        <v>-1.86205252</v>
      </c>
      <c r="D11" s="19">
        <f>Cost_Flow!$AK29</f>
        <v>-1.86205252</v>
      </c>
      <c r="E11" s="19">
        <f>Cost_Flow!$BB29</f>
        <v>-1.86205252</v>
      </c>
      <c r="F11" s="19">
        <f>Cost_Flow!$BS29</f>
        <v>-1.86205252</v>
      </c>
      <c r="H11" s="26" t="s">
        <v>39</v>
      </c>
      <c r="I11" s="15">
        <f>Energy_Flow!$C29</f>
        <v>2.1022093150000001</v>
      </c>
      <c r="J11" s="15">
        <f>Energy_Flow!$T29</f>
        <v>2.1022093150000001</v>
      </c>
      <c r="K11" s="15">
        <f>Energy_Flow!$AK29</f>
        <v>2.1022093150000001</v>
      </c>
      <c r="L11" s="15">
        <f>Energy_Flow!$BB29</f>
        <v>2.1022093150000001</v>
      </c>
      <c r="M11" s="15">
        <f>Energy_Flow!$BS29</f>
        <v>2.1022093150000001</v>
      </c>
      <c r="O11" s="26" t="s">
        <v>39</v>
      </c>
      <c r="P11" s="88">
        <f>CO2_Flow!$C29</f>
        <v>1.000000013351432E-10</v>
      </c>
      <c r="Q11" s="88">
        <f>CO2_Flow!$T29</f>
        <v>1.000000013351432E-10</v>
      </c>
      <c r="R11" s="88">
        <f>CO2_Flow!$AK29</f>
        <v>1.000000013351432E-10</v>
      </c>
      <c r="S11" s="88">
        <f>CO2_Flow!$BB29</f>
        <v>1.000000013351432E-10</v>
      </c>
      <c r="T11" s="88">
        <f>CO2_Flow!$BS29</f>
        <v>1.000000013351432E-10</v>
      </c>
    </row>
    <row r="12" spans="1:21" x14ac:dyDescent="0.25">
      <c r="A12" s="21" t="s">
        <v>37</v>
      </c>
      <c r="B12" s="23">
        <f>Cost_Flow!$C30</f>
        <v>-1.1101365089999999E-13</v>
      </c>
      <c r="C12" s="23">
        <f>Cost_Flow!$T30</f>
        <v>-1.1101365089999999E-13</v>
      </c>
      <c r="D12" s="23">
        <f>Cost_Flow!$AK30</f>
        <v>-1.1101365089999999E-13</v>
      </c>
      <c r="E12" s="23">
        <f>Cost_Flow!$BB30</f>
        <v>-1.1101365089999999E-13</v>
      </c>
      <c r="F12" s="23">
        <f>Cost_Flow!$BS30</f>
        <v>-1.1101365089999999E-13</v>
      </c>
      <c r="H12" s="10" t="s">
        <v>40</v>
      </c>
      <c r="I12" s="10">
        <f>Energy_Flow!$C30</f>
        <v>0</v>
      </c>
      <c r="J12" s="27">
        <f>Energy_Flow!$T30</f>
        <v>0</v>
      </c>
      <c r="K12" s="27">
        <f>Energy_Flow!$AK30</f>
        <v>0</v>
      </c>
      <c r="L12" s="27">
        <f>Energy_Flow!$BB30</f>
        <v>0</v>
      </c>
      <c r="M12" s="27">
        <f>Energy_Flow!$BS30</f>
        <v>0</v>
      </c>
      <c r="O12" s="10" t="s">
        <v>40</v>
      </c>
      <c r="P12" s="89">
        <f>CO2_Flow!$C30</f>
        <v>0</v>
      </c>
      <c r="Q12" s="89">
        <f>CO2_Flow!$T30</f>
        <v>0</v>
      </c>
      <c r="R12" s="89">
        <f>CO2_Flow!$AK30</f>
        <v>0</v>
      </c>
      <c r="S12" s="89">
        <f>CO2_Flow!$BB30</f>
        <v>0</v>
      </c>
      <c r="T12" s="89">
        <f>CO2_Flow!$BS30</f>
        <v>0</v>
      </c>
    </row>
    <row r="13" spans="1:21" x14ac:dyDescent="0.25">
      <c r="A13" s="7"/>
      <c r="B13" s="24"/>
      <c r="C13" s="24"/>
      <c r="D13" s="24"/>
      <c r="E13" s="24"/>
      <c r="F13" s="24"/>
      <c r="H13" s="20" t="s">
        <v>41</v>
      </c>
      <c r="I13" s="19">
        <f>Energy_Flow!$C31</f>
        <v>0.56816467900000001</v>
      </c>
      <c r="J13" s="19">
        <f>Energy_Flow!$T31</f>
        <v>0.56816467900000001</v>
      </c>
      <c r="K13" s="19">
        <f>Energy_Flow!$AK31</f>
        <v>0.56816467900000001</v>
      </c>
      <c r="L13" s="19">
        <f>Energy_Flow!$BB31</f>
        <v>0.56816467900000001</v>
      </c>
      <c r="M13" s="19">
        <f>Energy_Flow!$BS31</f>
        <v>0.56816467900000001</v>
      </c>
      <c r="O13" s="20" t="s">
        <v>41</v>
      </c>
      <c r="P13" s="90">
        <f>CO2_Flow!$C31</f>
        <v>2.8758288E-2</v>
      </c>
      <c r="Q13" s="90">
        <f>CO2_Flow!$T31</f>
        <v>2.8758288E-2</v>
      </c>
      <c r="R13" s="90">
        <f>CO2_Flow!$AK31</f>
        <v>2.8758288E-2</v>
      </c>
      <c r="S13" s="90">
        <f>CO2_Flow!$BB31</f>
        <v>2.8758288E-2</v>
      </c>
      <c r="T13" s="90">
        <f>CO2_Flow!$BS31</f>
        <v>2.8758288E-2</v>
      </c>
    </row>
    <row r="14" spans="1:21" x14ac:dyDescent="0.25">
      <c r="A14" s="28" t="s">
        <v>43</v>
      </c>
      <c r="B14" s="32">
        <f>SUM(B9:B12)</f>
        <v>353.68593600699967</v>
      </c>
      <c r="C14" s="32">
        <f>SUM(C9:C12)</f>
        <v>353.68593600699967</v>
      </c>
      <c r="D14" s="32">
        <f>SUM(D9:D12)</f>
        <v>353.68593600699967</v>
      </c>
      <c r="E14" s="32">
        <f>SUM(E9:E12)</f>
        <v>353.68593600699967</v>
      </c>
      <c r="F14" s="32">
        <f>SUM(F9:F12)</f>
        <v>353.68593600699967</v>
      </c>
      <c r="G14" s="7"/>
      <c r="H14" s="28" t="s">
        <v>43</v>
      </c>
      <c r="I14" s="32">
        <f>SUM(I9:I12)</f>
        <v>9.6084393950000013</v>
      </c>
      <c r="J14" s="32">
        <f>SUM(J9:J12)</f>
        <v>9.6084393950000013</v>
      </c>
      <c r="K14" s="32">
        <f>SUM(K9:K12)</f>
        <v>9.6084393950000013</v>
      </c>
      <c r="L14" s="32">
        <f>SUM(L9:L12)</f>
        <v>9.6084393950000013</v>
      </c>
      <c r="M14" s="32">
        <f>SUM(M9:M12)</f>
        <v>9.6084393950000013</v>
      </c>
      <c r="N14" s="7"/>
      <c r="O14" s="28" t="s">
        <v>43</v>
      </c>
      <c r="P14" s="111">
        <f>SUM(P9:P12)</f>
        <v>0.59061059590000009</v>
      </c>
      <c r="Q14" s="111">
        <f>SUM(Q9:Q12)</f>
        <v>0.59061059590000009</v>
      </c>
      <c r="R14" s="111">
        <f>SUM(R9:R12)</f>
        <v>0.59061059590000009</v>
      </c>
      <c r="S14" s="111">
        <f>SUM(S9:S12)</f>
        <v>0.59061059590000009</v>
      </c>
      <c r="T14" s="111">
        <f>SUM(T9:T12)</f>
        <v>0.59061059590000009</v>
      </c>
    </row>
    <row r="15" spans="1:21" ht="21" x14ac:dyDescent="0.35">
      <c r="A15" s="5" t="s">
        <v>31</v>
      </c>
      <c r="H15" s="5" t="s">
        <v>32</v>
      </c>
      <c r="O15" s="5" t="s">
        <v>33</v>
      </c>
    </row>
    <row r="16" spans="1:21" x14ac:dyDescent="0.25">
      <c r="A16" s="4">
        <v>2020</v>
      </c>
      <c r="H16" s="4">
        <v>2020</v>
      </c>
      <c r="O16" s="4">
        <v>2020</v>
      </c>
    </row>
    <row r="17" spans="1:20" x14ac:dyDescent="0.25">
      <c r="B17" s="9" t="str">
        <f>B8</f>
        <v>ReferentieUtrecht</v>
      </c>
      <c r="C17" s="9" t="str">
        <f>C8</f>
        <v>Utrecht_Label B</v>
      </c>
      <c r="D17" s="9" t="str">
        <f>D8</f>
        <v>Utrecht_Label Aplus</v>
      </c>
      <c r="E17" s="9" t="str">
        <f>E8</f>
        <v>Utrecht_Label Aplus, met eWP</v>
      </c>
      <c r="F17" s="9" t="str">
        <f>F8</f>
        <v>Utrecht_Label B_Warmtenetten</v>
      </c>
      <c r="G17" s="9"/>
      <c r="H17" s="9"/>
      <c r="I17" s="9" t="str">
        <f>B17</f>
        <v>ReferentieUtrecht</v>
      </c>
      <c r="J17" s="9" t="str">
        <f>C17</f>
        <v>Utrecht_Label B</v>
      </c>
      <c r="K17" s="9" t="str">
        <f>D17</f>
        <v>Utrecht_Label Aplus</v>
      </c>
      <c r="L17" s="9" t="str">
        <f>E17</f>
        <v>Utrecht_Label Aplus, met eWP</v>
      </c>
      <c r="M17" s="9" t="str">
        <f>F17</f>
        <v>Utrecht_Label B_Warmtenetten</v>
      </c>
      <c r="N17" s="9"/>
      <c r="O17" s="9"/>
      <c r="P17" s="9" t="str">
        <f>I17</f>
        <v>ReferentieUtrecht</v>
      </c>
      <c r="Q17" s="9" t="str">
        <f>J17</f>
        <v>Utrecht_Label B</v>
      </c>
      <c r="R17" s="9" t="str">
        <f>K17</f>
        <v>Utrecht_Label Aplus</v>
      </c>
      <c r="S17" s="9" t="str">
        <f>L17</f>
        <v>Utrecht_Label Aplus, met eWP</v>
      </c>
      <c r="T17" s="9" t="str">
        <f>M17</f>
        <v>Utrecht_Label B_Warmtenetten</v>
      </c>
    </row>
    <row r="18" spans="1:20" x14ac:dyDescent="0.25">
      <c r="A18" s="11" t="s">
        <v>375</v>
      </c>
      <c r="B18" s="16">
        <f>Cost_Flow!$C52</f>
        <v>237.429436147177</v>
      </c>
      <c r="C18" s="16">
        <f>Cost_Flow!$T52</f>
        <v>285.08329851240001</v>
      </c>
      <c r="D18" s="16">
        <f>Cost_Flow!$AK52</f>
        <v>351.45807096469997</v>
      </c>
      <c r="E18" s="16">
        <f>Cost_Flow!$BB52</f>
        <v>420.83152673730001</v>
      </c>
      <c r="F18" s="16">
        <f>Cost_Flow!$BS52</f>
        <v>386.47179046499599</v>
      </c>
      <c r="H18" s="21" t="s">
        <v>3</v>
      </c>
      <c r="I18" s="23">
        <f>Energy_Flow!$C52</f>
        <v>4.1664536282500002</v>
      </c>
      <c r="J18" s="23">
        <f>Energy_Flow!$T52</f>
        <v>3.20415590068</v>
      </c>
      <c r="K18" s="23">
        <f>Energy_Flow!$AK52</f>
        <v>0.61783648564999993</v>
      </c>
      <c r="L18" s="23">
        <f>Energy_Flow!$BB52</f>
        <v>0</v>
      </c>
      <c r="M18" s="23">
        <f>Energy_Flow!$BS52</f>
        <v>1.2889478188E-2</v>
      </c>
      <c r="O18" s="21" t="s">
        <v>3</v>
      </c>
      <c r="P18" s="86">
        <f>CO2_Flow!$C52</f>
        <v>0.21088969023160001</v>
      </c>
      <c r="Q18" s="86">
        <f>CO2_Flow!$T52</f>
        <v>0.16218191972259999</v>
      </c>
      <c r="R18" s="86">
        <f>CO2_Flow!$AK52</f>
        <v>3.1272481846599996E-2</v>
      </c>
      <c r="S18" s="86">
        <f>CO2_Flow!$BB52</f>
        <v>0</v>
      </c>
      <c r="T18" s="86">
        <f>CO2_Flow!$BS52</f>
        <v>6.5241529620000001E-4</v>
      </c>
    </row>
    <row r="19" spans="1:20" x14ac:dyDescent="0.25">
      <c r="A19" s="17" t="s">
        <v>36</v>
      </c>
      <c r="B19" s="18">
        <f>Cost_Flow!$C53</f>
        <v>139.33623379399998</v>
      </c>
      <c r="C19" s="18">
        <f>Cost_Flow!$T53</f>
        <v>134.16794823199999</v>
      </c>
      <c r="D19" s="18">
        <f>Cost_Flow!$AK53</f>
        <v>138.684215335</v>
      </c>
      <c r="E19" s="18">
        <f>Cost_Flow!$BB53</f>
        <v>135.19820580300001</v>
      </c>
      <c r="F19" s="18">
        <f>Cost_Flow!$BS53</f>
        <v>161.10554668451002</v>
      </c>
      <c r="H19" s="12" t="s">
        <v>38</v>
      </c>
      <c r="I19" s="25">
        <f>Energy_Flow!$C53</f>
        <v>3.1339467169999993</v>
      </c>
      <c r="J19" s="25">
        <f>Energy_Flow!$T53</f>
        <v>3.1334118430999998</v>
      </c>
      <c r="K19" s="25">
        <f>Energy_Flow!$AK53</f>
        <v>3.6672349037999994</v>
      </c>
      <c r="L19" s="25">
        <f>Energy_Flow!$BB53</f>
        <v>3.4635956141999995</v>
      </c>
      <c r="M19" s="25">
        <f>Energy_Flow!$BS53</f>
        <v>3.0640865184839994</v>
      </c>
      <c r="O19" s="12" t="s">
        <v>38</v>
      </c>
      <c r="P19" s="87">
        <f>CO2_Flow!$C53</f>
        <v>0.17446896364</v>
      </c>
      <c r="Q19" s="87">
        <f>CO2_Flow!$T53</f>
        <v>0.17446815754</v>
      </c>
      <c r="R19" s="87">
        <f>CO2_Flow!$AK53</f>
        <v>0.17243382884</v>
      </c>
      <c r="S19" s="87">
        <f>CO2_Flow!$BB53</f>
        <v>0.19819463806999998</v>
      </c>
      <c r="T19" s="87">
        <f>CO2_Flow!$BS53</f>
        <v>0.17528991211</v>
      </c>
    </row>
    <row r="20" spans="1:20" x14ac:dyDescent="0.25">
      <c r="A20" s="20" t="s">
        <v>35</v>
      </c>
      <c r="B20" s="19">
        <f>Cost_Flow!$C54</f>
        <v>3.910864482</v>
      </c>
      <c r="C20" s="19">
        <f>Cost_Flow!$T54</f>
        <v>-0.1162669799999998</v>
      </c>
      <c r="D20" s="19">
        <f>Cost_Flow!$AK54</f>
        <v>-13.8239804</v>
      </c>
      <c r="E20" s="19">
        <f>Cost_Flow!$BB54</f>
        <v>-0.142641923</v>
      </c>
      <c r="F20" s="19">
        <f>Cost_Flow!$BS54</f>
        <v>139.90209647399999</v>
      </c>
      <c r="H20" s="26" t="s">
        <v>39</v>
      </c>
      <c r="I20" s="15">
        <f>Energy_Flow!$C54</f>
        <v>2.4812601560000007</v>
      </c>
      <c r="J20" s="15">
        <f>Energy_Flow!$T54</f>
        <v>1.8742192575000001</v>
      </c>
      <c r="K20" s="15">
        <f>Energy_Flow!$AK54</f>
        <v>2.7377011423000002</v>
      </c>
      <c r="L20" s="15">
        <f>Energy_Flow!$BB54</f>
        <v>2.2809532722000001</v>
      </c>
      <c r="M20" s="15">
        <f>Energy_Flow!$BS54</f>
        <v>4.8283664292759996</v>
      </c>
      <c r="O20" s="26" t="s">
        <v>39</v>
      </c>
      <c r="P20" s="88">
        <f>CO2_Flow!$C54</f>
        <v>4.8624320959999995E-3</v>
      </c>
      <c r="Q20" s="88">
        <f>CO2_Flow!$T54</f>
        <v>4.8326311140000043E-3</v>
      </c>
      <c r="R20" s="88">
        <f>CO2_Flow!$AK54</f>
        <v>3.7413501844999988E-2</v>
      </c>
      <c r="S20" s="88">
        <f>CO2_Flow!$BB54</f>
        <v>1.4000002546143975E-11</v>
      </c>
      <c r="T20" s="88">
        <f>CO2_Flow!$BS54</f>
        <v>2.6248465519370018E-2</v>
      </c>
    </row>
    <row r="21" spans="1:20" x14ac:dyDescent="0.25">
      <c r="A21" s="21" t="s">
        <v>37</v>
      </c>
      <c r="B21" s="23">
        <f>Cost_Flow!$C55</f>
        <v>1.3935028179999998</v>
      </c>
      <c r="C21" s="23">
        <f>Cost_Flow!$T55</f>
        <v>22.051585112800002</v>
      </c>
      <c r="D21" s="23">
        <f>Cost_Flow!$AK55</f>
        <v>53.111509848799997</v>
      </c>
      <c r="E21" s="23">
        <f>Cost_Flow!$BB55</f>
        <v>40.096309112</v>
      </c>
      <c r="F21" s="23">
        <f>Cost_Flow!$BS55</f>
        <v>41.241124097569994</v>
      </c>
      <c r="H21" s="10" t="s">
        <v>40</v>
      </c>
      <c r="I21" s="10">
        <f>Energy_Flow!$C55</f>
        <v>0</v>
      </c>
      <c r="J21" s="27">
        <f>Energy_Flow!$T55</f>
        <v>0</v>
      </c>
      <c r="K21" s="27">
        <f>Energy_Flow!$AK55</f>
        <v>0</v>
      </c>
      <c r="L21" s="27">
        <f>Energy_Flow!$BB55</f>
        <v>0</v>
      </c>
      <c r="M21" s="27">
        <f>Energy_Flow!$BS55</f>
        <v>0</v>
      </c>
      <c r="O21" s="10" t="s">
        <v>40</v>
      </c>
      <c r="P21" s="89">
        <f>CO2_Flow!$C55</f>
        <v>0</v>
      </c>
      <c r="Q21" s="89">
        <f>CO2_Flow!$T55</f>
        <v>0</v>
      </c>
      <c r="R21" s="89">
        <f>CO2_Flow!$AK55</f>
        <v>0</v>
      </c>
      <c r="S21" s="89">
        <f>CO2_Flow!$BB55</f>
        <v>0</v>
      </c>
      <c r="T21" s="89">
        <f>CO2_Flow!$BS55</f>
        <v>0</v>
      </c>
    </row>
    <row r="22" spans="1:20" s="7" customFormat="1" x14ac:dyDescent="0.25">
      <c r="B22" s="24"/>
      <c r="C22" s="24"/>
      <c r="D22" s="24"/>
      <c r="E22" s="24"/>
      <c r="F22" s="24"/>
      <c r="H22" s="20" t="s">
        <v>41</v>
      </c>
      <c r="I22" s="19">
        <f>Energy_Flow!$C56</f>
        <v>0.61148895199999997</v>
      </c>
      <c r="J22" s="19">
        <f>Energy_Flow!$T56</f>
        <v>0.44779173500000002</v>
      </c>
      <c r="K22" s="19">
        <f>Energy_Flow!$AK56</f>
        <v>0.31037408300000002</v>
      </c>
      <c r="L22" s="19">
        <f>Energy_Flow!$BB56</f>
        <v>0.61647385799999999</v>
      </c>
      <c r="M22" s="19">
        <f>Energy_Flow!$BS56</f>
        <v>1.304429166</v>
      </c>
      <c r="O22" s="20" t="s">
        <v>41</v>
      </c>
      <c r="P22" s="90">
        <f>CO2_Flow!$C56</f>
        <v>3.09511944E-2</v>
      </c>
      <c r="Q22" s="90">
        <f>CO2_Flow!$T56</f>
        <v>2.2665477400000002E-2</v>
      </c>
      <c r="R22" s="90">
        <f>CO2_Flow!$AK56</f>
        <v>1.5709929899999999E-2</v>
      </c>
      <c r="S22" s="90">
        <f>CO2_Flow!$BB56</f>
        <v>3.1203510900000002E-2</v>
      </c>
      <c r="T22" s="90">
        <f>CO2_Flow!$BS56</f>
        <v>6.6025135099999993E-2</v>
      </c>
    </row>
    <row r="23" spans="1:20" s="7" customFormat="1" x14ac:dyDescent="0.25">
      <c r="A23" s="28" t="s">
        <v>43</v>
      </c>
      <c r="B23" s="32">
        <f>SUM(B18:B21)</f>
        <v>382.07003724117698</v>
      </c>
      <c r="C23" s="32">
        <f>SUM(C18:C21)</f>
        <v>441.1865648772</v>
      </c>
      <c r="D23" s="32">
        <f>SUM(D18:D21)</f>
        <v>529.4298157485</v>
      </c>
      <c r="E23" s="32">
        <f>SUM(E18:E21)</f>
        <v>595.9833997293</v>
      </c>
      <c r="F23" s="32">
        <f>SUM(F18:F21)</f>
        <v>728.72055772107603</v>
      </c>
      <c r="H23" s="28" t="s">
        <v>43</v>
      </c>
      <c r="I23" s="32">
        <f>SUM(I18:I21)</f>
        <v>9.7816605012500002</v>
      </c>
      <c r="J23" s="32">
        <f>SUM(J18:J21)</f>
        <v>8.2117870012799994</v>
      </c>
      <c r="K23" s="32">
        <f>SUM(K18:K21)</f>
        <v>7.0227725317500003</v>
      </c>
      <c r="L23" s="32">
        <f>SUM(L18:L21)</f>
        <v>5.7445488863999996</v>
      </c>
      <c r="M23" s="32">
        <f>SUM(M18:M21)</f>
        <v>7.9053424259479987</v>
      </c>
      <c r="O23" s="28" t="s">
        <v>43</v>
      </c>
      <c r="P23" s="111">
        <f>SUM(P18:P21)</f>
        <v>0.39022108596760002</v>
      </c>
      <c r="Q23" s="111">
        <f>SUM(Q18:Q21)</f>
        <v>0.3414827083766</v>
      </c>
      <c r="R23" s="111">
        <f>SUM(R18:R21)</f>
        <v>0.24111981253159998</v>
      </c>
      <c r="S23" s="111">
        <f>SUM(S18:S21)</f>
        <v>0.19819463808399998</v>
      </c>
      <c r="T23" s="111">
        <f>SUM(T18:T21)</f>
        <v>0.20219079292557002</v>
      </c>
    </row>
    <row r="24" spans="1:20" ht="21" x14ac:dyDescent="0.35">
      <c r="A24" s="5" t="s">
        <v>31</v>
      </c>
      <c r="H24" s="5" t="s">
        <v>32</v>
      </c>
      <c r="O24" s="5" t="s">
        <v>33</v>
      </c>
    </row>
    <row r="25" spans="1:20" x14ac:dyDescent="0.25">
      <c r="A25" s="4">
        <v>2030</v>
      </c>
      <c r="H25" s="4">
        <v>2030</v>
      </c>
      <c r="O25" s="4">
        <v>2030</v>
      </c>
    </row>
    <row r="26" spans="1:20" x14ac:dyDescent="0.25">
      <c r="B26" s="9" t="str">
        <f>B17</f>
        <v>ReferentieUtrecht</v>
      </c>
      <c r="C26" s="9" t="str">
        <f>C17</f>
        <v>Utrecht_Label B</v>
      </c>
      <c r="D26" s="9" t="str">
        <f>D17</f>
        <v>Utrecht_Label Aplus</v>
      </c>
      <c r="E26" s="9" t="str">
        <f>E17</f>
        <v>Utrecht_Label Aplus, met eWP</v>
      </c>
      <c r="F26" s="9" t="str">
        <f>F17</f>
        <v>Utrecht_Label B_Warmtenetten</v>
      </c>
      <c r="H26" s="9"/>
      <c r="I26" s="9" t="str">
        <f>B26</f>
        <v>ReferentieUtrecht</v>
      </c>
      <c r="J26" s="9" t="str">
        <f>C26</f>
        <v>Utrecht_Label B</v>
      </c>
      <c r="K26" s="9" t="str">
        <f>D26</f>
        <v>Utrecht_Label Aplus</v>
      </c>
      <c r="L26" s="9" t="str">
        <f>E26</f>
        <v>Utrecht_Label Aplus, met eWP</v>
      </c>
      <c r="M26" s="9" t="str">
        <f>F26</f>
        <v>Utrecht_Label B_Warmtenetten</v>
      </c>
      <c r="O26" s="9"/>
      <c r="P26" s="9" t="str">
        <f>I26</f>
        <v>ReferentieUtrecht</v>
      </c>
      <c r="Q26" s="9" t="str">
        <f>J26</f>
        <v>Utrecht_Label B</v>
      </c>
      <c r="R26" s="9" t="str">
        <f>K26</f>
        <v>Utrecht_Label Aplus</v>
      </c>
      <c r="S26" s="9" t="str">
        <f>L26</f>
        <v>Utrecht_Label Aplus, met eWP</v>
      </c>
      <c r="T26" s="9" t="str">
        <f>M26</f>
        <v>Utrecht_Label B_Warmtenetten</v>
      </c>
    </row>
    <row r="27" spans="1:20" x14ac:dyDescent="0.25">
      <c r="A27" s="11" t="s">
        <v>375</v>
      </c>
      <c r="B27" s="16">
        <f>Cost_Flow!$C77</f>
        <v>241.24288879884</v>
      </c>
      <c r="C27" s="16">
        <f>Cost_Flow!$T77</f>
        <v>293.33756376669999</v>
      </c>
      <c r="D27" s="16">
        <f>Cost_Flow!$AK77</f>
        <v>391.86052994529996</v>
      </c>
      <c r="E27" s="16">
        <f>Cost_Flow!$BB77</f>
        <v>412.76443494069997</v>
      </c>
      <c r="F27" s="16">
        <f>Cost_Flow!$BS77</f>
        <v>395.13275858240399</v>
      </c>
      <c r="H27" s="21" t="s">
        <v>3</v>
      </c>
      <c r="I27" s="23">
        <f>Energy_Flow!$C77</f>
        <v>4.0709661060200002</v>
      </c>
      <c r="J27" s="23">
        <f>Energy_Flow!$T77</f>
        <v>3.1349889586799997</v>
      </c>
      <c r="K27" s="23">
        <f>Energy_Flow!$AK77</f>
        <v>0.55549952282000004</v>
      </c>
      <c r="L27" s="23">
        <f>Energy_Flow!$BB77</f>
        <v>0</v>
      </c>
      <c r="M27" s="23">
        <f>Energy_Flow!$BS77</f>
        <v>1.2613559016999999E-2</v>
      </c>
      <c r="O27" s="21" t="s">
        <v>3</v>
      </c>
      <c r="P27" s="86">
        <f>CO2_Flow!$C77</f>
        <v>0.20605648341170002</v>
      </c>
      <c r="Q27" s="86">
        <f>CO2_Flow!$T77</f>
        <v>0.15868095839469998</v>
      </c>
      <c r="R27" s="86">
        <f>CO2_Flow!$AK77</f>
        <v>2.8117226990700003E-2</v>
      </c>
      <c r="S27" s="86">
        <f>CO2_Flow!$BB77</f>
        <v>0</v>
      </c>
      <c r="T27" s="86">
        <f>CO2_Flow!$BS77</f>
        <v>6.3844933849999997E-4</v>
      </c>
    </row>
    <row r="28" spans="1:20" x14ac:dyDescent="0.25">
      <c r="A28" s="17" t="s">
        <v>36</v>
      </c>
      <c r="B28" s="18">
        <f>Cost_Flow!$C78</f>
        <v>138.06823108700002</v>
      </c>
      <c r="C28" s="18">
        <f>Cost_Flow!$T78</f>
        <v>133.691456765</v>
      </c>
      <c r="D28" s="18">
        <f>Cost_Flow!$AK78</f>
        <v>139.294526486</v>
      </c>
      <c r="E28" s="18">
        <f>Cost_Flow!$BB78</f>
        <v>132.27239402200001</v>
      </c>
      <c r="F28" s="18">
        <f>Cost_Flow!$BS78</f>
        <v>161.77369260641001</v>
      </c>
      <c r="H28" s="12" t="s">
        <v>38</v>
      </c>
      <c r="I28" s="25">
        <f>Energy_Flow!$C78</f>
        <v>3.1325636037999995</v>
      </c>
      <c r="J28" s="25">
        <f>Energy_Flow!$T78</f>
        <v>3.1322024132999999</v>
      </c>
      <c r="K28" s="25">
        <f>Energy_Flow!$AK78</f>
        <v>3.6672655267999996</v>
      </c>
      <c r="L28" s="25">
        <f>Energy_Flow!$BB78</f>
        <v>3.4525745864999999</v>
      </c>
      <c r="M28" s="25">
        <f>Energy_Flow!$BS78</f>
        <v>3.0640726575299997</v>
      </c>
      <c r="O28" s="12" t="s">
        <v>38</v>
      </c>
      <c r="P28" s="87">
        <f>CO2_Flow!$C78</f>
        <v>5.1663971440000005E-2</v>
      </c>
      <c r="Q28" s="87">
        <f>CO2_Flow!$T78</f>
        <v>5.1666531139999999E-2</v>
      </c>
      <c r="R28" s="87">
        <f>CO2_Flow!$AK78</f>
        <v>5.1002983839999995E-2</v>
      </c>
      <c r="S28" s="87">
        <f>CO2_Flow!$BB78</f>
        <v>5.8501958270000001E-2</v>
      </c>
      <c r="T28" s="87">
        <f>CO2_Flow!$BS78</f>
        <v>5.1906236119999997E-2</v>
      </c>
    </row>
    <row r="29" spans="1:20" x14ac:dyDescent="0.25">
      <c r="A29" s="20" t="s">
        <v>35</v>
      </c>
      <c r="B29" s="19">
        <f>Cost_Flow!$C79</f>
        <v>3.8696065180000003</v>
      </c>
      <c r="C29" s="19">
        <f>Cost_Flow!$T79</f>
        <v>-1.3572108299999996</v>
      </c>
      <c r="D29" s="19">
        <f>Cost_Flow!$AK79</f>
        <v>-45.797952179999996</v>
      </c>
      <c r="E29" s="19">
        <f>Cost_Flow!$BB79</f>
        <v>-0.73625980700000004</v>
      </c>
      <c r="F29" s="19">
        <f>Cost_Flow!$BS79</f>
        <v>138.44807877619999</v>
      </c>
      <c r="H29" s="26" t="s">
        <v>39</v>
      </c>
      <c r="I29" s="15">
        <f>Energy_Flow!$C79</f>
        <v>2.4210450105000003</v>
      </c>
      <c r="J29" s="15">
        <f>Energy_Flow!$T79</f>
        <v>1.8310508222999997</v>
      </c>
      <c r="K29" s="15">
        <f>Energy_Flow!$AK79</f>
        <v>2.7110606781</v>
      </c>
      <c r="L29" s="15">
        <f>Energy_Flow!$BB79</f>
        <v>2.2077814182000002</v>
      </c>
      <c r="M29" s="15">
        <f>Energy_Flow!$BS79</f>
        <v>4.7172483748309997</v>
      </c>
      <c r="O29" s="26" t="s">
        <v>39</v>
      </c>
      <c r="P29" s="88">
        <f>CO2_Flow!$C79</f>
        <v>1.4155784879999952E-3</v>
      </c>
      <c r="Q29" s="88">
        <f>CO2_Flow!$T79</f>
        <v>1.4068987306000008E-3</v>
      </c>
      <c r="R29" s="88">
        <f>CO2_Flow!$AK79</f>
        <v>1.1136793197999997E-2</v>
      </c>
      <c r="S29" s="88">
        <f>CO2_Flow!$BB79</f>
        <v>-1.2000000645939757E-10</v>
      </c>
      <c r="T29" s="88">
        <f>CO2_Flow!$BS79</f>
        <v>2.5608647738370002E-2</v>
      </c>
    </row>
    <row r="30" spans="1:20" x14ac:dyDescent="0.25">
      <c r="A30" s="21" t="s">
        <v>37</v>
      </c>
      <c r="B30" s="23">
        <f>Cost_Flow!$C80</f>
        <v>1.9351399446999999</v>
      </c>
      <c r="C30" s="23">
        <f>Cost_Flow!$T80</f>
        <v>22.6105756155</v>
      </c>
      <c r="D30" s="23">
        <f>Cost_Flow!$AK80</f>
        <v>60.668837866499999</v>
      </c>
      <c r="E30" s="23">
        <f>Cost_Flow!$BB80</f>
        <v>37.947001303</v>
      </c>
      <c r="F30" s="23">
        <f>Cost_Flow!$BS80</f>
        <v>41.215849461199994</v>
      </c>
      <c r="H30" s="10" t="s">
        <v>40</v>
      </c>
      <c r="I30" s="10">
        <f>Energy_Flow!$C80</f>
        <v>0</v>
      </c>
      <c r="J30" s="27">
        <f>Energy_Flow!$T80</f>
        <v>0</v>
      </c>
      <c r="K30" s="27">
        <f>Energy_Flow!$AK80</f>
        <v>0</v>
      </c>
      <c r="L30" s="27">
        <f>Energy_Flow!$BB80</f>
        <v>0</v>
      </c>
      <c r="M30" s="27">
        <f>Energy_Flow!$BS80</f>
        <v>0</v>
      </c>
      <c r="O30" s="10" t="s">
        <v>40</v>
      </c>
      <c r="P30" s="89">
        <f>CO2_Flow!$C80</f>
        <v>0</v>
      </c>
      <c r="Q30" s="89">
        <f>CO2_Flow!$T80</f>
        <v>0</v>
      </c>
      <c r="R30" s="89">
        <f>CO2_Flow!$AK80</f>
        <v>0</v>
      </c>
      <c r="S30" s="89">
        <f>CO2_Flow!$BB80</f>
        <v>0</v>
      </c>
      <c r="T30" s="89">
        <f>CO2_Flow!$BS80</f>
        <v>0</v>
      </c>
    </row>
    <row r="31" spans="1:20" s="7" customFormat="1" x14ac:dyDescent="0.25">
      <c r="B31" s="24"/>
      <c r="C31" s="24"/>
      <c r="D31" s="24"/>
      <c r="E31" s="24"/>
      <c r="F31" s="24"/>
      <c r="H31" s="20" t="s">
        <v>41</v>
      </c>
      <c r="I31" s="19">
        <f>Energy_Flow!$C81</f>
        <v>0.59656937499999996</v>
      </c>
      <c r="J31" s="19">
        <f>Energy_Flow!$T81</f>
        <v>0.43747129699999998</v>
      </c>
      <c r="K31" s="19">
        <f>Energy_Flow!$AK81</f>
        <v>0.30391313199999997</v>
      </c>
      <c r="L31" s="19">
        <f>Energy_Flow!$BB81</f>
        <v>0.59669768000000001</v>
      </c>
      <c r="M31" s="19">
        <f>Energy_Flow!$BS81</f>
        <v>1.2744103710000001</v>
      </c>
      <c r="O31" s="20" t="s">
        <v>41</v>
      </c>
      <c r="P31" s="90">
        <f>CO2_Flow!$C81</f>
        <v>3.0196023299999999E-2</v>
      </c>
      <c r="Q31" s="90">
        <f>CO2_Flow!$T81</f>
        <v>2.2143096899999999E-2</v>
      </c>
      <c r="R31" s="90">
        <f>CO2_Flow!$AK81</f>
        <v>1.53829017E-2</v>
      </c>
      <c r="S31" s="90">
        <f>CO2_Flow!$BB81</f>
        <v>3.0202517700000001E-2</v>
      </c>
      <c r="T31" s="90">
        <f>CO2_Flow!$BS81</f>
        <v>6.4505700299999996E-2</v>
      </c>
    </row>
    <row r="32" spans="1:20" s="7" customFormat="1" x14ac:dyDescent="0.25">
      <c r="A32" s="28" t="s">
        <v>43</v>
      </c>
      <c r="B32" s="32">
        <f>SUM(B27:B30)</f>
        <v>385.11586634854001</v>
      </c>
      <c r="C32" s="32">
        <f>SUM(C27:C30)</f>
        <v>448.28238531720001</v>
      </c>
      <c r="D32" s="32">
        <f>SUM(D27:D30)</f>
        <v>546.02594211780001</v>
      </c>
      <c r="E32" s="32">
        <f>SUM(E27:E30)</f>
        <v>582.2475704586999</v>
      </c>
      <c r="F32" s="32">
        <f>SUM(F27:F30)</f>
        <v>736.570379426214</v>
      </c>
      <c r="H32" s="28" t="s">
        <v>43</v>
      </c>
      <c r="I32" s="32">
        <f>SUM(I27:I30)</f>
        <v>9.6245747203200001</v>
      </c>
      <c r="J32" s="32">
        <f>SUM(J27:J30)</f>
        <v>8.0982421942799991</v>
      </c>
      <c r="K32" s="32">
        <f>SUM(K27:K30)</f>
        <v>6.9338257277199995</v>
      </c>
      <c r="L32" s="32">
        <f>SUM(L27:L30)</f>
        <v>5.6603560047000006</v>
      </c>
      <c r="M32" s="32">
        <f>SUM(M27:M30)</f>
        <v>7.7939345913779992</v>
      </c>
      <c r="O32" s="28" t="s">
        <v>43</v>
      </c>
      <c r="P32" s="111">
        <f>SUM(P27:P30)</f>
        <v>0.25913603333970003</v>
      </c>
      <c r="Q32" s="111">
        <f>SUM(Q27:Q30)</f>
        <v>0.21175438826529996</v>
      </c>
      <c r="R32" s="111">
        <f>SUM(R27:R30)</f>
        <v>9.0257004028700002E-2</v>
      </c>
      <c r="S32" s="111">
        <f>SUM(S27:S30)</f>
        <v>5.8501958149999991E-2</v>
      </c>
      <c r="T32" s="111">
        <f>SUM(T27:T30)</f>
        <v>7.8153333196869998E-2</v>
      </c>
    </row>
    <row r="33" spans="1:20" ht="21" x14ac:dyDescent="0.35">
      <c r="A33" s="5" t="s">
        <v>31</v>
      </c>
      <c r="H33" s="5" t="s">
        <v>32</v>
      </c>
      <c r="O33" s="5" t="s">
        <v>33</v>
      </c>
    </row>
    <row r="34" spans="1:20" x14ac:dyDescent="0.25">
      <c r="A34" s="4">
        <v>2040</v>
      </c>
      <c r="H34" s="4">
        <v>2040</v>
      </c>
      <c r="O34" s="4">
        <v>2040</v>
      </c>
    </row>
    <row r="35" spans="1:20" ht="30" x14ac:dyDescent="0.25">
      <c r="B35" s="9" t="str">
        <f>B26</f>
        <v>ReferentieUtrecht</v>
      </c>
      <c r="C35" s="9" t="str">
        <f>C26</f>
        <v>Utrecht_Label B</v>
      </c>
      <c r="D35" s="9" t="str">
        <f>D26</f>
        <v>Utrecht_Label Aplus</v>
      </c>
      <c r="E35" s="9" t="str">
        <f>E26</f>
        <v>Utrecht_Label Aplus, met eWP</v>
      </c>
      <c r="F35" s="9" t="str">
        <f>F26</f>
        <v>Utrecht_Label B_Warmtenetten</v>
      </c>
      <c r="H35" s="9"/>
      <c r="I35" s="9" t="str">
        <f>B35</f>
        <v>ReferentieUtrecht</v>
      </c>
      <c r="J35" s="9" t="str">
        <f>C35</f>
        <v>Utrecht_Label B</v>
      </c>
      <c r="K35" s="9" t="str">
        <f>D35</f>
        <v>Utrecht_Label Aplus</v>
      </c>
      <c r="L35" s="9" t="str">
        <f>E35</f>
        <v>Utrecht_Label Aplus, met eWP</v>
      </c>
      <c r="M35" s="9" t="str">
        <f>F35</f>
        <v>Utrecht_Label B_Warmtenetten</v>
      </c>
      <c r="O35" s="9"/>
      <c r="P35" s="9" t="str">
        <f>I35</f>
        <v>ReferentieUtrecht</v>
      </c>
      <c r="Q35" s="9" t="str">
        <f>J35</f>
        <v>Utrecht_Label B</v>
      </c>
      <c r="R35" s="9" t="str">
        <f>K35</f>
        <v>Utrecht_Label Aplus</v>
      </c>
      <c r="S35" s="9" t="str">
        <f>L35</f>
        <v>Utrecht_Label Aplus, met eWP</v>
      </c>
      <c r="T35" s="9" t="str">
        <f>M35</f>
        <v>Utrecht_Label B_Warmtenetten</v>
      </c>
    </row>
    <row r="36" spans="1:20" x14ac:dyDescent="0.25">
      <c r="A36" s="11" t="s">
        <v>375</v>
      </c>
      <c r="B36" s="16">
        <f>Cost_Flow!$C102</f>
        <v>257.09917442130001</v>
      </c>
      <c r="C36" s="16">
        <f>Cost_Flow!$T102</f>
        <v>300.92385160629999</v>
      </c>
      <c r="D36" s="16">
        <f>Cost_Flow!$AK102</f>
        <v>427.26665044029994</v>
      </c>
      <c r="E36" s="16">
        <f>Cost_Flow!$BB102</f>
        <v>405.79478254489993</v>
      </c>
      <c r="F36" s="16">
        <f>Cost_Flow!$BS102</f>
        <v>401.75745736828299</v>
      </c>
      <c r="H36" s="21" t="s">
        <v>3</v>
      </c>
      <c r="I36" s="23">
        <f>Energy_Flow!$C102</f>
        <v>3.52601468743</v>
      </c>
      <c r="J36" s="23">
        <f>Energy_Flow!$T102</f>
        <v>3.0595844129200001</v>
      </c>
      <c r="K36" s="23">
        <f>Energy_Flow!$AK102</f>
        <v>0.44809969522999998</v>
      </c>
      <c r="L36" s="23">
        <f>Energy_Flow!$BB102</f>
        <v>0</v>
      </c>
      <c r="M36" s="23">
        <f>Energy_Flow!$BS102</f>
        <v>1.2338742767E-2</v>
      </c>
      <c r="O36" s="21" t="s">
        <v>3</v>
      </c>
      <c r="P36" s="86">
        <f>CO2_Flow!$C102</f>
        <v>0.1784731606321</v>
      </c>
      <c r="Q36" s="86">
        <f>CO2_Flow!$T102</f>
        <v>0.15486427206139999</v>
      </c>
      <c r="R36" s="86">
        <f>CO2_Flow!$AK102</f>
        <v>2.2681065084399998E-2</v>
      </c>
      <c r="S36" s="86">
        <f>CO2_Flow!$BB102</f>
        <v>0</v>
      </c>
      <c r="T36" s="86">
        <f>CO2_Flow!$BS102</f>
        <v>6.2453920449999996E-4</v>
      </c>
    </row>
    <row r="37" spans="1:20" x14ac:dyDescent="0.25">
      <c r="A37" s="17" t="s">
        <v>36</v>
      </c>
      <c r="B37" s="18">
        <f>Cost_Flow!$C103</f>
        <v>137.31416604399999</v>
      </c>
      <c r="C37" s="18">
        <f>Cost_Flow!$T103</f>
        <v>133.705607993</v>
      </c>
      <c r="D37" s="18">
        <f>Cost_Flow!$AK103</f>
        <v>140.43439363800002</v>
      </c>
      <c r="E37" s="18">
        <f>Cost_Flow!$BB103</f>
        <v>130.07877409100001</v>
      </c>
      <c r="F37" s="18">
        <f>Cost_Flow!$BS103</f>
        <v>160.66169781532</v>
      </c>
      <c r="H37" s="12" t="s">
        <v>38</v>
      </c>
      <c r="I37" s="25">
        <f>Energy_Flow!$C103</f>
        <v>3.1316300053999999</v>
      </c>
      <c r="J37" s="25">
        <f>Energy_Flow!$T103</f>
        <v>3.1313359398999996</v>
      </c>
      <c r="K37" s="25">
        <f>Energy_Flow!$AK103</f>
        <v>3.6841803157999999</v>
      </c>
      <c r="L37" s="25">
        <f>Energy_Flow!$BB103</f>
        <v>3.4415743614999998</v>
      </c>
      <c r="M37" s="25">
        <f>Energy_Flow!$BS103</f>
        <v>3.0640588502809996</v>
      </c>
      <c r="O37" s="12" t="s">
        <v>38</v>
      </c>
      <c r="P37" s="87">
        <f>CO2_Flow!$C103</f>
        <v>4.0646930680999997E-2</v>
      </c>
      <c r="Q37" s="87">
        <f>CO2_Flow!$T103</f>
        <v>4.0663022381000002E-2</v>
      </c>
      <c r="R37" s="87">
        <f>CO2_Flow!$AK103</f>
        <v>4.0079459575000004E-2</v>
      </c>
      <c r="S37" s="87">
        <f>CO2_Flow!$BB103</f>
        <v>4.5887658059999996E-2</v>
      </c>
      <c r="T37" s="87">
        <f>CO2_Flow!$BS103</f>
        <v>4.0844251388999997E-2</v>
      </c>
    </row>
    <row r="38" spans="1:20" x14ac:dyDescent="0.25">
      <c r="A38" s="20" t="s">
        <v>35</v>
      </c>
      <c r="B38" s="19">
        <f>Cost_Flow!$C104</f>
        <v>3.7183231829999999</v>
      </c>
      <c r="C38" s="19">
        <f>Cost_Flow!$T104</f>
        <v>-1.4390034300000001</v>
      </c>
      <c r="D38" s="19">
        <f>Cost_Flow!$AK104</f>
        <v>-75.600968789999996</v>
      </c>
      <c r="E38" s="19">
        <f>Cost_Flow!$BB104</f>
        <v>-1.8563621699999999</v>
      </c>
      <c r="F38" s="19">
        <f>Cost_Flow!$BS104</f>
        <v>128.6255519499</v>
      </c>
      <c r="H38" s="26" t="s">
        <v>39</v>
      </c>
      <c r="I38" s="15">
        <f>Energy_Flow!$C104</f>
        <v>2.7819915765000003</v>
      </c>
      <c r="J38" s="15">
        <f>Energy_Flow!$T104</f>
        <v>1.7879552703000001</v>
      </c>
      <c r="K38" s="15">
        <f>Energy_Flow!$AK104</f>
        <v>2.7329512780000003</v>
      </c>
      <c r="L38" s="15">
        <f>Energy_Flow!$BB104</f>
        <v>2.1503999988999998</v>
      </c>
      <c r="M38" s="15">
        <f>Energy_Flow!$BS104</f>
        <v>4.6063327262630001</v>
      </c>
      <c r="O38" s="26" t="s">
        <v>39</v>
      </c>
      <c r="P38" s="88">
        <f>CO2_Flow!$C104</f>
        <v>1.1635294974199996E-2</v>
      </c>
      <c r="Q38" s="88">
        <f>CO2_Flow!$T104</f>
        <v>1.0881234988000012E-3</v>
      </c>
      <c r="R38" s="88">
        <f>CO2_Flow!$AK104</f>
        <v>9.0429446164999993E-3</v>
      </c>
      <c r="S38" s="88">
        <f>CO2_Flow!$BB104</f>
        <v>-6.3000001049307031E-11</v>
      </c>
      <c r="T38" s="88">
        <f>CO2_Flow!$BS104</f>
        <v>2.4997797318080009E-2</v>
      </c>
    </row>
    <row r="39" spans="1:20" x14ac:dyDescent="0.25">
      <c r="A39" s="21" t="s">
        <v>37</v>
      </c>
      <c r="B39" s="23">
        <f>Cost_Flow!$C105</f>
        <v>3.477043203</v>
      </c>
      <c r="C39" s="23">
        <f>Cost_Flow!$T105</f>
        <v>23.318105632000002</v>
      </c>
      <c r="D39" s="23">
        <f>Cost_Flow!$AK105</f>
        <v>69.411444223000004</v>
      </c>
      <c r="E39" s="23">
        <f>Cost_Flow!$BB105</f>
        <v>36.575516935000003</v>
      </c>
      <c r="F39" s="23">
        <f>Cost_Flow!$BS105</f>
        <v>41.200242315699995</v>
      </c>
      <c r="H39" s="10" t="s">
        <v>40</v>
      </c>
      <c r="I39" s="10">
        <f>Energy_Flow!$C105</f>
        <v>0</v>
      </c>
      <c r="J39" s="27">
        <f>Energy_Flow!$T105</f>
        <v>0</v>
      </c>
      <c r="K39" s="27">
        <f>Energy_Flow!$AK105</f>
        <v>0</v>
      </c>
      <c r="L39" s="27">
        <f>Energy_Flow!$BB105</f>
        <v>0</v>
      </c>
      <c r="M39" s="27">
        <f>Energy_Flow!$BS105</f>
        <v>0</v>
      </c>
      <c r="O39" s="10" t="s">
        <v>40</v>
      </c>
      <c r="P39" s="89">
        <f>CO2_Flow!$C105</f>
        <v>0</v>
      </c>
      <c r="Q39" s="89">
        <f>CO2_Flow!$T105</f>
        <v>0</v>
      </c>
      <c r="R39" s="89">
        <f>CO2_Flow!$AK105</f>
        <v>0</v>
      </c>
      <c r="S39" s="89">
        <f>CO2_Flow!$BB105</f>
        <v>0</v>
      </c>
      <c r="T39" s="89">
        <f>CO2_Flow!$BS105</f>
        <v>0</v>
      </c>
    </row>
    <row r="40" spans="1:20" s="7" customFormat="1" x14ac:dyDescent="0.25">
      <c r="B40" s="24"/>
      <c r="C40" s="24"/>
      <c r="D40" s="24"/>
      <c r="E40" s="24"/>
      <c r="F40" s="24"/>
      <c r="H40" s="20" t="s">
        <v>41</v>
      </c>
      <c r="I40" s="19">
        <f>Energy_Flow!$C106</f>
        <v>0.69487170899999995</v>
      </c>
      <c r="J40" s="19">
        <f>Energy_Flow!$T106</f>
        <v>0.42716787099999998</v>
      </c>
      <c r="K40" s="19">
        <f>Energy_Flow!$AK106</f>
        <v>0.29746267700000001</v>
      </c>
      <c r="L40" s="19">
        <f>Energy_Flow!$BB106</f>
        <v>0.58118919000000002</v>
      </c>
      <c r="M40" s="19">
        <f>Energy_Flow!$BS106</f>
        <v>1.244446226</v>
      </c>
      <c r="O40" s="20" t="s">
        <v>41</v>
      </c>
      <c r="P40" s="90">
        <f>CO2_Flow!$C106</f>
        <v>3.5171705400000003E-2</v>
      </c>
      <c r="Q40" s="90">
        <f>CO2_Flow!$T106</f>
        <v>2.1621577499999999E-2</v>
      </c>
      <c r="R40" s="90">
        <f>CO2_Flow!$AK106</f>
        <v>1.50564047E-2</v>
      </c>
      <c r="S40" s="90">
        <f>CO2_Flow!$BB106</f>
        <v>2.9417538199999999E-2</v>
      </c>
      <c r="T40" s="90">
        <f>CO2_Flow!$BS106</f>
        <v>6.2989031799999998E-2</v>
      </c>
    </row>
    <row r="41" spans="1:20" s="7" customFormat="1" x14ac:dyDescent="0.25">
      <c r="A41" s="28" t="s">
        <v>43</v>
      </c>
      <c r="B41" s="32">
        <f>SUM(B36:B39)</f>
        <v>401.60870685129998</v>
      </c>
      <c r="C41" s="32">
        <f>SUM(C36:C39)</f>
        <v>456.5085618013</v>
      </c>
      <c r="D41" s="32">
        <f>SUM(D36:D39)</f>
        <v>561.51151951129987</v>
      </c>
      <c r="E41" s="32">
        <f>SUM(E36:E39)</f>
        <v>570.59271140089993</v>
      </c>
      <c r="F41" s="32">
        <f>SUM(F36:F39)</f>
        <v>732.24494944920298</v>
      </c>
      <c r="H41" s="28" t="s">
        <v>43</v>
      </c>
      <c r="I41" s="32">
        <f>SUM(I36:I39)</f>
        <v>9.4396362693300002</v>
      </c>
      <c r="J41" s="32">
        <f>SUM(J36:J39)</f>
        <v>7.9788756231199995</v>
      </c>
      <c r="K41" s="32">
        <f>SUM(K36:K39)</f>
        <v>6.8652312890299996</v>
      </c>
      <c r="L41" s="32">
        <f>SUM(L36:L39)</f>
        <v>5.5919743604000001</v>
      </c>
      <c r="M41" s="32">
        <f>SUM(M36:M39)</f>
        <v>7.6827303193110001</v>
      </c>
      <c r="O41" s="28" t="s">
        <v>43</v>
      </c>
      <c r="P41" s="111">
        <f>SUM(P36:P39)</f>
        <v>0.2307553862873</v>
      </c>
      <c r="Q41" s="111">
        <f>SUM(Q36:Q39)</f>
        <v>0.19661541794119999</v>
      </c>
      <c r="R41" s="111">
        <f>SUM(R36:R39)</f>
        <v>7.1803469275900006E-2</v>
      </c>
      <c r="S41" s="111">
        <f>SUM(S36:S39)</f>
        <v>4.5887657996999995E-2</v>
      </c>
      <c r="T41" s="111">
        <f>SUM(T36:T39)</f>
        <v>6.646658791158E-2</v>
      </c>
    </row>
    <row r="42" spans="1:20" ht="21" x14ac:dyDescent="0.35">
      <c r="A42" s="5" t="s">
        <v>31</v>
      </c>
      <c r="H42" s="5" t="s">
        <v>32</v>
      </c>
      <c r="O42" s="5" t="s">
        <v>33</v>
      </c>
    </row>
    <row r="43" spans="1:20" x14ac:dyDescent="0.25">
      <c r="A43" s="4">
        <v>2050</v>
      </c>
      <c r="H43" s="4">
        <v>2050</v>
      </c>
      <c r="O43" s="4">
        <v>2050</v>
      </c>
    </row>
    <row r="44" spans="1:20" ht="30" x14ac:dyDescent="0.25">
      <c r="B44" s="9" t="str">
        <f>B35</f>
        <v>ReferentieUtrecht</v>
      </c>
      <c r="C44" s="9" t="str">
        <f>C35</f>
        <v>Utrecht_Label B</v>
      </c>
      <c r="D44" s="9" t="str">
        <f>D35</f>
        <v>Utrecht_Label Aplus</v>
      </c>
      <c r="E44" s="9" t="str">
        <f>E35</f>
        <v>Utrecht_Label Aplus, met eWP</v>
      </c>
      <c r="F44" s="9" t="str">
        <f>F35</f>
        <v>Utrecht_Label B_Warmtenetten</v>
      </c>
      <c r="H44" s="9"/>
      <c r="I44" s="9" t="str">
        <f>B44</f>
        <v>ReferentieUtrecht</v>
      </c>
      <c r="J44" s="9" t="str">
        <f>C44</f>
        <v>Utrecht_Label B</v>
      </c>
      <c r="K44" s="9" t="str">
        <f>D44</f>
        <v>Utrecht_Label Aplus</v>
      </c>
      <c r="L44" s="9" t="str">
        <f>E44</f>
        <v>Utrecht_Label Aplus, met eWP</v>
      </c>
      <c r="M44" s="9" t="str">
        <f>F44</f>
        <v>Utrecht_Label B_Warmtenetten</v>
      </c>
      <c r="O44" s="9"/>
      <c r="P44" s="9" t="str">
        <f>I44</f>
        <v>ReferentieUtrecht</v>
      </c>
      <c r="Q44" s="9" t="str">
        <f>J44</f>
        <v>Utrecht_Label B</v>
      </c>
      <c r="R44" s="9" t="str">
        <f>K44</f>
        <v>Utrecht_Label Aplus</v>
      </c>
      <c r="S44" s="9" t="str">
        <f>L44</f>
        <v>Utrecht_Label Aplus, met eWP</v>
      </c>
      <c r="T44" s="9" t="str">
        <f>M44</f>
        <v>Utrecht_Label B_Warmtenetten</v>
      </c>
    </row>
    <row r="45" spans="1:20" x14ac:dyDescent="0.25">
      <c r="A45" s="11" t="s">
        <v>375</v>
      </c>
      <c r="B45" s="16">
        <f>Cost_Flow!$C127</f>
        <v>267.0227985427</v>
      </c>
      <c r="C45" s="16">
        <f>Cost_Flow!$T127</f>
        <v>315.19782025209997</v>
      </c>
      <c r="D45" s="16">
        <f>Cost_Flow!$AK127</f>
        <v>463.56397080339997</v>
      </c>
      <c r="E45" s="16">
        <f>Cost_Flow!$BB127</f>
        <v>402.11871375700002</v>
      </c>
      <c r="F45" s="16">
        <f>Cost_Flow!$BS127</f>
        <v>409.25763227129329</v>
      </c>
      <c r="H45" s="21" t="s">
        <v>3</v>
      </c>
      <c r="I45" s="23">
        <f>Energy_Flow!$C127</f>
        <v>3.4296914419019999</v>
      </c>
      <c r="J45" s="23">
        <f>Energy_Flow!$T127</f>
        <v>2.713456208213</v>
      </c>
      <c r="K45" s="23">
        <f>Energy_Flow!$AK127</f>
        <v>0.37433734001400004</v>
      </c>
      <c r="L45" s="23">
        <f>Energy_Flow!$BB127</f>
        <v>0</v>
      </c>
      <c r="M45" s="23">
        <f>Energy_Flow!$BS127</f>
        <v>1.2061417865E-2</v>
      </c>
      <c r="O45" s="21" t="s">
        <v>3</v>
      </c>
      <c r="P45" s="86">
        <f>CO2_Flow!$C127</f>
        <v>0.17359765175929998</v>
      </c>
      <c r="Q45" s="86">
        <f>CO2_Flow!$T127</f>
        <v>0.1373446081811</v>
      </c>
      <c r="R45" s="86">
        <f>CO2_Flow!$AK127</f>
        <v>1.89475013947E-2</v>
      </c>
      <c r="S45" s="86">
        <f>CO2_Flow!$BB127</f>
        <v>0</v>
      </c>
      <c r="T45" s="86">
        <f>CO2_Flow!$BS127</f>
        <v>6.1050209609999999E-4</v>
      </c>
    </row>
    <row r="46" spans="1:20" x14ac:dyDescent="0.25">
      <c r="A46" s="17" t="s">
        <v>36</v>
      </c>
      <c r="B46" s="18">
        <f>Cost_Flow!$C128</f>
        <v>137.49311433900002</v>
      </c>
      <c r="C46" s="18">
        <f>Cost_Flow!$T128</f>
        <v>133.40568768899999</v>
      </c>
      <c r="D46" s="18">
        <f>Cost_Flow!$AK128</f>
        <v>141.507475408</v>
      </c>
      <c r="E46" s="18">
        <f>Cost_Flow!$BB128</f>
        <v>128.40773208500002</v>
      </c>
      <c r="F46" s="18">
        <f>Cost_Flow!$BS128</f>
        <v>159.57233988285</v>
      </c>
      <c r="H46" s="12" t="s">
        <v>38</v>
      </c>
      <c r="I46" s="25">
        <f>Energy_Flow!$C128</f>
        <v>3.1307742063000004</v>
      </c>
      <c r="J46" s="25">
        <f>Energy_Flow!$T128</f>
        <v>3.1307618593999997</v>
      </c>
      <c r="K46" s="25">
        <f>Energy_Flow!$AK128</f>
        <v>3.6918337123999998</v>
      </c>
      <c r="L46" s="25">
        <f>Energy_Flow!$BB128</f>
        <v>3.4305533344000003</v>
      </c>
      <c r="M46" s="25">
        <f>Energy_Flow!$BS128</f>
        <v>3.0640449293500001</v>
      </c>
      <c r="O46" s="12" t="s">
        <v>38</v>
      </c>
      <c r="P46" s="87">
        <f>CO2_Flow!$C128</f>
        <v>3.0488566064000001E-2</v>
      </c>
      <c r="Q46" s="87">
        <f>CO2_Flow!$T128</f>
        <v>3.0503181564000004E-2</v>
      </c>
      <c r="R46" s="87">
        <f>CO2_Flow!$AK128</f>
        <v>3.0041679984000001E-2</v>
      </c>
      <c r="S46" s="87">
        <f>CO2_Flow!$BB128</f>
        <v>3.4305533344000008E-2</v>
      </c>
      <c r="T46" s="87">
        <f>CO2_Flow!$BS128</f>
        <v>3.0633187964000004E-2</v>
      </c>
    </row>
    <row r="47" spans="1:20" x14ac:dyDescent="0.25">
      <c r="A47" s="20" t="s">
        <v>35</v>
      </c>
      <c r="B47" s="19">
        <f>Cost_Flow!$C129</f>
        <v>1.4593459999999947E-2</v>
      </c>
      <c r="C47" s="19">
        <f>Cost_Flow!$T129</f>
        <v>-2.4296055300000003</v>
      </c>
      <c r="D47" s="19">
        <f>Cost_Flow!$AK129</f>
        <v>-108.38104042000001</v>
      </c>
      <c r="E47" s="19">
        <f>Cost_Flow!$BB129</f>
        <v>-3.5991502299999998</v>
      </c>
      <c r="F47" s="19">
        <f>Cost_Flow!$BS129</f>
        <v>117.70974339428999</v>
      </c>
      <c r="H47" s="26" t="s">
        <v>39</v>
      </c>
      <c r="I47" s="15">
        <f>Energy_Flow!$C129</f>
        <v>2.6888667373000001</v>
      </c>
      <c r="J47" s="15">
        <f>Energy_Flow!$T129</f>
        <v>2.0074258576999999</v>
      </c>
      <c r="K47" s="15">
        <f>Energy_Flow!$AK129</f>
        <v>2.7240133790999992</v>
      </c>
      <c r="L47" s="15">
        <f>Energy_Flow!$BB129</f>
        <v>2.0735378208999999</v>
      </c>
      <c r="M47" s="15">
        <f>Energy_Flow!$BS129</f>
        <v>4.4952146691030004</v>
      </c>
      <c r="O47" s="26" t="s">
        <v>39</v>
      </c>
      <c r="P47" s="88">
        <f>CO2_Flow!$C129</f>
        <v>1.1050858881900001E-2</v>
      </c>
      <c r="Q47" s="88">
        <f>CO2_Flow!$T129</f>
        <v>7.354909804200005E-3</v>
      </c>
      <c r="R47" s="88">
        <f>CO2_Flow!$AK129</f>
        <v>6.8766571364999984E-3</v>
      </c>
      <c r="S47" s="88">
        <f>CO2_Flow!$BB129</f>
        <v>1.3000003851182385E-11</v>
      </c>
      <c r="T47" s="88">
        <f>CO2_Flow!$BS129</f>
        <v>2.438652889849998E-2</v>
      </c>
    </row>
    <row r="48" spans="1:20" x14ac:dyDescent="0.25">
      <c r="A48" s="21" t="s">
        <v>37</v>
      </c>
      <c r="B48" s="23">
        <f>Cost_Flow!$C130</f>
        <v>4.2192892899999999</v>
      </c>
      <c r="C48" s="23">
        <f>Cost_Flow!$T130</f>
        <v>24.716511152999995</v>
      </c>
      <c r="D48" s="23">
        <f>Cost_Flow!$AK130</f>
        <v>78.537824360999991</v>
      </c>
      <c r="E48" s="23">
        <f>Cost_Flow!$BB130</f>
        <v>35.6478731188</v>
      </c>
      <c r="F48" s="23">
        <f>Cost_Flow!$BS130</f>
        <v>41.191877094300004</v>
      </c>
      <c r="H48" s="10" t="s">
        <v>40</v>
      </c>
      <c r="I48" s="10">
        <f>Energy_Flow!$C130</f>
        <v>0</v>
      </c>
      <c r="J48" s="27">
        <f>Energy_Flow!$T130</f>
        <v>0</v>
      </c>
      <c r="K48" s="27">
        <f>Energy_Flow!$AK130</f>
        <v>0</v>
      </c>
      <c r="L48" s="27">
        <f>Energy_Flow!$BB130</f>
        <v>0</v>
      </c>
      <c r="M48" s="27">
        <f>Energy_Flow!$BS130</f>
        <v>0</v>
      </c>
      <c r="O48" s="10" t="s">
        <v>40</v>
      </c>
      <c r="P48" s="89">
        <f>CO2_Flow!$C130</f>
        <v>0</v>
      </c>
      <c r="Q48" s="89">
        <f>CO2_Flow!$T130</f>
        <v>0</v>
      </c>
      <c r="R48" s="89">
        <f>CO2_Flow!$AK130</f>
        <v>0</v>
      </c>
      <c r="S48" s="89">
        <f>CO2_Flow!$BB130</f>
        <v>0</v>
      </c>
      <c r="T48" s="89">
        <f>CO2_Flow!$BS130</f>
        <v>0</v>
      </c>
    </row>
    <row r="49" spans="1:20" x14ac:dyDescent="0.25">
      <c r="H49" s="20" t="s">
        <v>41</v>
      </c>
      <c r="I49" s="19">
        <f>Energy_Flow!$C131</f>
        <v>0.67090751599999998</v>
      </c>
      <c r="J49" s="19">
        <f>Energy_Flow!$T131</f>
        <v>0.48766335300000002</v>
      </c>
      <c r="K49" s="19">
        <f>Energy_Flow!$AK131</f>
        <v>0.29100172499999999</v>
      </c>
      <c r="L49" s="19">
        <f>Energy_Flow!$BB131</f>
        <v>0.56041562599999994</v>
      </c>
      <c r="M49" s="19">
        <f>Energy_Flow!$BS131</f>
        <v>1.2144274310000001</v>
      </c>
      <c r="O49" s="20" t="s">
        <v>41</v>
      </c>
      <c r="P49" s="90">
        <f>CO2_Flow!$C131</f>
        <v>3.39587311E-2</v>
      </c>
      <c r="Q49" s="90">
        <f>CO2_Flow!$T131</f>
        <v>2.4683623699999997E-2</v>
      </c>
      <c r="R49" s="90">
        <f>CO2_Flow!$AK131</f>
        <v>1.4729376399999999E-2</v>
      </c>
      <c r="S49" s="90">
        <f>CO2_Flow!$BB131</f>
        <v>2.8366061099999999E-2</v>
      </c>
      <c r="T49" s="90">
        <f>CO2_Flow!$BS131</f>
        <v>6.1469597000000008E-2</v>
      </c>
    </row>
    <row r="50" spans="1:20" x14ac:dyDescent="0.25">
      <c r="A50" s="28" t="s">
        <v>43</v>
      </c>
      <c r="B50" s="32">
        <f>SUM(B45:B48)</f>
        <v>408.74979563170007</v>
      </c>
      <c r="C50" s="32">
        <f>SUM(C45:C48)</f>
        <v>470.89041356409996</v>
      </c>
      <c r="D50" s="32">
        <f>SUM(D45:D48)</f>
        <v>575.22823015239987</v>
      </c>
      <c r="E50" s="32">
        <f>SUM(E45:E48)</f>
        <v>562.5751687308001</v>
      </c>
      <c r="F50" s="32">
        <f>SUM(F45:F48)</f>
        <v>727.73159264273329</v>
      </c>
      <c r="G50" s="7"/>
      <c r="H50" s="28" t="s">
        <v>43</v>
      </c>
      <c r="I50" s="32">
        <f>SUM(I45:I48)</f>
        <v>9.2493323855020009</v>
      </c>
      <c r="J50" s="32">
        <f>SUM(J45:J48)</f>
        <v>7.8516439253129988</v>
      </c>
      <c r="K50" s="32">
        <f>SUM(K45:K48)</f>
        <v>6.7901844315139996</v>
      </c>
      <c r="L50" s="32">
        <f>SUM(L45:L48)</f>
        <v>5.5040911553000003</v>
      </c>
      <c r="M50" s="32">
        <f>SUM(M45:M48)</f>
        <v>7.5713210163180005</v>
      </c>
      <c r="N50" s="7"/>
      <c r="O50" s="28" t="s">
        <v>43</v>
      </c>
      <c r="P50" s="111">
        <f>SUM(P45:P48)</f>
        <v>0.21513707670519996</v>
      </c>
      <c r="Q50" s="111">
        <f>SUM(Q45:Q48)</f>
        <v>0.17520269954930001</v>
      </c>
      <c r="R50" s="111">
        <f>SUM(R45:R48)</f>
        <v>5.5865838515200002E-2</v>
      </c>
      <c r="S50" s="111">
        <f>SUM(S45:S48)</f>
        <v>3.4305533357000012E-2</v>
      </c>
      <c r="T50" s="111">
        <f>SUM(T45:T48)</f>
        <v>5.5630218958599986E-2</v>
      </c>
    </row>
    <row r="53" spans="1:20" ht="26.25" x14ac:dyDescent="0.4">
      <c r="A53" s="40" t="s">
        <v>46</v>
      </c>
    </row>
    <row r="54" spans="1:20" s="37" customFormat="1" ht="21" x14ac:dyDescent="0.35">
      <c r="A54" s="5" t="s">
        <v>380</v>
      </c>
    </row>
    <row r="55" spans="1:20" x14ac:dyDescent="0.25">
      <c r="A55" s="4" t="s">
        <v>163</v>
      </c>
    </row>
    <row r="56" spans="1:20" s="84" customFormat="1" x14ac:dyDescent="0.25">
      <c r="A56" s="4"/>
      <c r="B56" s="1">
        <f>IF(LEFT(B57,14)="niet gebruiken",1,0)</f>
        <v>0</v>
      </c>
      <c r="C56" s="1">
        <f>IF(LEFT(C57,14)="niet gebruiken",1,0)</f>
        <v>0</v>
      </c>
      <c r="D56" s="1">
        <f>IF(LEFT(D57,14)="niet gebruiken",1,0)</f>
        <v>0</v>
      </c>
      <c r="E56" s="1">
        <f>IF(LEFT(E57,14)="niet gebruiken",1,0)</f>
        <v>0</v>
      </c>
      <c r="F56" s="1">
        <f>IF(LEFT(F57,14)="niet gebruiken",1,0)</f>
        <v>0</v>
      </c>
    </row>
    <row r="57" spans="1:20" s="73" customFormat="1" x14ac:dyDescent="0.25">
      <c r="A57" s="4"/>
      <c r="B57" s="1" t="str">
        <f>ReadMe!C16</f>
        <v>Referentie</v>
      </c>
      <c r="C57" s="1" t="str">
        <f>ReadMe!D16</f>
        <v>Label_B</v>
      </c>
      <c r="D57" s="1" t="str">
        <f>ReadMe!E16</f>
        <v>Label_A+</v>
      </c>
      <c r="E57" s="1" t="str">
        <f>ReadMe!F16</f>
        <v>Label_A+_eWP</v>
      </c>
      <c r="F57" s="1" t="str">
        <f>ReadMe!G16</f>
        <v>Label_B_WP2euro/m3</v>
      </c>
    </row>
    <row r="58" spans="1:20" s="73" customFormat="1" x14ac:dyDescent="0.25">
      <c r="A58" s="73">
        <v>2013</v>
      </c>
      <c r="B58" s="83">
        <f>Cost_Flow!C11</f>
        <v>0</v>
      </c>
      <c r="C58" s="83">
        <f>IF(C$56=1,NA(),Cost_Flow!T11)</f>
        <v>0</v>
      </c>
      <c r="D58" s="83">
        <f>IF(D$56=1,NA(),Cost_Flow!AK11)</f>
        <v>0</v>
      </c>
      <c r="E58" s="83">
        <f>IF(E$56=1,NA(),Cost_Flow!BB11)</f>
        <v>0</v>
      </c>
      <c r="F58" s="83">
        <f>IF(F$56=1,NA(),Cost_Flow!BS11)</f>
        <v>0</v>
      </c>
    </row>
    <row r="59" spans="1:20" s="73" customFormat="1" x14ac:dyDescent="0.25">
      <c r="A59" s="73">
        <v>2020</v>
      </c>
      <c r="B59" s="83">
        <f>Cost_Flow!C36</f>
        <v>4.4510906995399999</v>
      </c>
      <c r="C59" s="83">
        <f>IF(C$56=1,NA(),Cost_Flow!T36)</f>
        <v>63.627456430000002</v>
      </c>
      <c r="D59" s="83">
        <f>IF(D$56=1,NA(),Cost_Flow!AK36)</f>
        <v>161.06259460000001</v>
      </c>
      <c r="E59" s="83">
        <f>IF(E$56=1,NA(),Cost_Flow!BB36)</f>
        <v>78.072618300000002</v>
      </c>
      <c r="F59" s="83">
        <f>IF(F$56=1,NA(),Cost_Flow!BS36)</f>
        <v>128.39632579500002</v>
      </c>
    </row>
    <row r="60" spans="1:20" s="73" customFormat="1" x14ac:dyDescent="0.25">
      <c r="A60" s="73">
        <v>2030</v>
      </c>
      <c r="B60" s="83">
        <f>Cost_Flow!C61</f>
        <v>6.3545816756000004</v>
      </c>
      <c r="C60" s="83">
        <f>IF(C$56=1,NA(),Cost_Flow!T61)</f>
        <v>65.527071610000007</v>
      </c>
      <c r="D60" s="83">
        <f>IF(D$56=1,NA(),Cost_Flow!AK61)</f>
        <v>185.53817459999999</v>
      </c>
      <c r="E60" s="83">
        <f>IF(E$56=1,NA(),Cost_Flow!BB61)</f>
        <v>78.351397999999989</v>
      </c>
      <c r="F60" s="83">
        <f>IF(F$56=1,NA(),Cost_Flow!BS61)</f>
        <v>128.43048168850001</v>
      </c>
    </row>
    <row r="61" spans="1:20" s="73" customFormat="1" x14ac:dyDescent="0.25">
      <c r="A61" s="73">
        <v>2040</v>
      </c>
      <c r="B61" s="83">
        <f>Cost_Flow!C86</f>
        <v>10.809905436999999</v>
      </c>
      <c r="C61" s="83">
        <f>IF(C$56=1,NA(),Cost_Flow!T86)</f>
        <v>67.631786990000009</v>
      </c>
      <c r="D61" s="83">
        <f>IF(D$56=1,NA(),Cost_Flow!AK86)</f>
        <v>214.526749</v>
      </c>
      <c r="E61" s="83">
        <f>IF(E$56=1,NA(),Cost_Flow!BB86)</f>
        <v>78.368869599999996</v>
      </c>
      <c r="F61" s="83">
        <f>IF(F$56=1,NA(),Cost_Flow!BS86)</f>
        <v>128.46533755200002</v>
      </c>
    </row>
    <row r="62" spans="1:20" s="73" customFormat="1" x14ac:dyDescent="0.25">
      <c r="A62" s="73">
        <v>2050</v>
      </c>
      <c r="B62" s="83">
        <f>Cost_Flow!C111</f>
        <v>13.134370740000001</v>
      </c>
      <c r="C62" s="83">
        <f>IF(C$56=1,NA(),Cost_Flow!T111)</f>
        <v>71.597415209999994</v>
      </c>
      <c r="D62" s="83">
        <f>IF(D$56=1,NA(),Cost_Flow!AK111)</f>
        <v>244.77947369999998</v>
      </c>
      <c r="E62" s="83">
        <f>IF(E$56=1,NA(),Cost_Flow!BB111)</f>
        <v>78.5274103</v>
      </c>
      <c r="F62" s="83">
        <f>IF(F$56=1,NA(),Cost_Flow!BS111)</f>
        <v>128.50056621300001</v>
      </c>
    </row>
    <row r="63" spans="1:20" s="73" customFormat="1" x14ac:dyDescent="0.25">
      <c r="A63" s="4" t="s">
        <v>381</v>
      </c>
    </row>
    <row r="64" spans="1:20" x14ac:dyDescent="0.25">
      <c r="A64" s="41" t="s">
        <v>47</v>
      </c>
      <c r="B64" t="s">
        <v>382</v>
      </c>
    </row>
    <row r="65" spans="1:6" x14ac:dyDescent="0.25">
      <c r="A65" s="41" t="s">
        <v>48</v>
      </c>
      <c r="B65" s="37" t="str">
        <f>B84</f>
        <v>Miljoen euro/jaar</v>
      </c>
    </row>
    <row r="67" spans="1:6" x14ac:dyDescent="0.25">
      <c r="A67" s="37"/>
      <c r="B67" s="1" t="str">
        <f>ReadMe!C16</f>
        <v>Referentie</v>
      </c>
      <c r="C67" s="1" t="str">
        <f>ReadMe!D16</f>
        <v>Label_B</v>
      </c>
      <c r="D67" s="1" t="str">
        <f>ReadMe!E16</f>
        <v>Label_A+</v>
      </c>
      <c r="E67" s="1" t="str">
        <f>ReadMe!F16</f>
        <v>Label_A+_eWP</v>
      </c>
      <c r="F67" s="1" t="str">
        <f>ReadMe!G16</f>
        <v>Label_B_WP2euro/m3</v>
      </c>
    </row>
    <row r="68" spans="1:6" x14ac:dyDescent="0.25">
      <c r="A68" s="37">
        <v>2013</v>
      </c>
      <c r="B68" s="83">
        <f>IF(B$56=1,NA(),B14-($E$163+$E$164))</f>
        <v>293.03742798099967</v>
      </c>
      <c r="C68" s="83">
        <f>IF(C$56=1,NA(),C14-($E$163+$E$164))</f>
        <v>293.03742798099967</v>
      </c>
      <c r="D68" s="83">
        <f>IF(D$56=1,NA(),D14-($E$163+$E$164))</f>
        <v>293.03742798099967</v>
      </c>
      <c r="E68" s="83">
        <f>IF(E$56=1,NA(),E14-($E$163+$E$164))</f>
        <v>293.03742798099967</v>
      </c>
      <c r="F68" s="83">
        <f>IF(F$56=1,NA(),F14-($E$163+$E$164))</f>
        <v>293.03742798099967</v>
      </c>
    </row>
    <row r="69" spans="1:6" x14ac:dyDescent="0.25">
      <c r="A69" s="37">
        <f>A25</f>
        <v>2030</v>
      </c>
      <c r="B69" s="83">
        <f>IF(B$56=1,NA(),B32-($G$163+$G$164))</f>
        <v>325.95216172054</v>
      </c>
      <c r="C69" s="83">
        <f>IF(C$56=1,NA(),C32-($G$163+$G$164))</f>
        <v>389.1186806892</v>
      </c>
      <c r="D69" s="83">
        <f>IF(D$56=1,NA(),D32-($G$163+$G$164))</f>
        <v>486.86223748980001</v>
      </c>
      <c r="E69" s="83">
        <f>IF(E$56=1,NA(),E32-($G$163+$G$164))</f>
        <v>523.08386583069989</v>
      </c>
      <c r="F69" s="83">
        <f>IF(F$56=1,NA(),F32-($G$163+$G$164))</f>
        <v>677.406674798214</v>
      </c>
    </row>
    <row r="70" spans="1:6" x14ac:dyDescent="0.25">
      <c r="A70" s="37">
        <f>A43</f>
        <v>2050</v>
      </c>
      <c r="B70" s="83">
        <f>IF(B$56=1,NA(),B50-($I$163+$I$164))</f>
        <v>349.58609100370006</v>
      </c>
      <c r="C70" s="83">
        <f>IF(C$56=1,NA(),C50-($I$163+$I$164))</f>
        <v>411.72670893609995</v>
      </c>
      <c r="D70" s="83">
        <f>IF(D$56=1,NA(),D50-($I$163+$I$164))</f>
        <v>516.06452552439987</v>
      </c>
      <c r="E70" s="83">
        <f>IF(E$56=1,NA(),E50-($I$163+$I$164))</f>
        <v>503.4114641028001</v>
      </c>
      <c r="F70" s="83">
        <f>IF(F$56=1,NA(),F50-($I$163+$I$164))</f>
        <v>668.56788801473328</v>
      </c>
    </row>
    <row r="72" spans="1:6" s="73" customFormat="1" x14ac:dyDescent="0.25">
      <c r="A72" s="4" t="s">
        <v>377</v>
      </c>
    </row>
    <row r="73" spans="1:6" s="73" customFormat="1" x14ac:dyDescent="0.25">
      <c r="B73" s="73" t="s">
        <v>376</v>
      </c>
    </row>
    <row r="74" spans="1:6" s="73" customFormat="1" x14ac:dyDescent="0.25">
      <c r="B74" s="1" t="str">
        <f>ReadMe!C16</f>
        <v>Referentie</v>
      </c>
      <c r="C74" s="1" t="str">
        <f>ReadMe!D16</f>
        <v>Label_B</v>
      </c>
      <c r="D74" s="1" t="str">
        <f>ReadMe!E16</f>
        <v>Label_A+</v>
      </c>
      <c r="E74" s="1" t="str">
        <f>ReadMe!F16</f>
        <v>Label_A+_eWP</v>
      </c>
      <c r="F74" s="1" t="str">
        <f>ReadMe!G16</f>
        <v>Label_B_WP2euro/m3</v>
      </c>
    </row>
    <row r="75" spans="1:6" s="73" customFormat="1" x14ac:dyDescent="0.25">
      <c r="A75" s="73">
        <v>2013</v>
      </c>
      <c r="B75" s="83">
        <f>IF(B$56=1,NA(),B9)</f>
        <v>225.46842604699981</v>
      </c>
      <c r="C75" s="83">
        <f>IF(C$56=1,NA(),C9)</f>
        <v>225.46842604699981</v>
      </c>
      <c r="D75" s="83">
        <f>IF(D$56=1,NA(),D9)</f>
        <v>225.46842604699981</v>
      </c>
      <c r="E75" s="83">
        <f>IF(E$56=1,NA(),E9)</f>
        <v>225.46842604699981</v>
      </c>
      <c r="F75" s="83">
        <f>IF(F$56=1,NA(),F9)</f>
        <v>225.46842604699981</v>
      </c>
    </row>
    <row r="76" spans="1:6" s="73" customFormat="1" x14ac:dyDescent="0.25">
      <c r="A76" s="73">
        <v>2020</v>
      </c>
      <c r="B76" s="83">
        <f>IF(B$56=1,NA(),B18)</f>
        <v>237.429436147177</v>
      </c>
      <c r="C76" s="83">
        <f>IF(C$56=1,NA(),C18)</f>
        <v>285.08329851240001</v>
      </c>
      <c r="D76" s="83">
        <f>IF(D$56=1,NA(),D18)</f>
        <v>351.45807096469997</v>
      </c>
      <c r="E76" s="83">
        <f>IF(E$56=1,NA(),E18)</f>
        <v>420.83152673730001</v>
      </c>
      <c r="F76" s="83">
        <f>IF(F$56=1,NA(),F18)</f>
        <v>386.47179046499599</v>
      </c>
    </row>
    <row r="77" spans="1:6" s="73" customFormat="1" x14ac:dyDescent="0.25">
      <c r="A77" s="73">
        <v>2030</v>
      </c>
      <c r="B77" s="83">
        <f>IF(B$56=1,NA(),B27)</f>
        <v>241.24288879884</v>
      </c>
      <c r="C77" s="83">
        <f>IF(C$56=1,NA(),C27)</f>
        <v>293.33756376669999</v>
      </c>
      <c r="D77" s="83">
        <f>IF(D$56=1,NA(),D27)</f>
        <v>391.86052994529996</v>
      </c>
      <c r="E77" s="83">
        <f>IF(E$56=1,NA(),E27)</f>
        <v>412.76443494069997</v>
      </c>
      <c r="F77" s="83">
        <f>IF(F$56=1,NA(),F27)</f>
        <v>395.13275858240399</v>
      </c>
    </row>
    <row r="78" spans="1:6" s="73" customFormat="1" x14ac:dyDescent="0.25">
      <c r="A78" s="73">
        <v>2040</v>
      </c>
      <c r="B78" s="83">
        <f>IF(B$56=1,NA(),B36)</f>
        <v>257.09917442130001</v>
      </c>
      <c r="C78" s="83">
        <f>IF(C$56=1,NA(),C36)</f>
        <v>300.92385160629999</v>
      </c>
      <c r="D78" s="83">
        <f>IF(D$56=1,NA(),D36)</f>
        <v>427.26665044029994</v>
      </c>
      <c r="E78" s="83">
        <f>IF(E$56=1,NA(),E36)</f>
        <v>405.79478254489993</v>
      </c>
      <c r="F78" s="83">
        <f>IF(F$56=1,NA(),F36)</f>
        <v>401.75745736828299</v>
      </c>
    </row>
    <row r="79" spans="1:6" s="73" customFormat="1" x14ac:dyDescent="0.25">
      <c r="A79" s="73">
        <v>2050</v>
      </c>
      <c r="B79" s="83">
        <f>IF(B$56=1,NA(),B45)</f>
        <v>267.0227985427</v>
      </c>
      <c r="C79" s="83">
        <f>IF(C$56=1,NA(),C45)</f>
        <v>315.19782025209997</v>
      </c>
      <c r="D79" s="83">
        <f>IF(D$56=1,NA(),D45)</f>
        <v>463.56397080339997</v>
      </c>
      <c r="E79" s="83">
        <f>IF(E$56=1,NA(),E45)</f>
        <v>402.11871375700002</v>
      </c>
      <c r="F79" s="83">
        <f>IF(F$56=1,NA(),F45)</f>
        <v>409.25763227129329</v>
      </c>
    </row>
    <row r="80" spans="1:6" s="73" customFormat="1" x14ac:dyDescent="0.25"/>
    <row r="81" spans="1:7" s="73" customFormat="1" x14ac:dyDescent="0.25"/>
    <row r="82" spans="1:7" x14ac:dyDescent="0.25">
      <c r="A82" s="4" t="s">
        <v>378</v>
      </c>
    </row>
    <row r="83" spans="1:7" x14ac:dyDescent="0.25">
      <c r="A83" s="41" t="s">
        <v>47</v>
      </c>
      <c r="B83" t="s">
        <v>379</v>
      </c>
    </row>
    <row r="84" spans="1:7" x14ac:dyDescent="0.25">
      <c r="A84" s="41" t="s">
        <v>48</v>
      </c>
      <c r="B84" t="s">
        <v>44</v>
      </c>
    </row>
    <row r="86" spans="1:7" x14ac:dyDescent="0.25">
      <c r="B86" s="1">
        <v>2013</v>
      </c>
      <c r="C86" s="1" t="str">
        <f>B67</f>
        <v>Referentie</v>
      </c>
      <c r="D86" s="1" t="str">
        <f>C67</f>
        <v>Label_B</v>
      </c>
      <c r="E86" s="1" t="str">
        <f>D67</f>
        <v>Label_A+</v>
      </c>
      <c r="F86" s="1" t="str">
        <f>E67</f>
        <v>Label_A+_eWP</v>
      </c>
      <c r="G86" s="1" t="str">
        <f>F67</f>
        <v>Label_B_WP2euro/m3</v>
      </c>
    </row>
    <row r="87" spans="1:7" x14ac:dyDescent="0.25">
      <c r="A87" t="str">
        <f>A47</f>
        <v>Winst/Verlies warmtebedrijven</v>
      </c>
      <c r="B87" s="83">
        <f>B11</f>
        <v>-1.86205252</v>
      </c>
      <c r="C87" s="83">
        <f>IF(B$56=1,NA(),B47)</f>
        <v>1.4593459999999947E-2</v>
      </c>
      <c r="D87" s="83">
        <f>IF(C$56=1,NA(),C47)</f>
        <v>-2.4296055300000003</v>
      </c>
      <c r="E87" s="83">
        <f>IF(D$56=1,NA(),D47)</f>
        <v>-108.38104042000001</v>
      </c>
      <c r="F87" s="83">
        <f>IF(E$56=1,NA(),E47)</f>
        <v>-3.5991502299999998</v>
      </c>
      <c r="G87" s="83">
        <f>IF(F$56=1,NA(),F47)</f>
        <v>117.70974339428999</v>
      </c>
    </row>
    <row r="88" spans="1:7" x14ac:dyDescent="0.25">
      <c r="A88" t="str">
        <f>A45</f>
        <v>Nationale kosten</v>
      </c>
      <c r="B88" s="83">
        <f>B9</f>
        <v>225.46842604699981</v>
      </c>
      <c r="C88" s="83">
        <f>IF(B$56=1,NA(),B45+SUM(B59:B62))</f>
        <v>301.77274709483999</v>
      </c>
      <c r="D88" s="83">
        <f>IF(C$56=1,NA(),C45+SUM(C59:C62))</f>
        <v>583.58155049209995</v>
      </c>
      <c r="E88" s="83">
        <f>IF(D$56=1,NA(),D45+SUM(D59:D62))</f>
        <v>1269.4709627033999</v>
      </c>
      <c r="F88" s="83">
        <f>IF(E$56=1,NA(),E45+SUM(E59:E62))</f>
        <v>715.43900995700005</v>
      </c>
      <c r="G88" s="83">
        <f>IF(F$56=1,NA(),F45+SUM(F59:F62))</f>
        <v>923.05034351979339</v>
      </c>
    </row>
    <row r="89" spans="1:7" x14ac:dyDescent="0.25">
      <c r="A89" t="str">
        <f>A46</f>
        <v>Overheid</v>
      </c>
      <c r="B89" s="83">
        <f>B10-(E163+E164)</f>
        <v>69.431054454000019</v>
      </c>
      <c r="C89" s="83">
        <f>IF(B$56=1,NA(),B46-($E$163+$E$164))</f>
        <v>76.844606313000014</v>
      </c>
      <c r="D89" s="83">
        <f>IF(C$56=1,NA(),C46-($E$163+$E$164))</f>
        <v>72.757179662999988</v>
      </c>
      <c r="E89" s="83">
        <f>IF(D$56=1,NA(),D46-($E$163+$E$164))</f>
        <v>80.858967382000003</v>
      </c>
      <c r="F89" s="83">
        <f>IF(E$56=1,NA(),E46-($E$163+$E$164))</f>
        <v>67.759224059000019</v>
      </c>
      <c r="G89" s="83">
        <f>IF(F$56=1,NA(),F46-($E$163+$E$164))</f>
        <v>98.923831856850001</v>
      </c>
    </row>
    <row r="90" spans="1:7" x14ac:dyDescent="0.25">
      <c r="A90" t="str">
        <f>A48</f>
        <v>Risicopremie</v>
      </c>
      <c r="B90" s="83">
        <f>B12</f>
        <v>-1.1101365089999999E-13</v>
      </c>
      <c r="C90" s="83">
        <f>IF(B$56=1,NA(),B48)</f>
        <v>4.2192892899999999</v>
      </c>
      <c r="D90" s="83">
        <f>IF(C$56=1,NA(),C48)</f>
        <v>24.716511152999995</v>
      </c>
      <c r="E90" s="83">
        <f>IF(D$56=1,NA(),D48)</f>
        <v>78.537824360999991</v>
      </c>
      <c r="F90" s="83">
        <f>IF(E$56=1,NA(),E48)</f>
        <v>35.6478731188</v>
      </c>
      <c r="G90" s="83">
        <f>IF(F$56=1,NA(),F48)</f>
        <v>41.191877094300004</v>
      </c>
    </row>
    <row r="92" spans="1:7" ht="21" x14ac:dyDescent="0.35">
      <c r="A92" s="5" t="s">
        <v>49</v>
      </c>
    </row>
    <row r="93" spans="1:7" x14ac:dyDescent="0.25">
      <c r="A93" s="4" t="s">
        <v>50</v>
      </c>
    </row>
    <row r="94" spans="1:7" x14ac:dyDescent="0.25">
      <c r="A94" s="41" t="s">
        <v>47</v>
      </c>
      <c r="B94" t="s">
        <v>164</v>
      </c>
    </row>
    <row r="95" spans="1:7" x14ac:dyDescent="0.25">
      <c r="A95" s="41" t="s">
        <v>48</v>
      </c>
      <c r="B95" t="str">
        <f>B104</f>
        <v>PJ/jaar</v>
      </c>
    </row>
    <row r="97" spans="1:7" x14ac:dyDescent="0.25">
      <c r="A97" s="37"/>
      <c r="B97" s="1" t="str">
        <f>B67</f>
        <v>Referentie</v>
      </c>
      <c r="C97" s="1" t="str">
        <f>C67</f>
        <v>Label_B</v>
      </c>
      <c r="D97" s="1" t="str">
        <f>D67</f>
        <v>Label_A+</v>
      </c>
      <c r="E97" s="1" t="str">
        <f>E67</f>
        <v>Label_A+_eWP</v>
      </c>
      <c r="F97" s="1" t="str">
        <f>F67</f>
        <v>Label_B_WP2euro/m3</v>
      </c>
    </row>
    <row r="98" spans="1:7" x14ac:dyDescent="0.25">
      <c r="A98" s="37">
        <v>2013</v>
      </c>
      <c r="B98" s="83">
        <f>IF(B$56=1,NA(),I14)</f>
        <v>9.6084393950000013</v>
      </c>
      <c r="C98" s="83">
        <f>IF(C$56=1,NA(),J14)</f>
        <v>9.6084393950000013</v>
      </c>
      <c r="D98" s="83">
        <f>IF(D$56=1,NA(),K14)</f>
        <v>9.6084393950000013</v>
      </c>
      <c r="E98" s="83">
        <f>IF(E$56=1,NA(),L14)</f>
        <v>9.6084393950000013</v>
      </c>
      <c r="F98" s="83">
        <f>IF(F$56=1,NA(),M14)</f>
        <v>9.6084393950000013</v>
      </c>
    </row>
    <row r="99" spans="1:7" x14ac:dyDescent="0.25">
      <c r="A99" s="37">
        <f>H25</f>
        <v>2030</v>
      </c>
      <c r="B99" s="83">
        <f>IF(B$56=1,NA(),I32)</f>
        <v>9.6245747203200001</v>
      </c>
      <c r="C99" s="83">
        <f>IF(C$56=1,NA(),J32)</f>
        <v>8.0982421942799991</v>
      </c>
      <c r="D99" s="83">
        <f>IF(D$56=1,NA(),K32)</f>
        <v>6.9338257277199995</v>
      </c>
      <c r="E99" s="83">
        <f>IF(E$56=1,NA(),L32)</f>
        <v>5.6603560047000006</v>
      </c>
      <c r="F99" s="83">
        <f>IF(F$56=1,NA(),M32)</f>
        <v>7.7939345913779992</v>
      </c>
    </row>
    <row r="100" spans="1:7" x14ac:dyDescent="0.25">
      <c r="A100" s="37">
        <f>H43</f>
        <v>2050</v>
      </c>
      <c r="B100" s="83">
        <f>IF(B$56=1,NA(),I50)</f>
        <v>9.2493323855020009</v>
      </c>
      <c r="C100" s="83">
        <f>IF(C$56=1,NA(),J50)</f>
        <v>7.8516439253129988</v>
      </c>
      <c r="D100" s="83">
        <f>IF(D$56=1,NA(),K50)</f>
        <v>6.7901844315139996</v>
      </c>
      <c r="E100" s="83">
        <f>IF(E$56=1,NA(),L50)</f>
        <v>5.5040911553000003</v>
      </c>
      <c r="F100" s="83">
        <f>IF(F$56=1,NA(),M50)</f>
        <v>7.5713210163180005</v>
      </c>
    </row>
    <row r="102" spans="1:7" x14ac:dyDescent="0.25">
      <c r="A102" s="4" t="s">
        <v>51</v>
      </c>
    </row>
    <row r="103" spans="1:7" x14ac:dyDescent="0.25">
      <c r="A103" s="41" t="s">
        <v>47</v>
      </c>
      <c r="B103" s="73" t="s">
        <v>165</v>
      </c>
    </row>
    <row r="104" spans="1:7" x14ac:dyDescent="0.25">
      <c r="A104" s="41" t="s">
        <v>48</v>
      </c>
      <c r="B104" t="s">
        <v>28</v>
      </c>
    </row>
    <row r="106" spans="1:7" x14ac:dyDescent="0.25">
      <c r="A106" s="37"/>
      <c r="B106" s="1">
        <f>B86</f>
        <v>2013</v>
      </c>
      <c r="C106" s="1" t="str">
        <f>B67</f>
        <v>Referentie</v>
      </c>
      <c r="D106" s="1" t="str">
        <f>C67</f>
        <v>Label_B</v>
      </c>
      <c r="E106" s="1" t="str">
        <f>D67</f>
        <v>Label_A+</v>
      </c>
      <c r="F106" s="1" t="str">
        <f>E67</f>
        <v>Label_A+_eWP</v>
      </c>
      <c r="G106" s="1" t="str">
        <f>F67</f>
        <v>Label_B_WP2euro/m3</v>
      </c>
    </row>
    <row r="107" spans="1:7" x14ac:dyDescent="0.25">
      <c r="A107" s="37" t="s">
        <v>3</v>
      </c>
      <c r="B107" s="112">
        <f>I9</f>
        <v>4.7156557600000006</v>
      </c>
      <c r="C107" s="112">
        <f t="shared" ref="C107:D111" si="0">I45</f>
        <v>3.4296914419019999</v>
      </c>
      <c r="D107" s="112">
        <f t="shared" si="0"/>
        <v>2.713456208213</v>
      </c>
      <c r="E107" s="112">
        <f>IF(D$56=1,NA(),K45)</f>
        <v>0.37433734001400004</v>
      </c>
      <c r="F107" s="112">
        <f t="shared" ref="F107:G111" si="1">IF(E$56=1,NA(),L45)</f>
        <v>0</v>
      </c>
      <c r="G107" s="112">
        <f t="shared" si="1"/>
        <v>1.2061417865E-2</v>
      </c>
    </row>
    <row r="108" spans="1:7" x14ac:dyDescent="0.25">
      <c r="A108" s="37" t="s">
        <v>38</v>
      </c>
      <c r="B108" s="112">
        <f>I10</f>
        <v>2.7905743200000002</v>
      </c>
      <c r="C108" s="112">
        <f t="shared" si="0"/>
        <v>3.1307742063000004</v>
      </c>
      <c r="D108" s="112">
        <f t="shared" si="0"/>
        <v>3.1307618593999997</v>
      </c>
      <c r="E108" s="112">
        <f>IF(D$56=1,NA(),K46)</f>
        <v>3.6918337123999998</v>
      </c>
      <c r="F108" s="112">
        <f t="shared" si="1"/>
        <v>3.4305533344000003</v>
      </c>
      <c r="G108" s="112">
        <f t="shared" si="1"/>
        <v>3.0640449293500001</v>
      </c>
    </row>
    <row r="109" spans="1:7" x14ac:dyDescent="0.25">
      <c r="A109" s="37" t="s">
        <v>39</v>
      </c>
      <c r="B109" s="112">
        <f>I11</f>
        <v>2.1022093150000001</v>
      </c>
      <c r="C109" s="112">
        <f t="shared" si="0"/>
        <v>2.6888667373000001</v>
      </c>
      <c r="D109" s="112">
        <f t="shared" si="0"/>
        <v>2.0074258576999999</v>
      </c>
      <c r="E109" s="112">
        <f>IF(D$56=1,NA(),K47)</f>
        <v>2.7240133790999992</v>
      </c>
      <c r="F109" s="112">
        <f t="shared" si="1"/>
        <v>2.0735378208999999</v>
      </c>
      <c r="G109" s="112">
        <f t="shared" si="1"/>
        <v>4.4952146691030004</v>
      </c>
    </row>
    <row r="110" spans="1:7" x14ac:dyDescent="0.25">
      <c r="A110" s="37" t="s">
        <v>40</v>
      </c>
      <c r="B110" s="112">
        <f>I12</f>
        <v>0</v>
      </c>
      <c r="C110" s="112">
        <f t="shared" si="0"/>
        <v>0</v>
      </c>
      <c r="D110" s="112">
        <f t="shared" si="0"/>
        <v>0</v>
      </c>
      <c r="E110" s="112">
        <f>IF(D$56=1,NA(),K48)</f>
        <v>0</v>
      </c>
      <c r="F110" s="112">
        <f t="shared" si="1"/>
        <v>0</v>
      </c>
      <c r="G110" s="112">
        <f t="shared" si="1"/>
        <v>0</v>
      </c>
    </row>
    <row r="111" spans="1:7" x14ac:dyDescent="0.25">
      <c r="A111" s="37" t="s">
        <v>41</v>
      </c>
      <c r="B111" s="112">
        <f>I13</f>
        <v>0.56816467900000001</v>
      </c>
      <c r="C111" s="112">
        <f t="shared" si="0"/>
        <v>0.67090751599999998</v>
      </c>
      <c r="D111" s="112">
        <f t="shared" si="0"/>
        <v>0.48766335300000002</v>
      </c>
      <c r="E111" s="112">
        <f>IF(D$56=1,NA(),K49)</f>
        <v>0.29100172499999999</v>
      </c>
      <c r="F111" s="112">
        <f t="shared" si="1"/>
        <v>0.56041562599999994</v>
      </c>
      <c r="G111" s="112">
        <f t="shared" si="1"/>
        <v>1.2144274310000001</v>
      </c>
    </row>
    <row r="113" spans="1:7" ht="21" x14ac:dyDescent="0.35">
      <c r="A113" s="5" t="s">
        <v>52</v>
      </c>
    </row>
    <row r="114" spans="1:7" x14ac:dyDescent="0.25">
      <c r="A114" s="4" t="s">
        <v>53</v>
      </c>
    </row>
    <row r="115" spans="1:7" x14ac:dyDescent="0.25">
      <c r="A115" s="41" t="s">
        <v>47</v>
      </c>
      <c r="B115" t="s">
        <v>154</v>
      </c>
    </row>
    <row r="116" spans="1:7" x14ac:dyDescent="0.25">
      <c r="A116" s="41" t="s">
        <v>48</v>
      </c>
      <c r="B116" s="37" t="s">
        <v>45</v>
      </c>
    </row>
    <row r="117" spans="1:7" x14ac:dyDescent="0.25">
      <c r="A117" s="37"/>
      <c r="B117" s="37"/>
      <c r="C117" s="37"/>
      <c r="D117" s="37"/>
      <c r="E117" s="37"/>
      <c r="F117" s="37"/>
    </row>
    <row r="118" spans="1:7" x14ac:dyDescent="0.25">
      <c r="B118" s="1" t="str">
        <f>B67</f>
        <v>Referentie</v>
      </c>
      <c r="C118" s="1" t="str">
        <f>C67</f>
        <v>Label_B</v>
      </c>
      <c r="D118" s="1" t="str">
        <f>D67</f>
        <v>Label_A+</v>
      </c>
      <c r="E118" s="1" t="str">
        <f>E67</f>
        <v>Label_A+_eWP</v>
      </c>
      <c r="F118" s="1" t="str">
        <f>F67</f>
        <v>Label_B_WP2euro/m3</v>
      </c>
    </row>
    <row r="119" spans="1:7" x14ac:dyDescent="0.25">
      <c r="A119">
        <v>2013</v>
      </c>
      <c r="B119" s="112">
        <f>IF(B$56=1,NA(),P14-(P11*(1-$C142)))</f>
        <v>0.59061059590000009</v>
      </c>
      <c r="C119" s="112">
        <f>IF(C$56=1,NA(),Q14-(Q11*(1-$C142)))</f>
        <v>0.59061059590000009</v>
      </c>
      <c r="D119" s="112">
        <f>IF(D$56=1,NA(),R14-(R11*(1-$C142)))</f>
        <v>0.59061059590000009</v>
      </c>
      <c r="E119" s="112">
        <f>IF(E$56=1,NA(),S14-(S11*(1-$C142)))</f>
        <v>0.59061059590000009</v>
      </c>
      <c r="F119" s="112">
        <f>IF(F$56=1,NA(),T14-(T11*(1-$C142)))</f>
        <v>0.59061059590000009</v>
      </c>
    </row>
    <row r="120" spans="1:7" x14ac:dyDescent="0.25">
      <c r="A120">
        <f>O25</f>
        <v>2030</v>
      </c>
      <c r="B120" s="112">
        <f>IF(B$56=1,NA(),P32-(P29*(1-$C143)))</f>
        <v>0.25790976163653284</v>
      </c>
      <c r="C120" s="112">
        <f>IF(C$56=1,NA(),Q32-(Q29*(1-$C143)))</f>
        <v>0.21053563556653995</v>
      </c>
      <c r="D120" s="112">
        <f>IF(D$56=1,NA(),R32-(R29*(1-$C143)))</f>
        <v>8.0609545778591127E-2</v>
      </c>
      <c r="E120" s="112">
        <f>IF(E$56=1,NA(),S32-(S29*(1-$C143)))</f>
        <v>5.8501958253952269E-2</v>
      </c>
      <c r="F120" s="112">
        <f>IF(F$56=1,NA(),T32-(T29*(1-$C143)))</f>
        <v>5.596935657943243E-2</v>
      </c>
    </row>
    <row r="121" spans="1:7" x14ac:dyDescent="0.25">
      <c r="A121">
        <f>O43</f>
        <v>2050</v>
      </c>
      <c r="B121" s="112">
        <f>IF(B$56=1,NA(),P50-(P47*(1-$C144)))</f>
        <v>0.20497389660596343</v>
      </c>
      <c r="C121" s="112">
        <f>IF(C$56=1,NA(),Q50-(Q47*(1-$C144)))</f>
        <v>0.16843858521641719</v>
      </c>
      <c r="D121" s="112">
        <f>IF(D$56=1,NA(),R50-(R47*(1-$C144)))</f>
        <v>4.9541560401992063E-2</v>
      </c>
      <c r="E121" s="112">
        <f>IF(E$56=1,NA(),S50-(S47*(1-$C144)))</f>
        <v>3.4305533345044256E-2</v>
      </c>
      <c r="F121" s="112">
        <f>IF(F$56=1,NA(),T50-(T47*(1-$C144)))</f>
        <v>3.3202578913659048E-2</v>
      </c>
    </row>
    <row r="123" spans="1:7" x14ac:dyDescent="0.25">
      <c r="A123" s="4" t="s">
        <v>54</v>
      </c>
    </row>
    <row r="124" spans="1:7" x14ac:dyDescent="0.25">
      <c r="A124" s="41" t="s">
        <v>47</v>
      </c>
      <c r="B124" t="s">
        <v>155</v>
      </c>
    </row>
    <row r="125" spans="1:7" x14ac:dyDescent="0.25">
      <c r="A125" s="41" t="s">
        <v>48</v>
      </c>
      <c r="B125" t="s">
        <v>45</v>
      </c>
    </row>
    <row r="127" spans="1:7" x14ac:dyDescent="0.25">
      <c r="B127" s="1">
        <f>B86</f>
        <v>2013</v>
      </c>
      <c r="C127" s="1" t="str">
        <f>B67</f>
        <v>Referentie</v>
      </c>
      <c r="D127" s="1" t="str">
        <f>C67</f>
        <v>Label_B</v>
      </c>
      <c r="E127" s="1" t="str">
        <f>D67</f>
        <v>Label_A+</v>
      </c>
      <c r="F127" s="1" t="str">
        <f>E67</f>
        <v>Label_A+_eWP</v>
      </c>
      <c r="G127" s="1" t="str">
        <f>F67</f>
        <v>Label_B_WP2euro/m3</v>
      </c>
    </row>
    <row r="128" spans="1:7" x14ac:dyDescent="0.25">
      <c r="A128" s="37" t="s">
        <v>3</v>
      </c>
      <c r="B128" s="112">
        <f>P9</f>
        <v>0.23868816780000002</v>
      </c>
      <c r="C128" s="112">
        <f t="shared" ref="C128:D132" si="2">IF(B$56=1,NA(),P45)</f>
        <v>0.17359765175929998</v>
      </c>
      <c r="D128" s="112">
        <f t="shared" si="2"/>
        <v>0.1373446081811</v>
      </c>
      <c r="E128" s="112">
        <f>IF(D$56=1,NA(),R45)</f>
        <v>1.89475013947E-2</v>
      </c>
      <c r="F128" s="112">
        <f t="shared" ref="F128:G132" si="3">IF(E$56=1,NA(),S45)</f>
        <v>0</v>
      </c>
      <c r="G128" s="112">
        <f t="shared" si="3"/>
        <v>6.1050209609999999E-4</v>
      </c>
    </row>
    <row r="129" spans="1:7" x14ac:dyDescent="0.25">
      <c r="A129" s="37" t="s">
        <v>38</v>
      </c>
      <c r="B129" s="112">
        <f>P10</f>
        <v>0.35192242800000001</v>
      </c>
      <c r="C129" s="112">
        <f t="shared" si="2"/>
        <v>3.0488566064000001E-2</v>
      </c>
      <c r="D129" s="112">
        <f t="shared" si="2"/>
        <v>3.0503181564000004E-2</v>
      </c>
      <c r="E129" s="112">
        <f>IF(D$56=1,NA(),R46)</f>
        <v>3.0041679984000001E-2</v>
      </c>
      <c r="F129" s="112">
        <f t="shared" si="3"/>
        <v>3.4305533344000008E-2</v>
      </c>
      <c r="G129" s="112">
        <f t="shared" si="3"/>
        <v>3.0633187964000004E-2</v>
      </c>
    </row>
    <row r="130" spans="1:7" x14ac:dyDescent="0.25">
      <c r="A130" s="37" t="s">
        <v>39</v>
      </c>
      <c r="B130" s="112">
        <f>P11</f>
        <v>1.000000013351432E-10</v>
      </c>
      <c r="C130" s="112">
        <f t="shared" si="2"/>
        <v>1.1050858881900001E-2</v>
      </c>
      <c r="D130" s="112">
        <f>IF(C$56=1,NA(),Q47)</f>
        <v>7.354909804200005E-3</v>
      </c>
      <c r="E130" s="112">
        <f>IF(D$56=1,NA(),R47)</f>
        <v>6.8766571364999984E-3</v>
      </c>
      <c r="F130" s="112">
        <f t="shared" si="3"/>
        <v>1.3000003851182385E-11</v>
      </c>
      <c r="G130" s="112">
        <f t="shared" si="3"/>
        <v>2.438652889849998E-2</v>
      </c>
    </row>
    <row r="131" spans="1:7" x14ac:dyDescent="0.25">
      <c r="A131" s="37" t="s">
        <v>40</v>
      </c>
      <c r="B131" s="112">
        <f>P12</f>
        <v>0</v>
      </c>
      <c r="C131" s="112">
        <f t="shared" si="2"/>
        <v>0</v>
      </c>
      <c r="D131" s="112">
        <f t="shared" si="2"/>
        <v>0</v>
      </c>
      <c r="E131" s="112">
        <f>IF(D$56=1,NA(),R48)</f>
        <v>0</v>
      </c>
      <c r="F131" s="112">
        <f t="shared" si="3"/>
        <v>0</v>
      </c>
      <c r="G131" s="112">
        <f t="shared" si="3"/>
        <v>0</v>
      </c>
    </row>
    <row r="132" spans="1:7" x14ac:dyDescent="0.25">
      <c r="A132" s="37" t="s">
        <v>41</v>
      </c>
      <c r="B132" s="112">
        <f>P13</f>
        <v>2.8758288E-2</v>
      </c>
      <c r="C132" s="112">
        <f t="shared" si="2"/>
        <v>3.39587311E-2</v>
      </c>
      <c r="D132" s="112">
        <f t="shared" si="2"/>
        <v>2.4683623699999997E-2</v>
      </c>
      <c r="E132" s="112">
        <f>IF(D$56=1,NA(),R49)</f>
        <v>1.4729376399999999E-2</v>
      </c>
      <c r="F132" s="112">
        <f t="shared" si="3"/>
        <v>2.8366061099999999E-2</v>
      </c>
      <c r="G132" s="112">
        <f t="shared" si="3"/>
        <v>6.1469597000000008E-2</v>
      </c>
    </row>
    <row r="134" spans="1:7" s="73" customFormat="1" x14ac:dyDescent="0.25">
      <c r="A134" s="4" t="s">
        <v>159</v>
      </c>
    </row>
    <row r="135" spans="1:7" x14ac:dyDescent="0.25">
      <c r="B135" t="s">
        <v>160</v>
      </c>
      <c r="C135" t="s">
        <v>73</v>
      </c>
    </row>
    <row r="136" spans="1:7" s="73" customFormat="1" x14ac:dyDescent="0.25">
      <c r="B136" s="73" t="s">
        <v>161</v>
      </c>
      <c r="C136" s="73" t="s">
        <v>161</v>
      </c>
    </row>
    <row r="137" spans="1:7" x14ac:dyDescent="0.25">
      <c r="A137">
        <v>2013</v>
      </c>
      <c r="B137">
        <v>0.45427000000000001</v>
      </c>
      <c r="C137" s="73">
        <v>0.45427000000000001</v>
      </c>
    </row>
    <row r="138" spans="1:7" x14ac:dyDescent="0.25">
      <c r="A138">
        <v>2030</v>
      </c>
      <c r="B138">
        <v>0.13894000000000001</v>
      </c>
      <c r="C138">
        <v>6.0749999999999998E-2</v>
      </c>
    </row>
    <row r="139" spans="1:7" x14ac:dyDescent="0.25">
      <c r="A139">
        <v>2050</v>
      </c>
      <c r="B139">
        <v>0.12046</v>
      </c>
      <c r="C139">
        <v>3.6490000000000002E-2</v>
      </c>
    </row>
    <row r="140" spans="1:7" x14ac:dyDescent="0.25">
      <c r="A140" s="41" t="s">
        <v>162</v>
      </c>
    </row>
    <row r="141" spans="1:7" x14ac:dyDescent="0.25">
      <c r="B141" s="73" t="s">
        <v>160</v>
      </c>
      <c r="C141" s="73" t="s">
        <v>73</v>
      </c>
    </row>
    <row r="142" spans="1:7" x14ac:dyDescent="0.25">
      <c r="A142" s="73">
        <v>2013</v>
      </c>
      <c r="B142" s="75">
        <f t="shared" ref="B142:C144" si="4">B137/B$137</f>
        <v>1</v>
      </c>
      <c r="C142" s="75">
        <f t="shared" si="4"/>
        <v>1</v>
      </c>
    </row>
    <row r="143" spans="1:7" x14ac:dyDescent="0.25">
      <c r="A143">
        <v>2030</v>
      </c>
      <c r="B143" s="75">
        <f t="shared" si="4"/>
        <v>0.30585334712835982</v>
      </c>
      <c r="C143" s="75">
        <f t="shared" si="4"/>
        <v>0.13373104101085256</v>
      </c>
    </row>
    <row r="144" spans="1:7" x14ac:dyDescent="0.25">
      <c r="A144">
        <v>2050</v>
      </c>
      <c r="B144" s="75">
        <f t="shared" si="4"/>
        <v>0.26517269465295967</v>
      </c>
      <c r="C144" s="75">
        <f t="shared" si="4"/>
        <v>8.0326677966847906E-2</v>
      </c>
    </row>
    <row r="148" spans="1:11" x14ac:dyDescent="0.25">
      <c r="A148" s="4" t="s">
        <v>386</v>
      </c>
      <c r="B148" s="84"/>
      <c r="C148" s="84"/>
      <c r="D148" s="84"/>
      <c r="E148" s="84"/>
      <c r="F148" s="84"/>
      <c r="G148" s="84"/>
      <c r="H148" s="84"/>
      <c r="I148" s="84"/>
      <c r="J148" s="84"/>
      <c r="K148" s="84"/>
    </row>
    <row r="149" spans="1:11" x14ac:dyDescent="0.25">
      <c r="A149" s="84"/>
      <c r="B149" s="84"/>
      <c r="C149" s="84"/>
      <c r="D149" s="84"/>
      <c r="E149" s="84"/>
      <c r="F149" s="84"/>
      <c r="G149" s="84" t="s">
        <v>387</v>
      </c>
      <c r="H149" s="84"/>
      <c r="I149" s="84"/>
      <c r="J149" s="84"/>
      <c r="K149" s="84" t="s">
        <v>388</v>
      </c>
    </row>
    <row r="150" spans="1:11" x14ac:dyDescent="0.25">
      <c r="A150" s="84" t="s">
        <v>389</v>
      </c>
      <c r="B150" s="84"/>
      <c r="C150" s="84"/>
      <c r="D150" s="84"/>
      <c r="E150" s="84"/>
      <c r="F150" s="84" t="s">
        <v>390</v>
      </c>
      <c r="G150" s="84" t="s">
        <v>391</v>
      </c>
      <c r="H150" s="84"/>
      <c r="I150" s="84"/>
      <c r="J150" s="84"/>
      <c r="K150" s="84" t="s">
        <v>392</v>
      </c>
    </row>
    <row r="151" spans="1:11" x14ac:dyDescent="0.25">
      <c r="A151" s="84" t="s">
        <v>73</v>
      </c>
      <c r="B151" s="84"/>
      <c r="C151" s="84"/>
      <c r="D151" s="84"/>
      <c r="E151" s="84">
        <v>2010</v>
      </c>
      <c r="F151" s="84">
        <v>2020</v>
      </c>
      <c r="G151" s="84">
        <v>2030</v>
      </c>
      <c r="H151" s="84">
        <v>2040</v>
      </c>
      <c r="I151" s="84">
        <v>2050</v>
      </c>
      <c r="J151" s="84"/>
      <c r="K151" s="84"/>
    </row>
    <row r="152" spans="1:11" x14ac:dyDescent="0.25">
      <c r="A152" s="84" t="s">
        <v>393</v>
      </c>
      <c r="B152" s="84"/>
      <c r="C152" s="4"/>
      <c r="D152" s="4"/>
      <c r="E152" s="109">
        <v>147321</v>
      </c>
      <c r="F152" s="109">
        <v>147321</v>
      </c>
      <c r="G152" s="109">
        <v>147321</v>
      </c>
      <c r="H152" s="109">
        <v>147321</v>
      </c>
      <c r="I152" s="109">
        <v>147321</v>
      </c>
      <c r="J152" s="4"/>
      <c r="K152" s="4"/>
    </row>
    <row r="153" spans="1:11" x14ac:dyDescent="0.25">
      <c r="A153" s="84" t="s">
        <v>394</v>
      </c>
      <c r="B153" s="84"/>
      <c r="C153" s="84"/>
      <c r="D153" s="84"/>
      <c r="E153" s="110">
        <v>12101</v>
      </c>
      <c r="F153" s="38">
        <v>12101</v>
      </c>
      <c r="G153" s="38">
        <v>12101</v>
      </c>
      <c r="H153" s="38">
        <v>12101</v>
      </c>
      <c r="I153" s="38">
        <v>12101</v>
      </c>
      <c r="J153" s="84"/>
      <c r="K153" s="84"/>
    </row>
    <row r="154" spans="1:11" x14ac:dyDescent="0.25">
      <c r="B154" s="84"/>
      <c r="C154" s="84"/>
      <c r="D154" s="84"/>
      <c r="E154" s="84"/>
      <c r="F154" s="84"/>
      <c r="G154" s="84"/>
      <c r="H154" s="84"/>
      <c r="I154" s="84"/>
      <c r="J154" s="84"/>
      <c r="K154" s="84"/>
    </row>
    <row r="155" spans="1:11" x14ac:dyDescent="0.25">
      <c r="A155" s="84"/>
      <c r="B155" s="84"/>
      <c r="C155" s="84"/>
      <c r="D155" s="84"/>
      <c r="E155" s="84"/>
      <c r="F155" s="84"/>
      <c r="G155" s="84"/>
      <c r="H155" s="84"/>
      <c r="I155" s="84"/>
      <c r="J155" s="84"/>
      <c r="K155" s="84"/>
    </row>
    <row r="156" spans="1:11" x14ac:dyDescent="0.25">
      <c r="A156" s="84" t="s">
        <v>395</v>
      </c>
      <c r="B156" s="84"/>
      <c r="C156" s="84"/>
      <c r="D156" s="84"/>
      <c r="E156" s="84">
        <v>318.60000000000002</v>
      </c>
      <c r="F156" s="84">
        <v>310.8</v>
      </c>
      <c r="G156" s="84">
        <v>310.8</v>
      </c>
      <c r="H156" s="84">
        <v>310.8</v>
      </c>
      <c r="I156" s="84">
        <v>310.8</v>
      </c>
      <c r="J156" s="84"/>
      <c r="K156" s="84"/>
    </row>
    <row r="157" spans="1:11" x14ac:dyDescent="0.25">
      <c r="A157" s="41" t="s">
        <v>396</v>
      </c>
      <c r="B157" s="38"/>
      <c r="C157" s="84"/>
      <c r="D157" s="84"/>
      <c r="E157" s="84"/>
      <c r="F157" s="84"/>
      <c r="G157" s="84"/>
      <c r="H157" s="84"/>
      <c r="I157" s="84"/>
      <c r="J157" s="84"/>
      <c r="K157" s="84"/>
    </row>
    <row r="158" spans="1:11" x14ac:dyDescent="0.25">
      <c r="A158" s="84" t="s">
        <v>397</v>
      </c>
      <c r="B158" s="84"/>
      <c r="C158" s="84"/>
      <c r="D158" s="84"/>
      <c r="E158" s="38">
        <f>(E152*E156)/1000000</f>
        <v>46.9364706</v>
      </c>
      <c r="F158" s="38">
        <f>(F152*F156)/1000000</f>
        <v>45.787366800000001</v>
      </c>
      <c r="G158" s="38">
        <f>(G152*G156)/1000000</f>
        <v>45.787366800000001</v>
      </c>
      <c r="H158" s="38">
        <f>(H152*H156)/1000000</f>
        <v>45.787366800000001</v>
      </c>
      <c r="I158" s="38">
        <f>(I152*I156)/1000000</f>
        <v>45.787366800000001</v>
      </c>
      <c r="J158" s="84"/>
      <c r="K158" s="84"/>
    </row>
    <row r="159" spans="1:11" x14ac:dyDescent="0.25">
      <c r="A159" s="84" t="s">
        <v>398</v>
      </c>
      <c r="B159" s="84"/>
      <c r="C159" s="84"/>
      <c r="D159" s="84"/>
      <c r="E159" s="38">
        <f>E158*0.21</f>
        <v>9.8566588260000003</v>
      </c>
      <c r="F159" s="38">
        <f>F158*0.21</f>
        <v>9.6153470280000004</v>
      </c>
      <c r="G159" s="38">
        <f>G158*0.21</f>
        <v>9.6153470280000004</v>
      </c>
      <c r="H159" s="38">
        <f>H158*0.21</f>
        <v>9.6153470280000004</v>
      </c>
      <c r="I159" s="38">
        <f>I158*0.21</f>
        <v>9.6153470280000004</v>
      </c>
      <c r="J159" s="84"/>
      <c r="K159" s="84"/>
    </row>
    <row r="160" spans="1:11" x14ac:dyDescent="0.25">
      <c r="A160" s="41" t="s">
        <v>399</v>
      </c>
      <c r="B160" s="84"/>
      <c r="C160" s="84"/>
      <c r="D160" s="84"/>
      <c r="E160" s="84"/>
      <c r="F160" s="84"/>
      <c r="G160" s="84"/>
      <c r="H160" s="84"/>
      <c r="I160" s="84"/>
      <c r="J160" s="84"/>
      <c r="K160" s="84"/>
    </row>
    <row r="161" spans="1:11" x14ac:dyDescent="0.25">
      <c r="A161" s="84" t="s">
        <v>400</v>
      </c>
      <c r="B161" s="84"/>
      <c r="C161" s="84"/>
      <c r="D161" s="84"/>
      <c r="E161" s="38">
        <f>E153*E156/1000000</f>
        <v>3.8553785999999999</v>
      </c>
      <c r="F161" s="38">
        <f>F153*F156/1000000</f>
        <v>3.7609908000000001</v>
      </c>
      <c r="G161" s="38">
        <f>G153*G156/1000000</f>
        <v>3.7609908000000001</v>
      </c>
      <c r="H161" s="38">
        <f>H153*H156/1000000</f>
        <v>3.7609908000000001</v>
      </c>
      <c r="I161" s="38">
        <f>I153*I156/1000000</f>
        <v>3.7609908000000001</v>
      </c>
      <c r="J161" s="84"/>
      <c r="K161" s="84"/>
    </row>
    <row r="162" spans="1:11" x14ac:dyDescent="0.25">
      <c r="A162" s="41" t="s">
        <v>18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5">
      <c r="A163" s="84" t="s">
        <v>401</v>
      </c>
      <c r="B163" s="38"/>
      <c r="C163" s="38"/>
      <c r="D163" s="84"/>
      <c r="E163" s="38">
        <f>E158+E161</f>
        <v>50.791849200000001</v>
      </c>
      <c r="F163" s="38">
        <f>F158+F161</f>
        <v>49.548357600000003</v>
      </c>
      <c r="G163" s="38">
        <f>G158+G161</f>
        <v>49.548357600000003</v>
      </c>
      <c r="H163" s="38">
        <f>H158+H161</f>
        <v>49.548357600000003</v>
      </c>
      <c r="I163" s="38">
        <f>I158+I161</f>
        <v>49.548357600000003</v>
      </c>
      <c r="J163" s="84"/>
      <c r="K163" s="84"/>
    </row>
    <row r="164" spans="1:11" x14ac:dyDescent="0.25">
      <c r="A164" s="77" t="s">
        <v>402</v>
      </c>
      <c r="B164" s="84"/>
      <c r="C164" s="84"/>
      <c r="D164" s="84"/>
      <c r="E164" s="38">
        <f>E159</f>
        <v>9.8566588260000003</v>
      </c>
      <c r="F164" s="38">
        <f>F159</f>
        <v>9.6153470280000004</v>
      </c>
      <c r="G164" s="38">
        <f>G159</f>
        <v>9.6153470280000004</v>
      </c>
      <c r="H164" s="38">
        <f>H159</f>
        <v>9.6153470280000004</v>
      </c>
      <c r="I164" s="38">
        <f>I159</f>
        <v>9.6153470280000004</v>
      </c>
      <c r="J164" s="84"/>
      <c r="K164" s="84"/>
    </row>
  </sheetData>
  <customSheetViews>
    <customSheetView guid="{FE9E7DEF-61E7-497F-AA37-E5D7A2E31674}" scale="60" topLeftCell="R7">
      <selection activeCell="AD35" sqref="AD35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AA51"/>
  <sheetViews>
    <sheetView zoomScale="60" zoomScaleNormal="60" workbookViewId="0">
      <selection activeCell="I37" sqref="I37"/>
    </sheetView>
  </sheetViews>
  <sheetFormatPr defaultRowHeight="15" x14ac:dyDescent="0.25"/>
  <cols>
    <col min="1" max="1" width="32" customWidth="1"/>
    <col min="2" max="2" width="22.7109375" customWidth="1"/>
    <col min="3" max="3" width="22.5703125" customWidth="1"/>
    <col min="4" max="6" width="22.7109375" customWidth="1"/>
    <col min="8" max="8" width="29.5703125" customWidth="1"/>
    <col min="9" max="13" width="22.7109375" customWidth="1"/>
    <col min="15" max="15" width="22" customWidth="1"/>
    <col min="16" max="20" width="22.7109375" customWidth="1"/>
  </cols>
  <sheetData>
    <row r="6" spans="1:21" ht="21" x14ac:dyDescent="0.35">
      <c r="A6" s="5" t="s">
        <v>31</v>
      </c>
      <c r="H6" s="5" t="s">
        <v>32</v>
      </c>
      <c r="O6" s="5" t="s">
        <v>33</v>
      </c>
    </row>
    <row r="7" spans="1:21" x14ac:dyDescent="0.25">
      <c r="A7" s="4" t="str">
        <f>Cost_Flow!B6</f>
        <v>ReferentieUtrecht</v>
      </c>
      <c r="H7" s="4" t="str">
        <f>A7</f>
        <v>ReferentieUtrecht</v>
      </c>
      <c r="I7" s="4"/>
      <c r="O7" s="4" t="str">
        <f>H7</f>
        <v>ReferentieUtrecht</v>
      </c>
      <c r="P7" s="4"/>
    </row>
    <row r="8" spans="1:21" ht="15" customHeight="1" x14ac:dyDescent="0.25">
      <c r="B8" s="9">
        <v>2010</v>
      </c>
      <c r="C8" s="9">
        <v>2020</v>
      </c>
      <c r="D8" s="9">
        <v>2030</v>
      </c>
      <c r="E8" s="9">
        <v>2040</v>
      </c>
      <c r="F8" s="9">
        <v>2050</v>
      </c>
      <c r="G8" s="9"/>
      <c r="H8" s="9"/>
      <c r="I8" s="9">
        <f>B8</f>
        <v>2010</v>
      </c>
      <c r="J8" s="9">
        <f>C8</f>
        <v>2020</v>
      </c>
      <c r="K8" s="9">
        <f>D8</f>
        <v>2030</v>
      </c>
      <c r="L8" s="9">
        <f>E8</f>
        <v>2040</v>
      </c>
      <c r="M8" s="9">
        <f>F8</f>
        <v>2050</v>
      </c>
      <c r="N8" s="9"/>
      <c r="O8" s="9"/>
      <c r="P8" s="9">
        <f>I8</f>
        <v>2010</v>
      </c>
      <c r="Q8" s="9">
        <f>J8</f>
        <v>2020</v>
      </c>
      <c r="R8" s="9">
        <f>K8</f>
        <v>2030</v>
      </c>
      <c r="S8" s="9">
        <f>L8</f>
        <v>2040</v>
      </c>
      <c r="T8" s="9">
        <f>M8</f>
        <v>2050</v>
      </c>
      <c r="U8" s="9"/>
    </row>
    <row r="9" spans="1:21" x14ac:dyDescent="0.25">
      <c r="A9" s="11" t="s">
        <v>34</v>
      </c>
      <c r="B9" s="16">
        <f>Cost_Flow!$C27</f>
        <v>225.46842604699981</v>
      </c>
      <c r="C9" s="16">
        <f>Cost_Flow!$C52</f>
        <v>237.429436147177</v>
      </c>
      <c r="D9" s="16">
        <f>Cost_Flow!$C77</f>
        <v>241.24288879884</v>
      </c>
      <c r="E9" s="16">
        <f>Cost_Flow!$C102</f>
        <v>257.09917442130001</v>
      </c>
      <c r="F9" s="16">
        <f>Cost_Flow!$C127</f>
        <v>267.0227985427</v>
      </c>
      <c r="H9" s="21" t="s">
        <v>3</v>
      </c>
      <c r="I9" s="23">
        <f>Energy_Flow!$C27</f>
        <v>4.7156557600000006</v>
      </c>
      <c r="J9" s="23">
        <f>Energy_Flow!$C52</f>
        <v>4.1664536282500002</v>
      </c>
      <c r="K9" s="23">
        <f>Energy_Flow!$C77</f>
        <v>4.0709661060200002</v>
      </c>
      <c r="L9" s="23">
        <f>Energy_Flow!$C102</f>
        <v>3.52601468743</v>
      </c>
      <c r="M9" s="23">
        <f>Energy_Flow!$C127</f>
        <v>3.4296914419019999</v>
      </c>
      <c r="O9" s="21" t="s">
        <v>3</v>
      </c>
      <c r="P9" s="23">
        <f>CO2_Flow!$C27</f>
        <v>0.23868816780000002</v>
      </c>
      <c r="Q9" s="23">
        <f>CO2_Flow!$C52</f>
        <v>0.21088969023160001</v>
      </c>
      <c r="R9" s="23">
        <f>CO2_Flow!$C77</f>
        <v>0.20605648341170002</v>
      </c>
      <c r="S9" s="23">
        <f>CO2_Flow!$C102</f>
        <v>0.1784731606321</v>
      </c>
      <c r="T9" s="23">
        <f>CO2_Flow!$C127</f>
        <v>0.17359765175929998</v>
      </c>
    </row>
    <row r="10" spans="1:21" x14ac:dyDescent="0.25">
      <c r="A10" s="17" t="s">
        <v>36</v>
      </c>
      <c r="B10" s="18">
        <f>Cost_Flow!$C28</f>
        <v>130.07956248000002</v>
      </c>
      <c r="C10" s="18">
        <f>Cost_Flow!$C53</f>
        <v>139.33623379399998</v>
      </c>
      <c r="D10" s="18">
        <f>Cost_Flow!$C78</f>
        <v>138.06823108700002</v>
      </c>
      <c r="E10" s="18">
        <f>Cost_Flow!$C103</f>
        <v>137.31416604399999</v>
      </c>
      <c r="F10" s="18">
        <f>Cost_Flow!$C128</f>
        <v>137.49311433900002</v>
      </c>
      <c r="H10" s="12" t="s">
        <v>38</v>
      </c>
      <c r="I10" s="25">
        <f>Energy_Flow!$C28</f>
        <v>2.7905743200000002</v>
      </c>
      <c r="J10" s="25">
        <f>Energy_Flow!$C53</f>
        <v>3.1339467169999993</v>
      </c>
      <c r="K10" s="25">
        <f>Energy_Flow!$C78</f>
        <v>3.1325636037999995</v>
      </c>
      <c r="L10" s="25">
        <f>Energy_Flow!$C103</f>
        <v>3.1316300053999999</v>
      </c>
      <c r="M10" s="25">
        <f>Energy_Flow!$C128</f>
        <v>3.1307742063000004</v>
      </c>
      <c r="O10" s="12" t="s">
        <v>38</v>
      </c>
      <c r="P10" s="25">
        <f>CO2_Flow!$C28</f>
        <v>0.35192242800000001</v>
      </c>
      <c r="Q10" s="25">
        <f>CO2_Flow!$C53</f>
        <v>0.17446896364</v>
      </c>
      <c r="R10" s="25">
        <f>CO2_Flow!$C78</f>
        <v>5.1663971440000005E-2</v>
      </c>
      <c r="S10" s="25">
        <f>CO2_Flow!$C103</f>
        <v>4.0646930680999997E-2</v>
      </c>
      <c r="T10" s="25">
        <f>CO2_Flow!$C128</f>
        <v>3.0488566064000001E-2</v>
      </c>
    </row>
    <row r="11" spans="1:21" x14ac:dyDescent="0.25">
      <c r="A11" s="20" t="s">
        <v>35</v>
      </c>
      <c r="B11" s="19">
        <f>Cost_Flow!$C29</f>
        <v>-1.86205252</v>
      </c>
      <c r="C11" s="19">
        <f>Cost_Flow!$C54</f>
        <v>3.910864482</v>
      </c>
      <c r="D11" s="19">
        <f>Cost_Flow!$C79</f>
        <v>3.8696065180000003</v>
      </c>
      <c r="E11" s="19">
        <f>Cost_Flow!$C104</f>
        <v>3.7183231829999999</v>
      </c>
      <c r="F11" s="19">
        <f>Cost_Flow!$C129</f>
        <v>1.4593459999999947E-2</v>
      </c>
      <c r="H11" s="26" t="s">
        <v>39</v>
      </c>
      <c r="I11" s="15">
        <f>Energy_Flow!$C29</f>
        <v>2.1022093150000001</v>
      </c>
      <c r="J11" s="15">
        <f>Energy_Flow!$C54</f>
        <v>2.4812601560000007</v>
      </c>
      <c r="K11" s="15">
        <f>Energy_Flow!$C79</f>
        <v>2.4210450105000003</v>
      </c>
      <c r="L11" s="15">
        <f>Energy_Flow!$C104</f>
        <v>2.7819915765000003</v>
      </c>
      <c r="M11" s="15">
        <f>Energy_Flow!$C129</f>
        <v>2.6888667373000001</v>
      </c>
      <c r="O11" s="26" t="s">
        <v>39</v>
      </c>
      <c r="P11" s="15">
        <f>CO2_Flow!$C29</f>
        <v>1.000000013351432E-10</v>
      </c>
      <c r="Q11" s="15">
        <f>CO2_Flow!$C54</f>
        <v>4.8624320959999995E-3</v>
      </c>
      <c r="R11" s="15">
        <f>CO2_Flow!$C79</f>
        <v>1.4155784879999952E-3</v>
      </c>
      <c r="S11" s="15">
        <f>CO2_Flow!$C104</f>
        <v>1.1635294974199996E-2</v>
      </c>
      <c r="T11" s="15">
        <f>CO2_Flow!$C129</f>
        <v>1.1050858881900001E-2</v>
      </c>
    </row>
    <row r="12" spans="1:21" x14ac:dyDescent="0.25">
      <c r="A12" s="21" t="s">
        <v>37</v>
      </c>
      <c r="B12" s="23">
        <f>Cost_Flow!$C30</f>
        <v>-1.1101365089999999E-13</v>
      </c>
      <c r="C12" s="23">
        <f>Cost_Flow!$C55</f>
        <v>1.3935028179999998</v>
      </c>
      <c r="D12" s="23">
        <f>Cost_Flow!$C80</f>
        <v>1.9351399446999999</v>
      </c>
      <c r="E12" s="23">
        <f>Cost_Flow!$C105</f>
        <v>3.477043203</v>
      </c>
      <c r="F12" s="23">
        <f>Cost_Flow!$C130</f>
        <v>4.2192892899999999</v>
      </c>
      <c r="H12" s="10" t="s">
        <v>40</v>
      </c>
      <c r="I12" s="10">
        <f>Energy_Flow!$C30</f>
        <v>0</v>
      </c>
      <c r="J12" s="27">
        <f>Energy_Flow!$C55</f>
        <v>0</v>
      </c>
      <c r="K12" s="27">
        <f>Energy_Flow!$C80</f>
        <v>0</v>
      </c>
      <c r="L12" s="27">
        <f>Energy_Flow!$C105</f>
        <v>0</v>
      </c>
      <c r="M12" s="27">
        <f>Energy_Flow!$C130</f>
        <v>0</v>
      </c>
      <c r="O12" s="10" t="s">
        <v>40</v>
      </c>
      <c r="P12" s="10">
        <f>CO2_Flow!$C30</f>
        <v>0</v>
      </c>
      <c r="Q12" s="27">
        <f>CO2_Flow!$C55</f>
        <v>0</v>
      </c>
      <c r="R12" s="27">
        <f>CO2_Flow!$C80</f>
        <v>0</v>
      </c>
      <c r="S12" s="27">
        <f>CO2_Flow!$C105</f>
        <v>0</v>
      </c>
      <c r="T12" s="27">
        <f>CO2_Flow!$C130</f>
        <v>0</v>
      </c>
    </row>
    <row r="13" spans="1:21" x14ac:dyDescent="0.25">
      <c r="A13" s="7"/>
      <c r="B13" s="24"/>
      <c r="C13" s="24"/>
      <c r="D13" s="24"/>
      <c r="E13" s="24"/>
      <c r="F13" s="24"/>
      <c r="H13" s="20" t="s">
        <v>41</v>
      </c>
      <c r="I13" s="19">
        <f>Energy_Flow!$C31</f>
        <v>0.56816467900000001</v>
      </c>
      <c r="J13" s="19">
        <f>Energy_Flow!$C56</f>
        <v>0.61148895199999997</v>
      </c>
      <c r="K13" s="19">
        <f>Energy_Flow!$C81</f>
        <v>0.59656937499999996</v>
      </c>
      <c r="L13" s="19">
        <f>Energy_Flow!$C106</f>
        <v>0.69487170899999995</v>
      </c>
      <c r="M13" s="19">
        <f>Energy_Flow!$C131</f>
        <v>0.67090751599999998</v>
      </c>
      <c r="O13" s="20" t="s">
        <v>41</v>
      </c>
      <c r="P13" s="19">
        <f>CO2_Flow!$C31</f>
        <v>2.8758288E-2</v>
      </c>
      <c r="Q13" s="19">
        <f>CO2_Flow!$C56</f>
        <v>3.09511944E-2</v>
      </c>
      <c r="R13" s="19">
        <f>CO2_Flow!$C81</f>
        <v>3.0196023299999999E-2</v>
      </c>
      <c r="S13" s="19">
        <f>CO2_Flow!$C106</f>
        <v>3.5171705400000003E-2</v>
      </c>
      <c r="T13" s="19">
        <f>CO2_Flow!$C131</f>
        <v>3.39587311E-2</v>
      </c>
    </row>
    <row r="14" spans="1:21" x14ac:dyDescent="0.25">
      <c r="A14" s="28" t="s">
        <v>43</v>
      </c>
      <c r="B14" s="32">
        <f>SUM(B9:B12)</f>
        <v>353.68593600699967</v>
      </c>
      <c r="C14" s="32">
        <f>SUM(C9:C12)</f>
        <v>382.07003724117698</v>
      </c>
      <c r="D14" s="32">
        <f>SUM(D9:D12)</f>
        <v>385.11586634854001</v>
      </c>
      <c r="E14" s="32">
        <f>SUM(E9:E12)</f>
        <v>401.60870685129998</v>
      </c>
      <c r="F14" s="32">
        <f>SUM(F9:F12)</f>
        <v>408.74979563170007</v>
      </c>
      <c r="G14" s="7"/>
      <c r="H14" s="28" t="s">
        <v>43</v>
      </c>
      <c r="I14" s="32">
        <f>SUM(I9:I12)</f>
        <v>9.6084393950000013</v>
      </c>
      <c r="J14" s="32">
        <f>SUM(J9:J12)</f>
        <v>9.7816605012500002</v>
      </c>
      <c r="K14" s="32">
        <f>SUM(K9:K12)</f>
        <v>9.6245747203200001</v>
      </c>
      <c r="L14" s="32">
        <f>SUM(L9:L12)</f>
        <v>9.4396362693300002</v>
      </c>
      <c r="M14" s="32">
        <f>SUM(M9:M12)</f>
        <v>9.2493323855020009</v>
      </c>
      <c r="N14" s="7"/>
      <c r="O14" s="28" t="s">
        <v>43</v>
      </c>
      <c r="P14" s="32">
        <f>SUM(P9:P12)</f>
        <v>0.59061059590000009</v>
      </c>
      <c r="Q14" s="32">
        <f>SUM(Q9:Q12)</f>
        <v>0.39022108596760002</v>
      </c>
      <c r="R14" s="32">
        <f>SUM(R9:R12)</f>
        <v>0.25913603333970003</v>
      </c>
      <c r="S14" s="32">
        <f>SUM(S9:S12)</f>
        <v>0.2307553862873</v>
      </c>
      <c r="T14" s="32">
        <f>SUM(T9:T12)</f>
        <v>0.21513707670519996</v>
      </c>
    </row>
    <row r="15" spans="1:21" ht="21" x14ac:dyDescent="0.35">
      <c r="A15" s="5" t="s">
        <v>31</v>
      </c>
      <c r="H15" s="5" t="s">
        <v>32</v>
      </c>
    </row>
    <row r="16" spans="1:21" x14ac:dyDescent="0.25">
      <c r="A16" s="4" t="str">
        <f>Cost_Flow!S6</f>
        <v>Utrecht_Label B</v>
      </c>
      <c r="H16" s="4" t="str">
        <f>A16</f>
        <v>Utrecht_Label B</v>
      </c>
      <c r="I16" s="4"/>
      <c r="O16" s="4" t="str">
        <f>H16</f>
        <v>Utrecht_Label B</v>
      </c>
    </row>
    <row r="17" spans="1:20" ht="15" customHeight="1" x14ac:dyDescent="0.25">
      <c r="B17" s="9">
        <f>B8</f>
        <v>2010</v>
      </c>
      <c r="C17" s="9">
        <f>C8</f>
        <v>2020</v>
      </c>
      <c r="D17" s="9">
        <f>D8</f>
        <v>2030</v>
      </c>
      <c r="E17" s="9">
        <f>E8</f>
        <v>2040</v>
      </c>
      <c r="F17" s="9">
        <f>F8</f>
        <v>2050</v>
      </c>
      <c r="G17" s="9"/>
      <c r="H17" s="9"/>
      <c r="I17" s="9">
        <f>B17</f>
        <v>2010</v>
      </c>
      <c r="J17" s="9">
        <f>C17</f>
        <v>2020</v>
      </c>
      <c r="K17" s="9">
        <f>D17</f>
        <v>2030</v>
      </c>
      <c r="L17" s="9">
        <f>E17</f>
        <v>2040</v>
      </c>
      <c r="M17" s="9">
        <f>F17</f>
        <v>2050</v>
      </c>
      <c r="N17" s="9"/>
      <c r="O17" s="9"/>
      <c r="P17" s="9">
        <f>I17</f>
        <v>2010</v>
      </c>
      <c r="Q17" s="9">
        <f>J17</f>
        <v>2020</v>
      </c>
      <c r="R17" s="9">
        <f>K17</f>
        <v>2030</v>
      </c>
      <c r="S17" s="9">
        <f>L17</f>
        <v>2040</v>
      </c>
      <c r="T17" s="9">
        <f>M17</f>
        <v>2050</v>
      </c>
    </row>
    <row r="18" spans="1:20" x14ac:dyDescent="0.25">
      <c r="A18" s="11" t="s">
        <v>34</v>
      </c>
      <c r="B18" s="16">
        <f>Cost_Flow!$T27</f>
        <v>225.46842604699981</v>
      </c>
      <c r="C18" s="16">
        <f>Cost_Flow!$T52</f>
        <v>285.08329851240001</v>
      </c>
      <c r="D18" s="16">
        <f>Cost_Flow!$T77</f>
        <v>293.33756376669999</v>
      </c>
      <c r="E18" s="16">
        <f>Cost_Flow!$T102</f>
        <v>300.92385160629999</v>
      </c>
      <c r="F18" s="16">
        <f>Cost_Flow!$T127</f>
        <v>315.19782025209997</v>
      </c>
      <c r="H18" s="21" t="s">
        <v>3</v>
      </c>
      <c r="I18" s="23">
        <f>Energy_Flow!$T27</f>
        <v>4.7156557600000006</v>
      </c>
      <c r="J18" s="23">
        <f>Energy_Flow!$T52</f>
        <v>3.20415590068</v>
      </c>
      <c r="K18" s="23">
        <f>Energy_Flow!$T77</f>
        <v>3.1349889586799997</v>
      </c>
      <c r="L18" s="23">
        <f>Energy_Flow!$T102</f>
        <v>3.0595844129200001</v>
      </c>
      <c r="M18" s="23">
        <f>Energy_Flow!$T127</f>
        <v>2.713456208213</v>
      </c>
      <c r="O18" s="21" t="s">
        <v>3</v>
      </c>
      <c r="P18" s="23">
        <f>CO2_Flow!$T27</f>
        <v>0.23868816780000002</v>
      </c>
      <c r="Q18" s="23">
        <f>CO2_Flow!$T52</f>
        <v>0.16218191972259999</v>
      </c>
      <c r="R18" s="23">
        <f>CO2_Flow!$T77</f>
        <v>0.15868095839469998</v>
      </c>
      <c r="S18" s="23">
        <f>CO2_Flow!$T102</f>
        <v>0.15486427206139999</v>
      </c>
      <c r="T18" s="23">
        <f>CO2_Flow!$T127</f>
        <v>0.1373446081811</v>
      </c>
    </row>
    <row r="19" spans="1:20" x14ac:dyDescent="0.25">
      <c r="A19" s="17" t="s">
        <v>36</v>
      </c>
      <c r="B19" s="18">
        <f>Cost_Flow!$T28</f>
        <v>130.07956248000002</v>
      </c>
      <c r="C19" s="18">
        <f>Cost_Flow!$T53</f>
        <v>134.16794823199999</v>
      </c>
      <c r="D19" s="18">
        <f>Cost_Flow!$T78</f>
        <v>133.691456765</v>
      </c>
      <c r="E19" s="18">
        <f>Cost_Flow!$T103</f>
        <v>133.705607993</v>
      </c>
      <c r="F19" s="18">
        <f>Cost_Flow!$T128</f>
        <v>133.40568768899999</v>
      </c>
      <c r="H19" s="12" t="s">
        <v>38</v>
      </c>
      <c r="I19" s="25">
        <f>Energy_Flow!$T28</f>
        <v>2.7905743200000002</v>
      </c>
      <c r="J19" s="25">
        <f>Energy_Flow!$T53</f>
        <v>3.1334118430999998</v>
      </c>
      <c r="K19" s="25">
        <f>Energy_Flow!$T78</f>
        <v>3.1322024132999999</v>
      </c>
      <c r="L19" s="25">
        <f>Energy_Flow!$T103</f>
        <v>3.1313359398999996</v>
      </c>
      <c r="M19" s="25">
        <f>Energy_Flow!$T128</f>
        <v>3.1307618593999997</v>
      </c>
      <c r="O19" s="12" t="s">
        <v>38</v>
      </c>
      <c r="P19" s="25">
        <f>CO2_Flow!$T28</f>
        <v>0.35192242800000001</v>
      </c>
      <c r="Q19" s="25">
        <f>CO2_Flow!$T53</f>
        <v>0.17446815754</v>
      </c>
      <c r="R19" s="25">
        <f>CO2_Flow!$T78</f>
        <v>5.1666531139999999E-2</v>
      </c>
      <c r="S19" s="25">
        <f>CO2_Flow!$T103</f>
        <v>4.0663022381000002E-2</v>
      </c>
      <c r="T19" s="25">
        <f>CO2_Flow!$T128</f>
        <v>3.0503181564000004E-2</v>
      </c>
    </row>
    <row r="20" spans="1:20" x14ac:dyDescent="0.25">
      <c r="A20" s="20" t="s">
        <v>35</v>
      </c>
      <c r="B20" s="19">
        <f>Cost_Flow!$T29</f>
        <v>-1.86205252</v>
      </c>
      <c r="C20" s="19">
        <f>Cost_Flow!$T54</f>
        <v>-0.1162669799999998</v>
      </c>
      <c r="D20" s="19">
        <f>Cost_Flow!$T79</f>
        <v>-1.3572108299999996</v>
      </c>
      <c r="E20" s="19">
        <f>Cost_Flow!$T104</f>
        <v>-1.4390034300000001</v>
      </c>
      <c r="F20" s="19">
        <f>Cost_Flow!$T129</f>
        <v>-2.4296055300000003</v>
      </c>
      <c r="H20" s="26" t="s">
        <v>39</v>
      </c>
      <c r="I20" s="15">
        <f>Energy_Flow!$T29</f>
        <v>2.1022093150000001</v>
      </c>
      <c r="J20" s="15">
        <f>Energy_Flow!$T54</f>
        <v>1.8742192575000001</v>
      </c>
      <c r="K20" s="15">
        <f>Energy_Flow!$T79</f>
        <v>1.8310508222999997</v>
      </c>
      <c r="L20" s="15">
        <f>Energy_Flow!$T104</f>
        <v>1.7879552703000001</v>
      </c>
      <c r="M20" s="15">
        <f>Energy_Flow!$T129</f>
        <v>2.0074258576999999</v>
      </c>
      <c r="O20" s="26" t="s">
        <v>39</v>
      </c>
      <c r="P20" s="15">
        <f>CO2_Flow!$T29</f>
        <v>1.000000013351432E-10</v>
      </c>
      <c r="Q20" s="15">
        <f>CO2_Flow!$T54</f>
        <v>4.8326311140000043E-3</v>
      </c>
      <c r="R20" s="15">
        <f>CO2_Flow!$T79</f>
        <v>1.4068987306000008E-3</v>
      </c>
      <c r="S20" s="15">
        <f>CO2_Flow!$T104</f>
        <v>1.0881234988000012E-3</v>
      </c>
      <c r="T20" s="15">
        <f>CO2_Flow!$T129</f>
        <v>7.354909804200005E-3</v>
      </c>
    </row>
    <row r="21" spans="1:20" x14ac:dyDescent="0.25">
      <c r="A21" s="21" t="s">
        <v>37</v>
      </c>
      <c r="B21" s="23">
        <f>Cost_Flow!$T30</f>
        <v>-1.1101365089999999E-13</v>
      </c>
      <c r="C21" s="23">
        <f>Cost_Flow!$T55</f>
        <v>22.051585112800002</v>
      </c>
      <c r="D21" s="23">
        <f>Cost_Flow!$T80</f>
        <v>22.6105756155</v>
      </c>
      <c r="E21" s="23">
        <f>Cost_Flow!$T105</f>
        <v>23.318105632000002</v>
      </c>
      <c r="F21" s="23">
        <f>Cost_Flow!$T130</f>
        <v>24.716511152999995</v>
      </c>
      <c r="H21" s="10" t="s">
        <v>40</v>
      </c>
      <c r="I21" s="10">
        <f>Energy_Flow!$T30</f>
        <v>0</v>
      </c>
      <c r="J21" s="27">
        <f>Energy_Flow!$T55</f>
        <v>0</v>
      </c>
      <c r="K21" s="27">
        <f>Energy_Flow!$T80</f>
        <v>0</v>
      </c>
      <c r="L21" s="27">
        <f>Energy_Flow!$T105</f>
        <v>0</v>
      </c>
      <c r="M21" s="27">
        <f>Energy_Flow!$T130</f>
        <v>0</v>
      </c>
      <c r="O21" s="10" t="s">
        <v>40</v>
      </c>
      <c r="P21" s="10">
        <f>CO2_Flow!$T30</f>
        <v>0</v>
      </c>
      <c r="Q21" s="27">
        <f>CO2_Flow!$T55</f>
        <v>0</v>
      </c>
      <c r="R21" s="27">
        <f>CO2_Flow!$T80</f>
        <v>0</v>
      </c>
      <c r="S21" s="27">
        <f>CO2_Flow!$T105</f>
        <v>0</v>
      </c>
      <c r="T21" s="27">
        <f>CO2_Flow!$T130</f>
        <v>0</v>
      </c>
    </row>
    <row r="22" spans="1:20" s="7" customFormat="1" x14ac:dyDescent="0.25">
      <c r="B22" s="24"/>
      <c r="C22" s="24"/>
      <c r="D22" s="24"/>
      <c r="E22" s="24"/>
      <c r="F22" s="24"/>
      <c r="H22" s="20" t="s">
        <v>41</v>
      </c>
      <c r="I22" s="19">
        <f>Energy_Flow!$T31</f>
        <v>0.56816467900000001</v>
      </c>
      <c r="J22" s="19">
        <f>Energy_Flow!$T56</f>
        <v>0.44779173500000002</v>
      </c>
      <c r="K22" s="19">
        <f>Energy_Flow!$T81</f>
        <v>0.43747129699999998</v>
      </c>
      <c r="L22" s="19">
        <f>Energy_Flow!$T106</f>
        <v>0.42716787099999998</v>
      </c>
      <c r="M22" s="19">
        <f>Energy_Flow!$T131</f>
        <v>0.48766335300000002</v>
      </c>
      <c r="O22" s="20" t="s">
        <v>41</v>
      </c>
      <c r="P22" s="19">
        <f>CO2_Flow!$T31</f>
        <v>2.8758288E-2</v>
      </c>
      <c r="Q22" s="19">
        <f>CO2_Flow!$T56</f>
        <v>2.2665477400000002E-2</v>
      </c>
      <c r="R22" s="19">
        <f>CO2_Flow!$T81</f>
        <v>2.2143096899999999E-2</v>
      </c>
      <c r="S22" s="19">
        <f>CO2_Flow!$T106</f>
        <v>2.1621577499999999E-2</v>
      </c>
      <c r="T22" s="19">
        <f>CO2_Flow!$T131</f>
        <v>2.4683623699999997E-2</v>
      </c>
    </row>
    <row r="23" spans="1:20" s="7" customFormat="1" x14ac:dyDescent="0.25">
      <c r="A23" s="28" t="s">
        <v>43</v>
      </c>
      <c r="B23" s="32">
        <f>SUM(B18:B21)</f>
        <v>353.68593600699967</v>
      </c>
      <c r="C23" s="32">
        <f>SUM(C18:C21)</f>
        <v>441.1865648772</v>
      </c>
      <c r="D23" s="32">
        <f>SUM(D18:D21)</f>
        <v>448.28238531720001</v>
      </c>
      <c r="E23" s="32">
        <f>SUM(E18:E21)</f>
        <v>456.5085618013</v>
      </c>
      <c r="F23" s="32">
        <f>SUM(F18:F21)</f>
        <v>470.89041356409996</v>
      </c>
      <c r="H23" s="28" t="s">
        <v>43</v>
      </c>
      <c r="I23" s="32">
        <f>SUM(I18:I21)</f>
        <v>9.6084393950000013</v>
      </c>
      <c r="J23" s="32">
        <f>SUM(J18:J21)</f>
        <v>8.2117870012799994</v>
      </c>
      <c r="K23" s="32">
        <f>SUM(K18:K21)</f>
        <v>8.0982421942799991</v>
      </c>
      <c r="L23" s="32">
        <f>SUM(L18:L21)</f>
        <v>7.9788756231199995</v>
      </c>
      <c r="M23" s="32">
        <f>SUM(M18:M21)</f>
        <v>7.8516439253129988</v>
      </c>
      <c r="O23" s="28" t="s">
        <v>43</v>
      </c>
      <c r="P23" s="32">
        <f>SUM(P18:P21)</f>
        <v>0.59061059590000009</v>
      </c>
      <c r="Q23" s="32">
        <f>SUM(Q18:Q21)</f>
        <v>0.3414827083766</v>
      </c>
      <c r="R23" s="32">
        <f>SUM(R18:R21)</f>
        <v>0.21175438826529996</v>
      </c>
      <c r="S23" s="32">
        <f>SUM(S18:S21)</f>
        <v>0.19661541794119999</v>
      </c>
      <c r="T23" s="32">
        <f>SUM(T18:T21)</f>
        <v>0.17520269954930001</v>
      </c>
    </row>
    <row r="24" spans="1:20" ht="21" x14ac:dyDescent="0.35">
      <c r="A24" s="5" t="s">
        <v>31</v>
      </c>
      <c r="H24" s="5" t="s">
        <v>32</v>
      </c>
      <c r="O24" s="5" t="s">
        <v>33</v>
      </c>
    </row>
    <row r="25" spans="1:20" x14ac:dyDescent="0.25">
      <c r="A25" s="4" t="str">
        <f>Cost_Flow!AJ6</f>
        <v>Utrecht_Label Aplus</v>
      </c>
      <c r="H25" s="4" t="str">
        <f>A25</f>
        <v>Utrecht_Label Aplus</v>
      </c>
      <c r="O25" s="4" t="str">
        <f>H25</f>
        <v>Utrecht_Label Aplus</v>
      </c>
    </row>
    <row r="26" spans="1:20" ht="15" customHeight="1" x14ac:dyDescent="0.25">
      <c r="B26" s="9">
        <f>B17</f>
        <v>2010</v>
      </c>
      <c r="C26" s="9">
        <f>C17</f>
        <v>2020</v>
      </c>
      <c r="D26" s="9">
        <f>D17</f>
        <v>2030</v>
      </c>
      <c r="E26" s="9">
        <f>E17</f>
        <v>2040</v>
      </c>
      <c r="F26" s="9">
        <f>F17</f>
        <v>2050</v>
      </c>
      <c r="H26" s="9"/>
      <c r="I26" s="9">
        <f>B26</f>
        <v>2010</v>
      </c>
      <c r="J26" s="9">
        <f>C26</f>
        <v>2020</v>
      </c>
      <c r="K26" s="9">
        <f>D26</f>
        <v>2030</v>
      </c>
      <c r="L26" s="9">
        <f>E26</f>
        <v>2040</v>
      </c>
      <c r="M26" s="9">
        <f>F26</f>
        <v>2050</v>
      </c>
      <c r="O26" s="9"/>
      <c r="P26" s="9">
        <f>I26</f>
        <v>2010</v>
      </c>
      <c r="Q26" s="9">
        <f>J26</f>
        <v>2020</v>
      </c>
      <c r="R26" s="9">
        <f>K26</f>
        <v>2030</v>
      </c>
      <c r="S26" s="9">
        <f>L26</f>
        <v>2040</v>
      </c>
      <c r="T26" s="9">
        <f>M26</f>
        <v>2050</v>
      </c>
    </row>
    <row r="27" spans="1:20" x14ac:dyDescent="0.25">
      <c r="A27" s="11" t="s">
        <v>34</v>
      </c>
      <c r="B27" s="16">
        <f>Cost_Flow!$AK27</f>
        <v>225.46842604699981</v>
      </c>
      <c r="C27" s="16">
        <f>Cost_Flow!$AK52</f>
        <v>351.45807096469997</v>
      </c>
      <c r="D27" s="16">
        <f>Cost_Flow!$AK77</f>
        <v>391.86052994529996</v>
      </c>
      <c r="E27" s="16">
        <f>Cost_Flow!$AK102</f>
        <v>427.26665044029994</v>
      </c>
      <c r="F27" s="16">
        <f>Cost_Flow!$AK127</f>
        <v>463.56397080339997</v>
      </c>
      <c r="H27" s="21" t="s">
        <v>3</v>
      </c>
      <c r="I27" s="23">
        <f>Energy_Flow!$AK27</f>
        <v>4.7156557600000006</v>
      </c>
      <c r="J27" s="23">
        <f>Energy_Flow!$AK52</f>
        <v>0.61783648564999993</v>
      </c>
      <c r="K27" s="23">
        <f>Energy_Flow!$AK77</f>
        <v>0.55549952282000004</v>
      </c>
      <c r="L27" s="23">
        <f>Energy_Flow!$AK102</f>
        <v>0.44809969522999998</v>
      </c>
      <c r="M27" s="23">
        <f>Energy_Flow!$AK127</f>
        <v>0.37433734001400004</v>
      </c>
      <c r="O27" s="21" t="s">
        <v>3</v>
      </c>
      <c r="P27" s="23">
        <f>CO2_Flow!$AK27</f>
        <v>0.23868816780000002</v>
      </c>
      <c r="Q27" s="23">
        <f>CO2_Flow!$AK52</f>
        <v>3.1272481846599996E-2</v>
      </c>
      <c r="R27" s="23">
        <f>CO2_Flow!$AK77</f>
        <v>2.8117226990700003E-2</v>
      </c>
      <c r="S27" s="23">
        <f>CO2_Flow!$AK102</f>
        <v>2.2681065084399998E-2</v>
      </c>
      <c r="T27" s="23">
        <f>CO2_Flow!$AK127</f>
        <v>1.89475013947E-2</v>
      </c>
    </row>
    <row r="28" spans="1:20" x14ac:dyDescent="0.25">
      <c r="A28" s="17" t="s">
        <v>36</v>
      </c>
      <c r="B28" s="18">
        <f>Cost_Flow!$AK28</f>
        <v>130.07956248000002</v>
      </c>
      <c r="C28" s="18">
        <f>Cost_Flow!$AK53</f>
        <v>138.684215335</v>
      </c>
      <c r="D28" s="18">
        <f>Cost_Flow!$AK78</f>
        <v>139.294526486</v>
      </c>
      <c r="E28" s="18">
        <f>Cost_Flow!$AK103</f>
        <v>140.43439363800002</v>
      </c>
      <c r="F28" s="18">
        <f>Cost_Flow!$AK128</f>
        <v>141.507475408</v>
      </c>
      <c r="H28" s="12" t="s">
        <v>38</v>
      </c>
      <c r="I28" s="25">
        <f>Energy_Flow!$AK28</f>
        <v>2.7905743200000002</v>
      </c>
      <c r="J28" s="25">
        <f>Energy_Flow!$AK53</f>
        <v>3.6672349037999994</v>
      </c>
      <c r="K28" s="25">
        <f>Energy_Flow!$AK78</f>
        <v>3.6672655267999996</v>
      </c>
      <c r="L28" s="25">
        <f>Energy_Flow!$AK103</f>
        <v>3.6841803157999999</v>
      </c>
      <c r="M28" s="25">
        <f>Energy_Flow!$AK128</f>
        <v>3.6918337123999998</v>
      </c>
      <c r="O28" s="12" t="s">
        <v>38</v>
      </c>
      <c r="P28" s="25">
        <f>CO2_Flow!$AK28</f>
        <v>0.35192242800000001</v>
      </c>
      <c r="Q28" s="25">
        <f>CO2_Flow!$AK53</f>
        <v>0.17243382884</v>
      </c>
      <c r="R28" s="25">
        <f>CO2_Flow!$AK78</f>
        <v>5.1002983839999995E-2</v>
      </c>
      <c r="S28" s="25">
        <f>CO2_Flow!$AK103</f>
        <v>4.0079459575000004E-2</v>
      </c>
      <c r="T28" s="25">
        <f>CO2_Flow!$AK128</f>
        <v>3.0041679984000001E-2</v>
      </c>
    </row>
    <row r="29" spans="1:20" x14ac:dyDescent="0.25">
      <c r="A29" s="20" t="s">
        <v>35</v>
      </c>
      <c r="B29" s="19">
        <f>Cost_Flow!$AK29</f>
        <v>-1.86205252</v>
      </c>
      <c r="C29" s="19">
        <f>Cost_Flow!$AK54</f>
        <v>-13.8239804</v>
      </c>
      <c r="D29" s="19">
        <f>Cost_Flow!$AK79</f>
        <v>-45.797952179999996</v>
      </c>
      <c r="E29" s="19">
        <f>Cost_Flow!$AK104</f>
        <v>-75.600968789999996</v>
      </c>
      <c r="F29" s="19">
        <f>Cost_Flow!$AK129</f>
        <v>-108.38104042000001</v>
      </c>
      <c r="H29" s="26" t="s">
        <v>39</v>
      </c>
      <c r="I29" s="15">
        <f>Energy_Flow!$AK29</f>
        <v>2.1022093150000001</v>
      </c>
      <c r="J29" s="15">
        <f>Energy_Flow!$AK54</f>
        <v>2.7377011423000002</v>
      </c>
      <c r="K29" s="15">
        <f>Energy_Flow!$AK79</f>
        <v>2.7110606781</v>
      </c>
      <c r="L29" s="15">
        <f>Energy_Flow!$AK104</f>
        <v>2.7329512780000003</v>
      </c>
      <c r="M29" s="15">
        <f>Energy_Flow!$AK129</f>
        <v>2.7240133790999992</v>
      </c>
      <c r="O29" s="26" t="s">
        <v>39</v>
      </c>
      <c r="P29" s="15">
        <f>CO2_Flow!$AK29</f>
        <v>1.000000013351432E-10</v>
      </c>
      <c r="Q29" s="15">
        <f>CO2_Flow!$AK54</f>
        <v>3.7413501844999988E-2</v>
      </c>
      <c r="R29" s="15">
        <f>CO2_Flow!$AK79</f>
        <v>1.1136793197999997E-2</v>
      </c>
      <c r="S29" s="15">
        <f>CO2_Flow!$AK104</f>
        <v>9.0429446164999993E-3</v>
      </c>
      <c r="T29" s="15">
        <f>CO2_Flow!$AK129</f>
        <v>6.8766571364999984E-3</v>
      </c>
    </row>
    <row r="30" spans="1:20" x14ac:dyDescent="0.25">
      <c r="A30" s="21" t="s">
        <v>37</v>
      </c>
      <c r="B30" s="23">
        <f>Cost_Flow!$AK30</f>
        <v>-1.1101365089999999E-13</v>
      </c>
      <c r="C30" s="23">
        <f>Cost_Flow!$AK55</f>
        <v>53.111509848799997</v>
      </c>
      <c r="D30" s="23">
        <f>Cost_Flow!$AK80</f>
        <v>60.668837866499999</v>
      </c>
      <c r="E30" s="23">
        <f>Cost_Flow!$AK105</f>
        <v>69.411444223000004</v>
      </c>
      <c r="F30" s="23">
        <f>Cost_Flow!$AK130</f>
        <v>78.537824360999991</v>
      </c>
      <c r="H30" s="10" t="s">
        <v>40</v>
      </c>
      <c r="I30" s="10">
        <f>Energy_Flow!$AK30</f>
        <v>0</v>
      </c>
      <c r="J30" s="27">
        <f>Energy_Flow!$AK55</f>
        <v>0</v>
      </c>
      <c r="K30" s="27">
        <f>Energy_Flow!$AK80</f>
        <v>0</v>
      </c>
      <c r="L30" s="27">
        <f>Energy_Flow!$AK105</f>
        <v>0</v>
      </c>
      <c r="M30" s="27">
        <f>Energy_Flow!$AK130</f>
        <v>0</v>
      </c>
      <c r="O30" s="10" t="s">
        <v>40</v>
      </c>
      <c r="P30" s="10">
        <f>CO2_Flow!$AK30</f>
        <v>0</v>
      </c>
      <c r="Q30" s="27">
        <f>CO2_Flow!$AK55</f>
        <v>0</v>
      </c>
      <c r="R30" s="27">
        <f>CO2_Flow!$AK80</f>
        <v>0</v>
      </c>
      <c r="S30" s="27">
        <f>CO2_Flow!$AK105</f>
        <v>0</v>
      </c>
      <c r="T30" s="27">
        <f>CO2_Flow!$AK130</f>
        <v>0</v>
      </c>
    </row>
    <row r="31" spans="1:20" s="7" customFormat="1" x14ac:dyDescent="0.25">
      <c r="B31" s="24"/>
      <c r="C31" s="24"/>
      <c r="D31" s="24"/>
      <c r="E31" s="24"/>
      <c r="F31" s="24"/>
      <c r="H31" s="20" t="s">
        <v>41</v>
      </c>
      <c r="I31" s="19">
        <f>Energy_Flow!$AK31</f>
        <v>0.56816467900000001</v>
      </c>
      <c r="J31" s="19">
        <f>Energy_Flow!$AK56</f>
        <v>0.31037408300000002</v>
      </c>
      <c r="K31" s="19">
        <f>Energy_Flow!$AK81</f>
        <v>0.30391313199999997</v>
      </c>
      <c r="L31" s="19">
        <f>Energy_Flow!$AK106</f>
        <v>0.29746267700000001</v>
      </c>
      <c r="M31" s="19">
        <f>Energy_Flow!$AK131</f>
        <v>0.29100172499999999</v>
      </c>
      <c r="O31" s="20" t="s">
        <v>41</v>
      </c>
      <c r="P31" s="19">
        <f>CO2_Flow!$AK31</f>
        <v>2.8758288E-2</v>
      </c>
      <c r="Q31" s="19">
        <f>CO2_Flow!$AK56</f>
        <v>1.5709929899999999E-2</v>
      </c>
      <c r="R31" s="19">
        <f>CO2_Flow!$AK81</f>
        <v>1.53829017E-2</v>
      </c>
      <c r="S31" s="19">
        <f>CO2_Flow!$AK106</f>
        <v>1.50564047E-2</v>
      </c>
      <c r="T31" s="19">
        <f>CO2_Flow!$AK131</f>
        <v>1.4729376399999999E-2</v>
      </c>
    </row>
    <row r="32" spans="1:20" s="7" customFormat="1" x14ac:dyDescent="0.25">
      <c r="A32" s="28" t="s">
        <v>43</v>
      </c>
      <c r="B32" s="32">
        <f>SUM(B27:B30)</f>
        <v>353.68593600699967</v>
      </c>
      <c r="C32" s="32">
        <f>SUM(C27:C30)</f>
        <v>529.4298157485</v>
      </c>
      <c r="D32" s="32">
        <f>SUM(D27:D30)</f>
        <v>546.02594211780001</v>
      </c>
      <c r="E32" s="32">
        <f>SUM(E27:E30)</f>
        <v>561.51151951129987</v>
      </c>
      <c r="F32" s="32">
        <f>SUM(F27:F30)</f>
        <v>575.22823015239987</v>
      </c>
      <c r="H32" s="28" t="s">
        <v>43</v>
      </c>
      <c r="I32" s="32">
        <f>SUM(I27:I30)</f>
        <v>9.6084393950000013</v>
      </c>
      <c r="J32" s="32">
        <f>SUM(J27:J30)</f>
        <v>7.0227725317500003</v>
      </c>
      <c r="K32" s="32">
        <f>SUM(K27:K30)</f>
        <v>6.9338257277199995</v>
      </c>
      <c r="L32" s="32">
        <f>SUM(L27:L30)</f>
        <v>6.8652312890299996</v>
      </c>
      <c r="M32" s="32">
        <f>SUM(M27:M30)</f>
        <v>6.7901844315139996</v>
      </c>
      <c r="O32" s="28" t="s">
        <v>43</v>
      </c>
      <c r="P32" s="32">
        <f>SUM(P27:P30)</f>
        <v>0.59061059590000009</v>
      </c>
      <c r="Q32" s="32">
        <f>SUM(Q27:Q30)</f>
        <v>0.24111981253159998</v>
      </c>
      <c r="R32" s="32">
        <f>SUM(R27:R30)</f>
        <v>9.0257004028700002E-2</v>
      </c>
      <c r="S32" s="32">
        <f>SUM(S27:S30)</f>
        <v>7.1803469275900006E-2</v>
      </c>
      <c r="T32" s="32">
        <f>SUM(T27:T30)</f>
        <v>5.5865838515200002E-2</v>
      </c>
    </row>
    <row r="33" spans="1:20" ht="21" x14ac:dyDescent="0.35">
      <c r="A33" s="5" t="s">
        <v>31</v>
      </c>
      <c r="H33" s="5" t="s">
        <v>32</v>
      </c>
      <c r="O33" s="5" t="s">
        <v>33</v>
      </c>
    </row>
    <row r="34" spans="1:20" x14ac:dyDescent="0.25">
      <c r="A34" s="4" t="str">
        <f>Cost_Flow!BA6</f>
        <v>Utrecht_Label Aplus, met eWP</v>
      </c>
      <c r="H34" s="4" t="str">
        <f>A34</f>
        <v>Utrecht_Label Aplus, met eWP</v>
      </c>
      <c r="O34" s="4" t="str">
        <f>H34</f>
        <v>Utrecht_Label Aplus, met eWP</v>
      </c>
    </row>
    <row r="35" spans="1:20" ht="15" customHeight="1" x14ac:dyDescent="0.25">
      <c r="B35" s="9">
        <f>B26</f>
        <v>2010</v>
      </c>
      <c r="C35" s="9">
        <f>C26</f>
        <v>2020</v>
      </c>
      <c r="D35" s="9">
        <f>D26</f>
        <v>2030</v>
      </c>
      <c r="E35" s="9">
        <f>E26</f>
        <v>2040</v>
      </c>
      <c r="F35" s="9">
        <f>F26</f>
        <v>2050</v>
      </c>
      <c r="H35" s="9"/>
      <c r="I35" s="9">
        <f>B35</f>
        <v>2010</v>
      </c>
      <c r="J35" s="9">
        <f>C35</f>
        <v>2020</v>
      </c>
      <c r="K35" s="9">
        <f>D35</f>
        <v>2030</v>
      </c>
      <c r="L35" s="9">
        <f>E35</f>
        <v>2040</v>
      </c>
      <c r="M35" s="9">
        <f>F35</f>
        <v>2050</v>
      </c>
      <c r="O35" s="9"/>
      <c r="P35" s="9">
        <f>I35</f>
        <v>2010</v>
      </c>
      <c r="Q35" s="9">
        <f>J35</f>
        <v>2020</v>
      </c>
      <c r="R35" s="9">
        <f>K35</f>
        <v>2030</v>
      </c>
      <c r="S35" s="9">
        <f>L35</f>
        <v>2040</v>
      </c>
      <c r="T35" s="9">
        <f>M35</f>
        <v>2050</v>
      </c>
    </row>
    <row r="36" spans="1:20" x14ac:dyDescent="0.25">
      <c r="A36" s="11" t="s">
        <v>34</v>
      </c>
      <c r="B36" s="16">
        <f>Cost_Flow!$BB27</f>
        <v>225.46842604699981</v>
      </c>
      <c r="C36" s="16">
        <f>Cost_Flow!$BB52</f>
        <v>420.83152673730001</v>
      </c>
      <c r="D36" s="16">
        <f>Cost_Flow!$BB77</f>
        <v>412.76443494069997</v>
      </c>
      <c r="E36" s="16">
        <f>Cost_Flow!$BB102</f>
        <v>405.79478254489993</v>
      </c>
      <c r="F36" s="16">
        <f>Cost_Flow!$BB127</f>
        <v>402.11871375700002</v>
      </c>
      <c r="H36" s="21" t="s">
        <v>3</v>
      </c>
      <c r="I36" s="23">
        <f>Energy_Flow!$BB27</f>
        <v>4.7156557600000006</v>
      </c>
      <c r="J36" s="23">
        <f>Energy_Flow!$BB52</f>
        <v>0</v>
      </c>
      <c r="K36" s="23">
        <f>Energy_Flow!$BB77</f>
        <v>0</v>
      </c>
      <c r="L36" s="23">
        <f>Energy_Flow!$BB102</f>
        <v>0</v>
      </c>
      <c r="M36" s="23">
        <f>Energy_Flow!$BB127</f>
        <v>0</v>
      </c>
      <c r="O36" s="21" t="s">
        <v>3</v>
      </c>
      <c r="P36" s="23">
        <f>CO2_Flow!$BB27</f>
        <v>0.23868816780000002</v>
      </c>
      <c r="Q36" s="23">
        <f>CO2_Flow!$BB52</f>
        <v>0</v>
      </c>
      <c r="R36" s="23">
        <f>CO2_Flow!$BB77</f>
        <v>0</v>
      </c>
      <c r="S36" s="23">
        <f>CO2_Flow!$BB102</f>
        <v>0</v>
      </c>
      <c r="T36" s="23">
        <f>CO2_Flow!$BB127</f>
        <v>0</v>
      </c>
    </row>
    <row r="37" spans="1:20" x14ac:dyDescent="0.25">
      <c r="A37" s="17" t="s">
        <v>36</v>
      </c>
      <c r="B37" s="18">
        <f>Cost_Flow!$BB28</f>
        <v>130.07956248000002</v>
      </c>
      <c r="C37" s="18">
        <f>Cost_Flow!$BB53</f>
        <v>135.19820580300001</v>
      </c>
      <c r="D37" s="18">
        <f>Cost_Flow!$BB78</f>
        <v>132.27239402200001</v>
      </c>
      <c r="E37" s="18">
        <f>Cost_Flow!$BB103</f>
        <v>130.07877409100001</v>
      </c>
      <c r="F37" s="18">
        <f>Cost_Flow!$BB128</f>
        <v>128.40773208500002</v>
      </c>
      <c r="H37" s="12" t="s">
        <v>38</v>
      </c>
      <c r="I37" s="25">
        <f>Energy_Flow!$BB28</f>
        <v>2.7905743200000002</v>
      </c>
      <c r="J37" s="25">
        <f>Energy_Flow!$BB53</f>
        <v>3.4635956141999995</v>
      </c>
      <c r="K37" s="25">
        <f>Energy_Flow!$BB78</f>
        <v>3.4525745864999999</v>
      </c>
      <c r="L37" s="25">
        <f>Energy_Flow!$BB103</f>
        <v>3.4415743614999998</v>
      </c>
      <c r="M37" s="25">
        <f>Energy_Flow!$BB128</f>
        <v>3.4305533344000003</v>
      </c>
      <c r="O37" s="12" t="s">
        <v>38</v>
      </c>
      <c r="P37" s="25">
        <f>CO2_Flow!$BB28</f>
        <v>0.35192242800000001</v>
      </c>
      <c r="Q37" s="25">
        <f>CO2_Flow!$BB53</f>
        <v>0.19819463806999998</v>
      </c>
      <c r="R37" s="25">
        <f>CO2_Flow!$BB78</f>
        <v>5.8501958270000001E-2</v>
      </c>
      <c r="S37" s="25">
        <f>CO2_Flow!$BB103</f>
        <v>4.5887658059999996E-2</v>
      </c>
      <c r="T37" s="25">
        <f>CO2_Flow!$BB128</f>
        <v>3.4305533344000008E-2</v>
      </c>
    </row>
    <row r="38" spans="1:20" x14ac:dyDescent="0.25">
      <c r="A38" s="20" t="s">
        <v>35</v>
      </c>
      <c r="B38" s="19">
        <f>Cost_Flow!$BB29</f>
        <v>-1.86205252</v>
      </c>
      <c r="C38" s="19">
        <f>Cost_Flow!$BB54</f>
        <v>-0.142641923</v>
      </c>
      <c r="D38" s="19">
        <f>Cost_Flow!$BB79</f>
        <v>-0.73625980700000004</v>
      </c>
      <c r="E38" s="19">
        <f>Cost_Flow!$BB104</f>
        <v>-1.8563621699999999</v>
      </c>
      <c r="F38" s="19">
        <f>Cost_Flow!$BB129</f>
        <v>-3.5991502299999998</v>
      </c>
      <c r="H38" s="26" t="s">
        <v>39</v>
      </c>
      <c r="I38" s="15">
        <f>Energy_Flow!$BB29</f>
        <v>2.1022093150000001</v>
      </c>
      <c r="J38" s="15">
        <f>Energy_Flow!$BB54</f>
        <v>2.2809532722000001</v>
      </c>
      <c r="K38" s="15">
        <f>Energy_Flow!$BB79</f>
        <v>2.2077814182000002</v>
      </c>
      <c r="L38" s="15">
        <f>Energy_Flow!$BB104</f>
        <v>2.1503999988999998</v>
      </c>
      <c r="M38" s="15">
        <f>Energy_Flow!$BB129</f>
        <v>2.0735378208999999</v>
      </c>
      <c r="O38" s="26" t="s">
        <v>39</v>
      </c>
      <c r="P38" s="15">
        <f>CO2_Flow!$BB29</f>
        <v>1.000000013351432E-10</v>
      </c>
      <c r="Q38" s="15">
        <f>CO2_Flow!$BB54</f>
        <v>1.4000002546143975E-11</v>
      </c>
      <c r="R38" s="15">
        <f>CO2_Flow!$BB79</f>
        <v>-1.2000000645939757E-10</v>
      </c>
      <c r="S38" s="15">
        <f>CO2_Flow!$BB104</f>
        <v>-6.3000001049307031E-11</v>
      </c>
      <c r="T38" s="15">
        <f>CO2_Flow!$BB129</f>
        <v>1.3000003851182385E-11</v>
      </c>
    </row>
    <row r="39" spans="1:20" x14ac:dyDescent="0.25">
      <c r="A39" s="21" t="s">
        <v>37</v>
      </c>
      <c r="B39" s="23">
        <f>Cost_Flow!$BB30</f>
        <v>-1.1101365089999999E-13</v>
      </c>
      <c r="C39" s="23">
        <f>Cost_Flow!$BB55</f>
        <v>40.096309112</v>
      </c>
      <c r="D39" s="23">
        <f>Cost_Flow!$BB80</f>
        <v>37.947001303</v>
      </c>
      <c r="E39" s="23">
        <f>Cost_Flow!$BB105</f>
        <v>36.575516935000003</v>
      </c>
      <c r="F39" s="23">
        <f>Cost_Flow!$BB130</f>
        <v>35.6478731188</v>
      </c>
      <c r="H39" s="10" t="s">
        <v>40</v>
      </c>
      <c r="I39" s="10">
        <f>Energy_Flow!$BB30</f>
        <v>0</v>
      </c>
      <c r="J39" s="27">
        <f>Energy_Flow!$BB55</f>
        <v>0</v>
      </c>
      <c r="K39" s="27">
        <f>Energy_Flow!$BB80</f>
        <v>0</v>
      </c>
      <c r="L39" s="27">
        <f>Energy_Flow!$BB105</f>
        <v>0</v>
      </c>
      <c r="M39" s="27">
        <f>Energy_Flow!$BB130</f>
        <v>0</v>
      </c>
      <c r="O39" s="10" t="s">
        <v>40</v>
      </c>
      <c r="P39" s="10">
        <f>CO2_Flow!$BB30</f>
        <v>0</v>
      </c>
      <c r="Q39" s="27">
        <f>CO2_Flow!$BB55</f>
        <v>0</v>
      </c>
      <c r="R39" s="27">
        <f>CO2_Flow!$BB80</f>
        <v>0</v>
      </c>
      <c r="S39" s="27">
        <f>CO2_Flow!$BB105</f>
        <v>0</v>
      </c>
      <c r="T39" s="27">
        <f>CO2_Flow!$BB130</f>
        <v>0</v>
      </c>
    </row>
    <row r="40" spans="1:20" s="7" customFormat="1" x14ac:dyDescent="0.25">
      <c r="B40" s="24"/>
      <c r="C40" s="24"/>
      <c r="D40" s="24"/>
      <c r="E40" s="24"/>
      <c r="F40" s="24"/>
      <c r="H40" s="20" t="s">
        <v>41</v>
      </c>
      <c r="I40" s="19">
        <f>Energy_Flow!$BB31</f>
        <v>0.56816467900000001</v>
      </c>
      <c r="J40" s="19">
        <f>Energy_Flow!$BB56</f>
        <v>0.61647385799999999</v>
      </c>
      <c r="K40" s="19">
        <f>Energy_Flow!$BB81</f>
        <v>0.59669768000000001</v>
      </c>
      <c r="L40" s="19">
        <f>Energy_Flow!$BB106</f>
        <v>0.58118919000000002</v>
      </c>
      <c r="M40" s="19">
        <f>Energy_Flow!$BB131</f>
        <v>0.56041562599999994</v>
      </c>
      <c r="O40" s="20" t="s">
        <v>41</v>
      </c>
      <c r="P40" s="19">
        <f>CO2_Flow!$BB31</f>
        <v>2.8758288E-2</v>
      </c>
      <c r="Q40" s="19">
        <f>CO2_Flow!$BB56</f>
        <v>3.1203510900000002E-2</v>
      </c>
      <c r="R40" s="19">
        <f>CO2_Flow!$BB81</f>
        <v>3.0202517700000001E-2</v>
      </c>
      <c r="S40" s="19">
        <f>CO2_Flow!$BB106</f>
        <v>2.9417538199999999E-2</v>
      </c>
      <c r="T40" s="19">
        <f>CO2_Flow!$BB131</f>
        <v>2.8366061099999999E-2</v>
      </c>
    </row>
    <row r="41" spans="1:20" s="7" customFormat="1" x14ac:dyDescent="0.25">
      <c r="A41" s="28" t="s">
        <v>43</v>
      </c>
      <c r="B41" s="32">
        <f>SUM(B36:B39)</f>
        <v>353.68593600699967</v>
      </c>
      <c r="C41" s="32">
        <f>SUM(C36:C39)</f>
        <v>595.9833997293</v>
      </c>
      <c r="D41" s="32">
        <f>SUM(D36:D39)</f>
        <v>582.2475704586999</v>
      </c>
      <c r="E41" s="32">
        <f>SUM(E36:E39)</f>
        <v>570.59271140089993</v>
      </c>
      <c r="F41" s="32">
        <f>SUM(F36:F39)</f>
        <v>562.5751687308001</v>
      </c>
      <c r="H41" s="28" t="s">
        <v>43</v>
      </c>
      <c r="I41" s="32">
        <f>SUM(I36:I39)</f>
        <v>9.6084393950000013</v>
      </c>
      <c r="J41" s="32">
        <f>SUM(J36:J39)</f>
        <v>5.7445488863999996</v>
      </c>
      <c r="K41" s="32">
        <f>SUM(K36:K39)</f>
        <v>5.6603560047000006</v>
      </c>
      <c r="L41" s="32">
        <f>SUM(L36:L39)</f>
        <v>5.5919743604000001</v>
      </c>
      <c r="M41" s="32">
        <f>SUM(M36:M39)</f>
        <v>5.5040911553000003</v>
      </c>
      <c r="O41" s="28" t="s">
        <v>43</v>
      </c>
      <c r="P41" s="32">
        <f>SUM(P36:P39)</f>
        <v>0.59061059590000009</v>
      </c>
      <c r="Q41" s="32">
        <f>SUM(Q36:Q39)</f>
        <v>0.19819463808399998</v>
      </c>
      <c r="R41" s="32">
        <f>SUM(R36:R39)</f>
        <v>5.8501958149999991E-2</v>
      </c>
      <c r="S41" s="32">
        <f>SUM(S36:S39)</f>
        <v>4.5887657996999995E-2</v>
      </c>
      <c r="T41" s="32">
        <f>SUM(T36:T39)</f>
        <v>3.4305533357000012E-2</v>
      </c>
    </row>
    <row r="42" spans="1:20" ht="21" x14ac:dyDescent="0.35">
      <c r="A42" s="5" t="s">
        <v>31</v>
      </c>
      <c r="H42" s="5" t="s">
        <v>32</v>
      </c>
      <c r="O42" s="5" t="s">
        <v>33</v>
      </c>
    </row>
    <row r="43" spans="1:20" x14ac:dyDescent="0.25">
      <c r="A43" s="4" t="str">
        <f>Cost_Flow!BR6</f>
        <v>Utrecht_Label B_Warmtenetten</v>
      </c>
      <c r="H43" s="4" t="str">
        <f>A43</f>
        <v>Utrecht_Label B_Warmtenetten</v>
      </c>
      <c r="O43" s="4" t="str">
        <f>H43</f>
        <v>Utrecht_Label B_Warmtenetten</v>
      </c>
    </row>
    <row r="44" spans="1:20" ht="15" customHeight="1" x14ac:dyDescent="0.25">
      <c r="B44" s="9">
        <f>B35</f>
        <v>2010</v>
      </c>
      <c r="C44" s="9">
        <f>C35</f>
        <v>2020</v>
      </c>
      <c r="D44" s="9">
        <f>D35</f>
        <v>2030</v>
      </c>
      <c r="E44" s="9">
        <f>E35</f>
        <v>2040</v>
      </c>
      <c r="F44" s="9">
        <f>F35</f>
        <v>2050</v>
      </c>
      <c r="H44" s="9"/>
      <c r="I44" s="9">
        <f>B44</f>
        <v>2010</v>
      </c>
      <c r="J44" s="9">
        <f>C44</f>
        <v>2020</v>
      </c>
      <c r="K44" s="9">
        <f>D44</f>
        <v>2030</v>
      </c>
      <c r="L44" s="9">
        <f>E44</f>
        <v>2040</v>
      </c>
      <c r="M44" s="9">
        <f>F44</f>
        <v>2050</v>
      </c>
      <c r="O44" s="9"/>
      <c r="P44" s="9">
        <f>I44</f>
        <v>2010</v>
      </c>
      <c r="Q44" s="9">
        <f>J44</f>
        <v>2020</v>
      </c>
      <c r="R44" s="9">
        <f>K44</f>
        <v>2030</v>
      </c>
      <c r="S44" s="9">
        <f>L44</f>
        <v>2040</v>
      </c>
      <c r="T44" s="9">
        <f>M44</f>
        <v>2050</v>
      </c>
    </row>
    <row r="45" spans="1:20" x14ac:dyDescent="0.25">
      <c r="A45" s="11" t="s">
        <v>34</v>
      </c>
      <c r="B45" s="16">
        <f>Cost_Flow!$BS27</f>
        <v>225.46842604699981</v>
      </c>
      <c r="C45" s="16">
        <f>Cost_Flow!$BS52</f>
        <v>386.47179046499599</v>
      </c>
      <c r="D45" s="16">
        <f>Cost_Flow!$BS77</f>
        <v>395.13275858240399</v>
      </c>
      <c r="E45" s="16">
        <f>Cost_Flow!$BS102</f>
        <v>401.75745736828299</v>
      </c>
      <c r="F45" s="16">
        <f>Cost_Flow!$BS127</f>
        <v>409.25763227129329</v>
      </c>
      <c r="H45" s="21" t="s">
        <v>3</v>
      </c>
      <c r="I45" s="23">
        <f>Energy_Flow!$BS27</f>
        <v>4.7156557600000006</v>
      </c>
      <c r="J45" s="23">
        <f>Energy_Flow!$BS52</f>
        <v>1.2889478188E-2</v>
      </c>
      <c r="K45" s="23">
        <f>Energy_Flow!$BS77</f>
        <v>1.2613559016999999E-2</v>
      </c>
      <c r="L45" s="23">
        <f>Energy_Flow!$BS102</f>
        <v>1.2338742767E-2</v>
      </c>
      <c r="M45" s="23">
        <f>Energy_Flow!$BS127</f>
        <v>1.2061417865E-2</v>
      </c>
      <c r="O45" s="21" t="s">
        <v>3</v>
      </c>
      <c r="P45" s="23">
        <f>CO2_Flow!$BS27</f>
        <v>0.23868816780000002</v>
      </c>
      <c r="Q45" s="23">
        <f>CO2_Flow!$BS52</f>
        <v>6.5241529620000001E-4</v>
      </c>
      <c r="R45" s="23">
        <f>CO2_Flow!$BS77</f>
        <v>6.3844933849999997E-4</v>
      </c>
      <c r="S45" s="23">
        <f>CO2_Flow!$BS102</f>
        <v>6.2453920449999996E-4</v>
      </c>
      <c r="T45" s="23">
        <f>CO2_Flow!$BS127</f>
        <v>6.1050209609999999E-4</v>
      </c>
    </row>
    <row r="46" spans="1:20" x14ac:dyDescent="0.25">
      <c r="A46" s="17" t="s">
        <v>36</v>
      </c>
      <c r="B46" s="18">
        <f>Cost_Flow!$BS28</f>
        <v>130.07956248000002</v>
      </c>
      <c r="C46" s="18">
        <f>Cost_Flow!$BS53</f>
        <v>161.10554668451002</v>
      </c>
      <c r="D46" s="18">
        <f>Cost_Flow!$BS78</f>
        <v>161.77369260641001</v>
      </c>
      <c r="E46" s="18">
        <f>Cost_Flow!$BS103</f>
        <v>160.66169781532</v>
      </c>
      <c r="F46" s="18">
        <f>Cost_Flow!$BS128</f>
        <v>159.57233988285</v>
      </c>
      <c r="H46" s="12" t="s">
        <v>38</v>
      </c>
      <c r="I46" s="25">
        <f>Energy_Flow!$BS28</f>
        <v>2.7905743200000002</v>
      </c>
      <c r="J46" s="25">
        <f>Energy_Flow!$BS53</f>
        <v>3.0640865184839994</v>
      </c>
      <c r="K46" s="25">
        <f>Energy_Flow!$BS78</f>
        <v>3.0640726575299997</v>
      </c>
      <c r="L46" s="25">
        <f>Energy_Flow!$BS103</f>
        <v>3.0640588502809996</v>
      </c>
      <c r="M46" s="25">
        <f>Energy_Flow!$BS128</f>
        <v>3.0640449293500001</v>
      </c>
      <c r="O46" s="12" t="s">
        <v>38</v>
      </c>
      <c r="P46" s="25">
        <f>CO2_Flow!$BS28</f>
        <v>0.35192242800000001</v>
      </c>
      <c r="Q46" s="25">
        <f>CO2_Flow!$BS53</f>
        <v>0.17528991211</v>
      </c>
      <c r="R46" s="25">
        <f>CO2_Flow!$BS78</f>
        <v>5.1906236119999997E-2</v>
      </c>
      <c r="S46" s="25">
        <f>CO2_Flow!$BS103</f>
        <v>4.0844251388999997E-2</v>
      </c>
      <c r="T46" s="25">
        <f>CO2_Flow!$BS128</f>
        <v>3.0633187964000004E-2</v>
      </c>
    </row>
    <row r="47" spans="1:20" x14ac:dyDescent="0.25">
      <c r="A47" s="20" t="s">
        <v>35</v>
      </c>
      <c r="B47" s="19">
        <f>Cost_Flow!$BS29</f>
        <v>-1.86205252</v>
      </c>
      <c r="C47" s="19">
        <f>Cost_Flow!$BS54</f>
        <v>139.90209647399999</v>
      </c>
      <c r="D47" s="19">
        <f>Cost_Flow!$BS79</f>
        <v>138.44807877619999</v>
      </c>
      <c r="E47" s="19">
        <f>Cost_Flow!$BS104</f>
        <v>128.6255519499</v>
      </c>
      <c r="F47" s="19">
        <f>Cost_Flow!$BS129</f>
        <v>117.70974339428999</v>
      </c>
      <c r="H47" s="26" t="s">
        <v>39</v>
      </c>
      <c r="I47" s="15">
        <f>Energy_Flow!$BS29</f>
        <v>2.1022093150000001</v>
      </c>
      <c r="J47" s="15">
        <f>Energy_Flow!$BS54</f>
        <v>4.8283664292759996</v>
      </c>
      <c r="K47" s="15">
        <f>Energy_Flow!$BS79</f>
        <v>4.7172483748309997</v>
      </c>
      <c r="L47" s="15">
        <f>Energy_Flow!$BS104</f>
        <v>4.6063327262630001</v>
      </c>
      <c r="M47" s="15">
        <f>Energy_Flow!$BS129</f>
        <v>4.4952146691030004</v>
      </c>
      <c r="O47" s="26" t="s">
        <v>39</v>
      </c>
      <c r="P47" s="15">
        <f>CO2_Flow!$BS29</f>
        <v>1.000000013351432E-10</v>
      </c>
      <c r="Q47" s="15">
        <f>CO2_Flow!$BS54</f>
        <v>2.6248465519370018E-2</v>
      </c>
      <c r="R47" s="15">
        <f>CO2_Flow!$BS79</f>
        <v>2.5608647738370002E-2</v>
      </c>
      <c r="S47" s="15">
        <f>CO2_Flow!$BS104</f>
        <v>2.4997797318080009E-2</v>
      </c>
      <c r="T47" s="15">
        <f>CO2_Flow!$BS129</f>
        <v>2.438652889849998E-2</v>
      </c>
    </row>
    <row r="48" spans="1:20" x14ac:dyDescent="0.25">
      <c r="A48" s="21" t="s">
        <v>37</v>
      </c>
      <c r="B48" s="23">
        <f>Cost_Flow!$BS30</f>
        <v>-1.1101365089999999E-13</v>
      </c>
      <c r="C48" s="23">
        <f>Cost_Flow!$BS55</f>
        <v>41.241124097569994</v>
      </c>
      <c r="D48" s="23">
        <f>Cost_Flow!$BS80</f>
        <v>41.215849461199994</v>
      </c>
      <c r="E48" s="23">
        <f>Cost_Flow!$BS105</f>
        <v>41.200242315699995</v>
      </c>
      <c r="F48" s="23">
        <f>Cost_Flow!$BS130</f>
        <v>41.191877094300004</v>
      </c>
      <c r="H48" s="10" t="s">
        <v>40</v>
      </c>
      <c r="I48" s="10">
        <f>Energy_Flow!$BS30</f>
        <v>0</v>
      </c>
      <c r="J48" s="27">
        <f>Energy_Flow!$BS55</f>
        <v>0</v>
      </c>
      <c r="K48" s="27">
        <f>Energy_Flow!$BS80</f>
        <v>0</v>
      </c>
      <c r="L48" s="27">
        <f>Energy_Flow!$BS105</f>
        <v>0</v>
      </c>
      <c r="M48" s="27">
        <f>Energy_Flow!$BS130</f>
        <v>0</v>
      </c>
      <c r="O48" s="10" t="s">
        <v>40</v>
      </c>
      <c r="P48" s="10">
        <f>CO2_Flow!$BS30</f>
        <v>0</v>
      </c>
      <c r="Q48" s="27">
        <f>CO2_Flow!$BS55</f>
        <v>0</v>
      </c>
      <c r="R48" s="27">
        <f>CO2_Flow!$BS80</f>
        <v>0</v>
      </c>
      <c r="S48" s="27">
        <f>CO2_Flow!$BS105</f>
        <v>0</v>
      </c>
      <c r="T48" s="27">
        <f>CO2_Flow!$BS130</f>
        <v>0</v>
      </c>
    </row>
    <row r="49" spans="1:27" x14ac:dyDescent="0.25">
      <c r="H49" s="20" t="s">
        <v>41</v>
      </c>
      <c r="I49" s="19">
        <f>Energy_Flow!$BS31</f>
        <v>0.56816467900000001</v>
      </c>
      <c r="J49" s="19">
        <f>Energy_Flow!$BS56</f>
        <v>1.304429166</v>
      </c>
      <c r="K49" s="19">
        <f>Energy_Flow!$BS81</f>
        <v>1.2744103710000001</v>
      </c>
      <c r="L49" s="19">
        <f>Energy_Flow!$BS106</f>
        <v>1.244446226</v>
      </c>
      <c r="M49" s="19">
        <f>Energy_Flow!$BS131</f>
        <v>1.2144274310000001</v>
      </c>
      <c r="O49" s="20" t="s">
        <v>41</v>
      </c>
      <c r="P49" s="19">
        <f>CO2_Flow!$BS31</f>
        <v>2.8758288E-2</v>
      </c>
      <c r="Q49" s="19">
        <f>CO2_Flow!$BS56</f>
        <v>6.6025135099999993E-2</v>
      </c>
      <c r="R49" s="19">
        <f>CO2_Flow!$BS81</f>
        <v>6.4505700299999996E-2</v>
      </c>
      <c r="S49" s="19">
        <f>CO2_Flow!$BS106</f>
        <v>6.2989031799999998E-2</v>
      </c>
      <c r="T49" s="19">
        <f>CO2_Flow!$BS131</f>
        <v>6.1469597000000008E-2</v>
      </c>
    </row>
    <row r="50" spans="1:27" x14ac:dyDescent="0.25">
      <c r="A50" s="28" t="s">
        <v>43</v>
      </c>
      <c r="B50" s="32">
        <f>SUM(B45:B48)</f>
        <v>353.68593600699967</v>
      </c>
      <c r="C50" s="32">
        <f>SUM(C45:C48)</f>
        <v>728.72055772107603</v>
      </c>
      <c r="D50" s="32">
        <f>SUM(D45:D48)</f>
        <v>736.570379426214</v>
      </c>
      <c r="E50" s="32">
        <f>SUM(E45:E48)</f>
        <v>732.24494944920298</v>
      </c>
      <c r="F50" s="32">
        <f>SUM(F45:F48)</f>
        <v>727.73159264273329</v>
      </c>
      <c r="G50" s="7"/>
      <c r="H50" s="28" t="s">
        <v>43</v>
      </c>
      <c r="I50" s="32">
        <f>SUM(I45:I48)</f>
        <v>9.6084393950000013</v>
      </c>
      <c r="J50" s="32">
        <f>SUM(J45:J48)</f>
        <v>7.9053424259479987</v>
      </c>
      <c r="K50" s="32">
        <f>SUM(K45:K48)</f>
        <v>7.7939345913779992</v>
      </c>
      <c r="L50" s="32">
        <f>SUM(L45:L48)</f>
        <v>7.6827303193110001</v>
      </c>
      <c r="M50" s="32">
        <f>SUM(M45:M48)</f>
        <v>7.5713210163180005</v>
      </c>
      <c r="N50" s="7"/>
      <c r="O50" s="28" t="s">
        <v>43</v>
      </c>
      <c r="P50" s="32">
        <f>SUM(P45:P48)</f>
        <v>0.59061059590000009</v>
      </c>
      <c r="Q50" s="32">
        <f>SUM(Q45:Q48)</f>
        <v>0.20219079292557002</v>
      </c>
      <c r="R50" s="32">
        <f>SUM(R45:R48)</f>
        <v>7.8153333196869998E-2</v>
      </c>
      <c r="S50" s="32">
        <f>SUM(S45:S48)</f>
        <v>6.646658791158E-2</v>
      </c>
      <c r="T50" s="32">
        <f>SUM(T45:T48)</f>
        <v>5.5630218958599986E-2</v>
      </c>
      <c r="U50" s="7"/>
      <c r="V50" s="30"/>
      <c r="W50" s="33"/>
      <c r="X50" s="33"/>
      <c r="Y50" s="33"/>
      <c r="Z50" s="33"/>
      <c r="AA50" s="33"/>
    </row>
    <row r="51" spans="1:27" x14ac:dyDescent="0.25">
      <c r="V51" s="34"/>
      <c r="W51" s="34"/>
      <c r="X51" s="34"/>
      <c r="Y51" s="34"/>
      <c r="Z51" s="34"/>
      <c r="AA51" s="34"/>
    </row>
  </sheetData>
  <customSheetViews>
    <customSheetView guid="{FE9E7DEF-61E7-497F-AA37-E5D7A2E31674}" scale="60" topLeftCell="J1">
      <selection activeCell="AA52" sqref="AA52"/>
    </customSheetView>
  </customSheetViews>
  <pageMargins left="0.7" right="0.7" top="0.75" bottom="0.75" header="0.3" footer="0.3"/>
  <pageSetup paperSize="0" orientation="portrait" horizontalDpi="0" verticalDpi="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76"/>
  <sheetViews>
    <sheetView topLeftCell="A1236" workbookViewId="0">
      <selection activeCell="R1254" sqref="R1254"/>
    </sheetView>
  </sheetViews>
  <sheetFormatPr defaultRowHeight="15" x14ac:dyDescent="0.25"/>
  <cols>
    <col min="1" max="1" width="9.140625" customWidth="1"/>
  </cols>
  <sheetData>
    <row r="1" spans="1:16" x14ac:dyDescent="0.25">
      <c r="A1" t="s">
        <v>285</v>
      </c>
    </row>
    <row r="2" spans="1:16" x14ac:dyDescent="0.25">
      <c r="A2" t="s">
        <v>360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361</v>
      </c>
      <c r="I2" t="s">
        <v>25</v>
      </c>
      <c r="J2" t="s">
        <v>362</v>
      </c>
      <c r="K2" t="s">
        <v>5</v>
      </c>
      <c r="L2" t="s">
        <v>6</v>
      </c>
      <c r="M2" t="s">
        <v>7</v>
      </c>
      <c r="N2" t="s">
        <v>8</v>
      </c>
      <c r="O2" t="s">
        <v>9</v>
      </c>
      <c r="P2" t="s">
        <v>363</v>
      </c>
    </row>
    <row r="3" spans="1:16" x14ac:dyDescent="0.25">
      <c r="A3" t="s">
        <v>364</v>
      </c>
      <c r="B3" t="s">
        <v>365</v>
      </c>
      <c r="C3" t="s">
        <v>365</v>
      </c>
      <c r="D3" t="s">
        <v>365</v>
      </c>
      <c r="E3" t="s">
        <v>365</v>
      </c>
      <c r="F3" t="s">
        <v>365</v>
      </c>
      <c r="G3" t="s">
        <v>365</v>
      </c>
      <c r="H3" t="s">
        <v>365</v>
      </c>
      <c r="I3" t="s">
        <v>365</v>
      </c>
      <c r="J3" t="s">
        <v>365</v>
      </c>
      <c r="K3" t="s">
        <v>365</v>
      </c>
      <c r="L3" t="s">
        <v>365</v>
      </c>
      <c r="M3" t="s">
        <v>365</v>
      </c>
      <c r="N3" t="s">
        <v>365</v>
      </c>
      <c r="O3" t="s">
        <v>365</v>
      </c>
      <c r="P3" t="s">
        <v>365</v>
      </c>
    </row>
    <row r="4" spans="1:16" x14ac:dyDescent="0.25">
      <c r="A4" t="s">
        <v>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 t="s">
        <v>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 t="s">
        <v>3</v>
      </c>
      <c r="B6">
        <v>26336.189399999999</v>
      </c>
      <c r="C6">
        <v>0</v>
      </c>
      <c r="D6">
        <v>26336.189399999999</v>
      </c>
      <c r="E6">
        <v>15931.857599999999</v>
      </c>
      <c r="F6">
        <v>0</v>
      </c>
      <c r="G6">
        <v>6215.9005399999996</v>
      </c>
      <c r="H6">
        <v>0</v>
      </c>
      <c r="I6">
        <v>3926.2105200000001</v>
      </c>
      <c r="J6">
        <v>0</v>
      </c>
      <c r="K6">
        <v>262.22080999999997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4</v>
      </c>
      <c r="B7">
        <v>29035.4663</v>
      </c>
      <c r="C7">
        <v>0</v>
      </c>
      <c r="D7">
        <v>29035.4663</v>
      </c>
      <c r="E7">
        <v>10263.648999999999</v>
      </c>
      <c r="F7">
        <v>0</v>
      </c>
      <c r="G7">
        <v>15625.6351</v>
      </c>
      <c r="H7">
        <v>0</v>
      </c>
      <c r="I7">
        <v>3146.1821799999998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5</v>
      </c>
      <c r="B8">
        <v>262.22080999999997</v>
      </c>
      <c r="C8">
        <v>262.22080999999997</v>
      </c>
      <c r="D8">
        <v>0</v>
      </c>
      <c r="E8">
        <v>128.847286</v>
      </c>
      <c r="F8">
        <v>0</v>
      </c>
      <c r="G8">
        <v>58.802023900000002</v>
      </c>
      <c r="H8">
        <v>0</v>
      </c>
      <c r="I8">
        <v>74.571500599999993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25">
      <c r="A9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25">
      <c r="A11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25">
      <c r="A12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5">
      <c r="A13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25">
      <c r="A14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25">
      <c r="A15" t="s">
        <v>12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A16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 t="s">
        <v>14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 t="s">
        <v>286</v>
      </c>
    </row>
    <row r="19" spans="1:16" x14ac:dyDescent="0.25">
      <c r="A19" t="s">
        <v>360</v>
      </c>
      <c r="B19" t="s">
        <v>366</v>
      </c>
      <c r="C19" t="s">
        <v>367</v>
      </c>
      <c r="D19" t="s">
        <v>368</v>
      </c>
      <c r="E19" t="s">
        <v>21</v>
      </c>
      <c r="F19" t="s">
        <v>22</v>
      </c>
      <c r="G19" t="s">
        <v>23</v>
      </c>
      <c r="H19" t="s">
        <v>361</v>
      </c>
      <c r="I19" t="s">
        <v>25</v>
      </c>
      <c r="J19" t="s">
        <v>362</v>
      </c>
      <c r="K19" t="s">
        <v>5</v>
      </c>
      <c r="L19" t="s">
        <v>6</v>
      </c>
      <c r="M19" t="s">
        <v>7</v>
      </c>
      <c r="N19" t="s">
        <v>8</v>
      </c>
      <c r="O19" t="s">
        <v>9</v>
      </c>
      <c r="P19" t="s">
        <v>363</v>
      </c>
    </row>
    <row r="20" spans="1:16" x14ac:dyDescent="0.25">
      <c r="A20" t="s">
        <v>364</v>
      </c>
      <c r="B20" t="s">
        <v>369</v>
      </c>
      <c r="C20" t="s">
        <v>369</v>
      </c>
      <c r="D20" t="s">
        <v>369</v>
      </c>
      <c r="E20" t="s">
        <v>369</v>
      </c>
      <c r="F20" t="s">
        <v>369</v>
      </c>
      <c r="G20" t="s">
        <v>369</v>
      </c>
      <c r="H20" t="s">
        <v>369</v>
      </c>
      <c r="I20" t="s">
        <v>369</v>
      </c>
      <c r="J20" t="s">
        <v>369</v>
      </c>
      <c r="K20" t="s">
        <v>369</v>
      </c>
      <c r="L20" t="s">
        <v>369</v>
      </c>
      <c r="M20" t="s">
        <v>369</v>
      </c>
      <c r="N20" t="s">
        <v>369</v>
      </c>
      <c r="O20" t="s">
        <v>369</v>
      </c>
      <c r="P20" t="s">
        <v>369</v>
      </c>
    </row>
    <row r="21" spans="1:16" x14ac:dyDescent="0.25">
      <c r="A21" t="s">
        <v>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25">
      <c r="A22" t="s">
        <v>2</v>
      </c>
      <c r="B22">
        <v>109.19140400000001</v>
      </c>
      <c r="C22">
        <v>0</v>
      </c>
      <c r="D22">
        <v>109.19140400000001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109.19140400000001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 t="s">
        <v>3</v>
      </c>
      <c r="B23">
        <v>8016.9908699999996</v>
      </c>
      <c r="C23">
        <v>0</v>
      </c>
      <c r="D23">
        <v>8016.9908699999996</v>
      </c>
      <c r="E23">
        <v>5115.9187099999999</v>
      </c>
      <c r="F23">
        <v>0</v>
      </c>
      <c r="G23">
        <v>1971.1320800000001</v>
      </c>
      <c r="H23">
        <v>0</v>
      </c>
      <c r="I23">
        <v>868.46659399999999</v>
      </c>
      <c r="J23">
        <v>0</v>
      </c>
      <c r="K23">
        <v>61.473485400000001</v>
      </c>
      <c r="L23">
        <v>0</v>
      </c>
      <c r="M23">
        <v>0</v>
      </c>
      <c r="N23">
        <v>0</v>
      </c>
      <c r="O23">
        <v>0</v>
      </c>
      <c r="P23" s="74">
        <v>-1.05719082E-11</v>
      </c>
    </row>
    <row r="24" spans="1:16" x14ac:dyDescent="0.25">
      <c r="A24" t="s">
        <v>4</v>
      </c>
      <c r="B24">
        <v>6820.9857899999997</v>
      </c>
      <c r="C24">
        <v>0</v>
      </c>
      <c r="D24">
        <v>6820.9857899999997</v>
      </c>
      <c r="E24">
        <v>3379.0539399999998</v>
      </c>
      <c r="F24">
        <v>0</v>
      </c>
      <c r="G24">
        <v>3109.4935500000001</v>
      </c>
      <c r="H24">
        <v>0</v>
      </c>
      <c r="I24">
        <v>332.43829599999998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s="74">
        <v>-1.8190963600000001E-11</v>
      </c>
    </row>
    <row r="25" spans="1:16" x14ac:dyDescent="0.25">
      <c r="A25" t="s">
        <v>5</v>
      </c>
      <c r="B25">
        <v>445.03889600000002</v>
      </c>
      <c r="C25">
        <v>454.90302300000002</v>
      </c>
      <c r="D25">
        <v>-9.8641263099999996</v>
      </c>
      <c r="E25">
        <v>249.186578</v>
      </c>
      <c r="F25">
        <v>0</v>
      </c>
      <c r="G25">
        <v>131.969516</v>
      </c>
      <c r="H25">
        <v>0</v>
      </c>
      <c r="I25">
        <v>63.882801999999998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25">
      <c r="A26" t="s">
        <v>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 x14ac:dyDescent="0.25">
      <c r="A27" t="s">
        <v>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25">
      <c r="A28" t="s">
        <v>8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 t="s">
        <v>9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x14ac:dyDescent="0.25">
      <c r="A30" t="s">
        <v>10</v>
      </c>
      <c r="B30">
        <v>228.424845</v>
      </c>
      <c r="C30">
        <v>0</v>
      </c>
      <c r="D30">
        <v>228.424845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228.424845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25">
      <c r="A31" t="s">
        <v>11</v>
      </c>
      <c r="B31">
        <v>107.469193</v>
      </c>
      <c r="C31">
        <v>0</v>
      </c>
      <c r="D31">
        <v>107.469193</v>
      </c>
      <c r="E31">
        <v>37.988922600000002</v>
      </c>
      <c r="F31">
        <v>0</v>
      </c>
      <c r="G31">
        <v>57.835282599999999</v>
      </c>
      <c r="H31">
        <v>0</v>
      </c>
      <c r="I31">
        <v>11.644988100000001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25">
      <c r="A32" t="s">
        <v>12</v>
      </c>
      <c r="B32">
        <v>5484.8640699999996</v>
      </c>
      <c r="C32" s="74">
        <v>-2.87628718E-11</v>
      </c>
      <c r="D32">
        <v>5484.8640699999996</v>
      </c>
      <c r="E32">
        <v>3139.8345300000001</v>
      </c>
      <c r="F32">
        <v>0</v>
      </c>
      <c r="G32">
        <v>1492.51161</v>
      </c>
      <c r="H32">
        <v>0</v>
      </c>
      <c r="I32">
        <v>829.42220099999997</v>
      </c>
      <c r="J32">
        <v>0</v>
      </c>
      <c r="K32">
        <v>23.095728000000001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25">
      <c r="A33" t="s">
        <v>13</v>
      </c>
      <c r="B33">
        <v>2297.8942699999998</v>
      </c>
      <c r="C33">
        <v>0</v>
      </c>
      <c r="D33">
        <v>2297.8942699999998</v>
      </c>
      <c r="E33">
        <v>2265.1767100000002</v>
      </c>
      <c r="F33">
        <v>0</v>
      </c>
      <c r="G33">
        <v>0</v>
      </c>
      <c r="H33">
        <v>0</v>
      </c>
      <c r="I33">
        <v>0</v>
      </c>
      <c r="J33">
        <v>0</v>
      </c>
      <c r="K33">
        <v>32.717560599999999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x14ac:dyDescent="0.25">
      <c r="A34" t="s">
        <v>14</v>
      </c>
      <c r="B34" s="74">
        <v>-6.4067840600000005E-11</v>
      </c>
      <c r="C34">
        <v>0</v>
      </c>
      <c r="D34" s="74">
        <v>-6.4067840600000005E-11</v>
      </c>
      <c r="E34" s="74">
        <v>-2.4967193600000001E-11</v>
      </c>
      <c r="F34">
        <v>0</v>
      </c>
      <c r="G34" s="74">
        <v>-3.8146972699999999E-11</v>
      </c>
      <c r="H34">
        <v>0</v>
      </c>
      <c r="I34" s="74">
        <v>-9.5367431600000007E-13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x14ac:dyDescent="0.25">
      <c r="A35" t="s">
        <v>287</v>
      </c>
    </row>
    <row r="36" spans="1:16" x14ac:dyDescent="0.25">
      <c r="A36" t="s">
        <v>360</v>
      </c>
      <c r="B36" t="s">
        <v>18</v>
      </c>
      <c r="C36" t="s">
        <v>19</v>
      </c>
      <c r="D36" t="s">
        <v>20</v>
      </c>
      <c r="E36" t="s">
        <v>21</v>
      </c>
      <c r="F36" t="s">
        <v>22</v>
      </c>
      <c r="G36" t="s">
        <v>23</v>
      </c>
      <c r="H36" t="s">
        <v>361</v>
      </c>
      <c r="I36" t="s">
        <v>25</v>
      </c>
      <c r="J36" t="s">
        <v>362</v>
      </c>
      <c r="K36" t="s">
        <v>5</v>
      </c>
      <c r="L36" t="s">
        <v>6</v>
      </c>
      <c r="M36" t="s">
        <v>7</v>
      </c>
      <c r="N36" t="s">
        <v>8</v>
      </c>
      <c r="O36" t="s">
        <v>9</v>
      </c>
      <c r="P36" t="s">
        <v>363</v>
      </c>
    </row>
    <row r="37" spans="1:16" x14ac:dyDescent="0.25">
      <c r="A37" t="s">
        <v>364</v>
      </c>
      <c r="B37" t="s">
        <v>370</v>
      </c>
      <c r="C37" t="s">
        <v>370</v>
      </c>
      <c r="D37" t="s">
        <v>370</v>
      </c>
      <c r="E37" t="s">
        <v>370</v>
      </c>
      <c r="F37" t="s">
        <v>370</v>
      </c>
      <c r="G37" t="s">
        <v>370</v>
      </c>
      <c r="H37" t="s">
        <v>370</v>
      </c>
      <c r="I37" t="s">
        <v>370</v>
      </c>
      <c r="J37" t="s">
        <v>370</v>
      </c>
      <c r="K37" t="s">
        <v>370</v>
      </c>
      <c r="L37" t="s">
        <v>370</v>
      </c>
      <c r="M37" t="s">
        <v>370</v>
      </c>
      <c r="N37" t="s">
        <v>370</v>
      </c>
      <c r="O37" t="s">
        <v>370</v>
      </c>
      <c r="P37" t="s">
        <v>370</v>
      </c>
    </row>
    <row r="38" spans="1:16" x14ac:dyDescent="0.25">
      <c r="A38" t="s">
        <v>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</row>
    <row r="39" spans="1:16" x14ac:dyDescent="0.25">
      <c r="A39" t="s">
        <v>2</v>
      </c>
      <c r="B39">
        <v>19.1681448</v>
      </c>
      <c r="C39">
        <v>0</v>
      </c>
      <c r="D39">
        <v>19.1681448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19.1681448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x14ac:dyDescent="0.25">
      <c r="A40" t="s">
        <v>3</v>
      </c>
      <c r="B40">
        <v>520.31235700000002</v>
      </c>
      <c r="C40">
        <v>0</v>
      </c>
      <c r="D40">
        <v>520.31235700000002</v>
      </c>
      <c r="E40">
        <v>314.75860899999998</v>
      </c>
      <c r="F40">
        <v>0</v>
      </c>
      <c r="G40">
        <v>122.804777</v>
      </c>
      <c r="H40">
        <v>0</v>
      </c>
      <c r="I40">
        <v>77.568391300000002</v>
      </c>
      <c r="J40">
        <v>0</v>
      </c>
      <c r="K40">
        <v>5.1805796800000001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 x14ac:dyDescent="0.25">
      <c r="A41" t="s">
        <v>4</v>
      </c>
      <c r="B41">
        <v>230.100334</v>
      </c>
      <c r="C41">
        <v>0</v>
      </c>
      <c r="D41">
        <v>230.100334</v>
      </c>
      <c r="E41">
        <v>81.337390900000003</v>
      </c>
      <c r="F41">
        <v>0</v>
      </c>
      <c r="G41">
        <v>123.830071</v>
      </c>
      <c r="H41">
        <v>0</v>
      </c>
      <c r="I41">
        <v>24.932872199999998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</row>
    <row r="42" spans="1:16" x14ac:dyDescent="0.25">
      <c r="A42" t="s">
        <v>5</v>
      </c>
      <c r="B42">
        <v>19.1681448</v>
      </c>
      <c r="C42">
        <v>24.348724499999999</v>
      </c>
      <c r="D42">
        <v>-5.1805796800000001</v>
      </c>
      <c r="E42">
        <v>9.4186400599999995</v>
      </c>
      <c r="F42">
        <v>0</v>
      </c>
      <c r="G42">
        <v>4.2983839000000001</v>
      </c>
      <c r="H42">
        <v>0</v>
      </c>
      <c r="I42">
        <v>5.4511208399999997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x14ac:dyDescent="0.25">
      <c r="A43" t="s">
        <v>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25">
      <c r="A44" t="s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</row>
    <row r="45" spans="1:16" x14ac:dyDescent="0.25">
      <c r="A45" t="s">
        <v>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</row>
    <row r="46" spans="1:16" x14ac:dyDescent="0.25">
      <c r="A46" t="s">
        <v>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 x14ac:dyDescent="0.25">
      <c r="A47" t="s">
        <v>10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</row>
    <row r="48" spans="1:16" x14ac:dyDescent="0.25">
      <c r="A48" t="s">
        <v>11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</row>
    <row r="49" spans="1:16" x14ac:dyDescent="0.25">
      <c r="A49" t="s">
        <v>12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25">
      <c r="A50" t="s">
        <v>13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</row>
    <row r="51" spans="1:16" x14ac:dyDescent="0.25">
      <c r="A51" t="s">
        <v>14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</row>
    <row r="52" spans="1:16" x14ac:dyDescent="0.25">
      <c r="A52" t="s">
        <v>288</v>
      </c>
    </row>
    <row r="53" spans="1:16" x14ac:dyDescent="0.25">
      <c r="A53" t="s">
        <v>360</v>
      </c>
      <c r="B53" t="s">
        <v>18</v>
      </c>
      <c r="C53" t="s">
        <v>19</v>
      </c>
      <c r="D53" t="s">
        <v>20</v>
      </c>
      <c r="E53" t="s">
        <v>21</v>
      </c>
      <c r="F53" t="s">
        <v>22</v>
      </c>
      <c r="G53" t="s">
        <v>23</v>
      </c>
      <c r="H53" t="s">
        <v>361</v>
      </c>
      <c r="I53" t="s">
        <v>25</v>
      </c>
      <c r="J53" t="s">
        <v>362</v>
      </c>
      <c r="K53" t="s">
        <v>5</v>
      </c>
      <c r="L53" t="s">
        <v>6</v>
      </c>
      <c r="M53" t="s">
        <v>7</v>
      </c>
      <c r="N53" t="s">
        <v>8</v>
      </c>
      <c r="O53" t="s">
        <v>9</v>
      </c>
      <c r="P53" t="s">
        <v>363</v>
      </c>
    </row>
    <row r="54" spans="1:16" x14ac:dyDescent="0.25">
      <c r="A54" t="s">
        <v>364</v>
      </c>
      <c r="B54" t="s">
        <v>365</v>
      </c>
      <c r="C54" t="s">
        <v>365</v>
      </c>
      <c r="D54" t="s">
        <v>365</v>
      </c>
      <c r="E54" t="s">
        <v>365</v>
      </c>
      <c r="F54" t="s">
        <v>365</v>
      </c>
      <c r="G54" t="s">
        <v>365</v>
      </c>
      <c r="H54" t="s">
        <v>365</v>
      </c>
      <c r="I54" t="s">
        <v>365</v>
      </c>
      <c r="J54" t="s">
        <v>365</v>
      </c>
      <c r="K54" t="s">
        <v>365</v>
      </c>
      <c r="L54" t="s">
        <v>365</v>
      </c>
      <c r="M54" t="s">
        <v>365</v>
      </c>
      <c r="N54" t="s">
        <v>365</v>
      </c>
      <c r="O54" t="s">
        <v>365</v>
      </c>
      <c r="P54" t="s">
        <v>365</v>
      </c>
    </row>
    <row r="55" spans="1:16" x14ac:dyDescent="0.25">
      <c r="A55" t="s">
        <v>1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</row>
    <row r="56" spans="1:16" x14ac:dyDescent="0.25">
      <c r="A56" t="s">
        <v>2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</row>
    <row r="57" spans="1:16" x14ac:dyDescent="0.25">
      <c r="A57" t="s">
        <v>3</v>
      </c>
      <c r="B57">
        <v>22880.713599999999</v>
      </c>
      <c r="C57">
        <v>0</v>
      </c>
      <c r="D57">
        <v>22880.713599999999</v>
      </c>
      <c r="E57">
        <v>13871.9211</v>
      </c>
      <c r="F57">
        <v>389.45393999999999</v>
      </c>
      <c r="G57">
        <v>4128.0310600000003</v>
      </c>
      <c r="H57">
        <v>62.027395400000003</v>
      </c>
      <c r="I57">
        <v>3876.2328000000002</v>
      </c>
      <c r="J57">
        <v>0</v>
      </c>
      <c r="K57">
        <v>269.95272</v>
      </c>
      <c r="L57">
        <v>67.296274199999999</v>
      </c>
      <c r="M57">
        <v>0</v>
      </c>
      <c r="N57">
        <v>0</v>
      </c>
      <c r="O57">
        <v>215.79823099999999</v>
      </c>
      <c r="P57">
        <v>0</v>
      </c>
    </row>
    <row r="58" spans="1:16" x14ac:dyDescent="0.25">
      <c r="A58" t="s">
        <v>4</v>
      </c>
      <c r="B58">
        <v>14023.3796</v>
      </c>
      <c r="C58">
        <v>0</v>
      </c>
      <c r="D58">
        <v>14023.3796</v>
      </c>
      <c r="E58">
        <v>4506.7850399999998</v>
      </c>
      <c r="F58">
        <v>722.98287300000004</v>
      </c>
      <c r="G58">
        <v>6997.2885699999997</v>
      </c>
      <c r="H58">
        <v>223.60258999999999</v>
      </c>
      <c r="I58">
        <v>1427.7532200000001</v>
      </c>
      <c r="J58">
        <v>0</v>
      </c>
      <c r="K58">
        <v>0</v>
      </c>
      <c r="L58">
        <v>0</v>
      </c>
      <c r="M58">
        <v>446.07396499999999</v>
      </c>
      <c r="N58">
        <v>0</v>
      </c>
      <c r="O58">
        <v>-301.10667899999999</v>
      </c>
      <c r="P58">
        <v>0</v>
      </c>
    </row>
    <row r="59" spans="1:16" x14ac:dyDescent="0.25">
      <c r="A59" t="s">
        <v>5</v>
      </c>
      <c r="B59">
        <v>269.95272</v>
      </c>
      <c r="C59">
        <v>269.95272</v>
      </c>
      <c r="D59">
        <v>0</v>
      </c>
      <c r="E59">
        <v>120.807546</v>
      </c>
      <c r="F59">
        <v>18.4021589</v>
      </c>
      <c r="G59">
        <v>56.254789600000002</v>
      </c>
      <c r="H59">
        <v>0.82100336799999996</v>
      </c>
      <c r="I59">
        <v>73.667222300000006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25">
      <c r="A60" t="s">
        <v>6</v>
      </c>
      <c r="B60">
        <v>67.296274199999999</v>
      </c>
      <c r="C60">
        <v>67.296274199999999</v>
      </c>
      <c r="D60">
        <v>0</v>
      </c>
      <c r="E60">
        <v>9.9470895699999993</v>
      </c>
      <c r="F60">
        <v>0.384356855</v>
      </c>
      <c r="G60">
        <v>56.569589999999998</v>
      </c>
      <c r="H60">
        <v>9.3653305699999995E-2</v>
      </c>
      <c r="I60">
        <v>0.30158453699999999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</row>
    <row r="61" spans="1:16" x14ac:dyDescent="0.25">
      <c r="A61" t="s">
        <v>7</v>
      </c>
      <c r="B61">
        <v>446.07396499999999</v>
      </c>
      <c r="C61">
        <v>446.07396499999999</v>
      </c>
      <c r="D61" s="74">
        <v>-5.68434189E-14</v>
      </c>
      <c r="E61">
        <v>0</v>
      </c>
      <c r="F61">
        <v>349.40722499999998</v>
      </c>
      <c r="G61">
        <v>96.666739800000002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</row>
    <row r="62" spans="1:16" x14ac:dyDescent="0.25">
      <c r="A62" t="s">
        <v>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</row>
    <row r="63" spans="1:16" x14ac:dyDescent="0.25">
      <c r="A63" t="s">
        <v>9</v>
      </c>
      <c r="B63">
        <v>-85.308448900000002</v>
      </c>
      <c r="C63">
        <v>-85.308448900000002</v>
      </c>
      <c r="D63">
        <v>0</v>
      </c>
      <c r="E63">
        <v>-10.7416546</v>
      </c>
      <c r="F63">
        <v>-0.229093984</v>
      </c>
      <c r="G63">
        <v>-73.890493000000006</v>
      </c>
      <c r="H63">
        <v>-0.23060826300000001</v>
      </c>
      <c r="I63">
        <v>-0.216599085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</row>
    <row r="64" spans="1:16" x14ac:dyDescent="0.25">
      <c r="A64" t="s">
        <v>10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1:16" x14ac:dyDescent="0.25">
      <c r="A65" t="s">
        <v>11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</row>
    <row r="66" spans="1:16" x14ac:dyDescent="0.25">
      <c r="A66" t="s">
        <v>12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25">
      <c r="A67" t="s">
        <v>13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</row>
    <row r="68" spans="1:16" x14ac:dyDescent="0.25">
      <c r="A68" t="s">
        <v>14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x14ac:dyDescent="0.25">
      <c r="A69" t="s">
        <v>289</v>
      </c>
    </row>
    <row r="70" spans="1:16" x14ac:dyDescent="0.25">
      <c r="A70" t="s">
        <v>360</v>
      </c>
      <c r="B70" t="s">
        <v>366</v>
      </c>
      <c r="C70" t="s">
        <v>367</v>
      </c>
      <c r="D70" t="s">
        <v>368</v>
      </c>
      <c r="E70" t="s">
        <v>21</v>
      </c>
      <c r="F70" t="s">
        <v>22</v>
      </c>
      <c r="G70" t="s">
        <v>23</v>
      </c>
      <c r="H70" t="s">
        <v>361</v>
      </c>
      <c r="I70" t="s">
        <v>25</v>
      </c>
      <c r="J70" t="s">
        <v>362</v>
      </c>
      <c r="K70" t="s">
        <v>5</v>
      </c>
      <c r="L70" t="s">
        <v>6</v>
      </c>
      <c r="M70" t="s">
        <v>7</v>
      </c>
      <c r="N70" t="s">
        <v>8</v>
      </c>
      <c r="O70" t="s">
        <v>9</v>
      </c>
      <c r="P70" t="s">
        <v>363</v>
      </c>
    </row>
    <row r="71" spans="1:16" x14ac:dyDescent="0.25">
      <c r="A71" t="s">
        <v>364</v>
      </c>
      <c r="B71" t="s">
        <v>369</v>
      </c>
      <c r="C71" t="s">
        <v>369</v>
      </c>
      <c r="D71" t="s">
        <v>369</v>
      </c>
      <c r="E71" t="s">
        <v>369</v>
      </c>
      <c r="F71" t="s">
        <v>369</v>
      </c>
      <c r="G71" t="s">
        <v>369</v>
      </c>
      <c r="H71" t="s">
        <v>369</v>
      </c>
      <c r="I71" t="s">
        <v>369</v>
      </c>
      <c r="J71" t="s">
        <v>369</v>
      </c>
      <c r="K71" t="s">
        <v>369</v>
      </c>
      <c r="L71" t="s">
        <v>369</v>
      </c>
      <c r="M71" t="s">
        <v>369</v>
      </c>
      <c r="N71" t="s">
        <v>369</v>
      </c>
      <c r="O71" t="s">
        <v>369</v>
      </c>
      <c r="P71" t="s">
        <v>369</v>
      </c>
    </row>
    <row r="72" spans="1:16" x14ac:dyDescent="0.25">
      <c r="A72" t="s">
        <v>1</v>
      </c>
      <c r="B72">
        <v>683.69464000000005</v>
      </c>
      <c r="C72">
        <v>0</v>
      </c>
      <c r="D72">
        <v>683.69464000000005</v>
      </c>
      <c r="E72">
        <v>96.639150299999997</v>
      </c>
      <c r="F72">
        <v>0</v>
      </c>
      <c r="G72">
        <v>37.5766481</v>
      </c>
      <c r="H72">
        <v>0</v>
      </c>
      <c r="I72">
        <v>0</v>
      </c>
      <c r="J72">
        <v>0</v>
      </c>
      <c r="K72">
        <v>0</v>
      </c>
      <c r="L72">
        <v>51.268885699999998</v>
      </c>
      <c r="M72">
        <v>359.62107300000002</v>
      </c>
      <c r="N72">
        <v>0</v>
      </c>
      <c r="O72">
        <v>138.58888300000001</v>
      </c>
      <c r="P72">
        <v>0</v>
      </c>
    </row>
    <row r="73" spans="1:16" x14ac:dyDescent="0.25">
      <c r="A73" t="s">
        <v>2</v>
      </c>
      <c r="B73">
        <v>172.53341599999999</v>
      </c>
      <c r="C73">
        <v>0</v>
      </c>
      <c r="D73">
        <v>172.53341599999999</v>
      </c>
      <c r="E73">
        <v>0</v>
      </c>
      <c r="F73">
        <v>0</v>
      </c>
      <c r="G73">
        <v>1.6968160400000001</v>
      </c>
      <c r="H73">
        <v>0</v>
      </c>
      <c r="I73">
        <v>0</v>
      </c>
      <c r="J73">
        <v>0</v>
      </c>
      <c r="K73">
        <v>116.93921</v>
      </c>
      <c r="L73">
        <v>5.3526569299999999E-4</v>
      </c>
      <c r="M73">
        <v>0</v>
      </c>
      <c r="N73">
        <v>0</v>
      </c>
      <c r="O73">
        <v>53.896854099999999</v>
      </c>
      <c r="P73">
        <v>0</v>
      </c>
    </row>
    <row r="74" spans="1:16" x14ac:dyDescent="0.25">
      <c r="A74" t="s">
        <v>3</v>
      </c>
      <c r="B74">
        <v>7136.6815900000001</v>
      </c>
      <c r="C74">
        <v>0</v>
      </c>
      <c r="D74">
        <v>7136.6815900000001</v>
      </c>
      <c r="E74">
        <v>4239.5937599999997</v>
      </c>
      <c r="F74">
        <v>142.60923600000001</v>
      </c>
      <c r="G74">
        <v>1264.9518499999999</v>
      </c>
      <c r="H74">
        <v>31.1406335</v>
      </c>
      <c r="I74">
        <v>754.65333499999997</v>
      </c>
      <c r="J74">
        <v>0</v>
      </c>
      <c r="K74">
        <v>56.129703599999999</v>
      </c>
      <c r="L74">
        <v>13.992524</v>
      </c>
      <c r="M74">
        <v>0</v>
      </c>
      <c r="N74">
        <v>0</v>
      </c>
      <c r="O74">
        <v>44.869674699999997</v>
      </c>
      <c r="P74">
        <v>588.74087899999995</v>
      </c>
    </row>
    <row r="75" spans="1:16" x14ac:dyDescent="0.25">
      <c r="A75" t="s">
        <v>4</v>
      </c>
      <c r="B75">
        <v>8420.2254599999997</v>
      </c>
      <c r="C75">
        <v>0</v>
      </c>
      <c r="D75">
        <v>8420.2254599999997</v>
      </c>
      <c r="E75">
        <v>3538.3616699999998</v>
      </c>
      <c r="F75">
        <v>508.225191</v>
      </c>
      <c r="G75">
        <v>3422.4479200000001</v>
      </c>
      <c r="H75">
        <v>105.540485</v>
      </c>
      <c r="I75">
        <v>436.325264</v>
      </c>
      <c r="J75">
        <v>0</v>
      </c>
      <c r="K75">
        <v>0</v>
      </c>
      <c r="L75">
        <v>0</v>
      </c>
      <c r="M75">
        <v>189.45237399999999</v>
      </c>
      <c r="N75">
        <v>0</v>
      </c>
      <c r="O75">
        <v>-92.019019200000002</v>
      </c>
      <c r="P75">
        <v>311.891572</v>
      </c>
    </row>
    <row r="76" spans="1:16" x14ac:dyDescent="0.25">
      <c r="A76" t="s">
        <v>5</v>
      </c>
      <c r="B76">
        <v>477.10767700000002</v>
      </c>
      <c r="C76">
        <v>467.06720100000001</v>
      </c>
      <c r="D76">
        <v>10.040475300000001</v>
      </c>
      <c r="E76">
        <v>238.638623</v>
      </c>
      <c r="F76">
        <v>38.5079207</v>
      </c>
      <c r="G76">
        <v>130.00827200000001</v>
      </c>
      <c r="H76">
        <v>3.7295709100000001</v>
      </c>
      <c r="I76">
        <v>66.223290199999994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</row>
    <row r="77" spans="1:16" x14ac:dyDescent="0.25">
      <c r="A77" t="s">
        <v>6</v>
      </c>
      <c r="B77">
        <v>139.84265300000001</v>
      </c>
      <c r="C77">
        <v>122.342236</v>
      </c>
      <c r="D77">
        <v>17.500417299999999</v>
      </c>
      <c r="E77">
        <v>20.617735100000001</v>
      </c>
      <c r="F77">
        <v>1.05929392</v>
      </c>
      <c r="G77">
        <v>117.471217</v>
      </c>
      <c r="H77">
        <v>0.423296856</v>
      </c>
      <c r="I77">
        <v>0.27110999600000002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</row>
    <row r="78" spans="1:16" x14ac:dyDescent="0.25">
      <c r="A78" t="s">
        <v>7</v>
      </c>
      <c r="B78">
        <v>1015.5717</v>
      </c>
      <c r="C78">
        <v>764.24191800000006</v>
      </c>
      <c r="D78">
        <v>251.329779</v>
      </c>
      <c r="E78">
        <v>0</v>
      </c>
      <c r="F78">
        <v>815.57037200000002</v>
      </c>
      <c r="G78">
        <v>200.00132600000001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</row>
    <row r="79" spans="1:16" x14ac:dyDescent="0.25">
      <c r="A79" t="s">
        <v>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</row>
    <row r="80" spans="1:16" x14ac:dyDescent="0.25">
      <c r="A80" t="s">
        <v>9</v>
      </c>
      <c r="B80">
        <v>489.104826</v>
      </c>
      <c r="C80">
        <v>437.65351600000002</v>
      </c>
      <c r="D80">
        <v>51.451309600000002</v>
      </c>
      <c r="E80">
        <v>55.673129199999998</v>
      </c>
      <c r="F80">
        <v>1.6731295799999999</v>
      </c>
      <c r="G80">
        <v>428.48683199999999</v>
      </c>
      <c r="H80">
        <v>2.7791866700000001</v>
      </c>
      <c r="I80">
        <v>0.49254839700000003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</row>
    <row r="81" spans="1:16" x14ac:dyDescent="0.25">
      <c r="A81" t="s">
        <v>10</v>
      </c>
      <c r="B81">
        <v>283.446055</v>
      </c>
      <c r="C81">
        <v>0</v>
      </c>
      <c r="D81">
        <v>283.446055</v>
      </c>
      <c r="E81">
        <v>0</v>
      </c>
      <c r="F81">
        <v>-168.07364899999999</v>
      </c>
      <c r="G81">
        <v>0.94329290700000001</v>
      </c>
      <c r="H81">
        <v>0</v>
      </c>
      <c r="I81">
        <v>0</v>
      </c>
      <c r="J81">
        <v>0</v>
      </c>
      <c r="K81">
        <v>212.55924200000001</v>
      </c>
      <c r="L81">
        <v>28.465184699999998</v>
      </c>
      <c r="M81">
        <v>3.9669952099999999</v>
      </c>
      <c r="N81">
        <v>0</v>
      </c>
      <c r="O81">
        <v>205.58498900000001</v>
      </c>
      <c r="P81">
        <v>0</v>
      </c>
    </row>
    <row r="82" spans="1:16" x14ac:dyDescent="0.25">
      <c r="A82" t="s">
        <v>11</v>
      </c>
      <c r="B82">
        <v>53.019330400000001</v>
      </c>
      <c r="C82">
        <v>0</v>
      </c>
      <c r="D82">
        <v>53.019330400000001</v>
      </c>
      <c r="E82">
        <v>16.680997900000001</v>
      </c>
      <c r="F82">
        <v>2.6759820300000001</v>
      </c>
      <c r="G82">
        <v>25.8991176</v>
      </c>
      <c r="H82">
        <v>0.82762197500000001</v>
      </c>
      <c r="I82">
        <v>5.2845539099999996</v>
      </c>
      <c r="J82">
        <v>0</v>
      </c>
      <c r="K82">
        <v>0</v>
      </c>
      <c r="L82">
        <v>0</v>
      </c>
      <c r="M82">
        <v>1.65105697</v>
      </c>
      <c r="N82">
        <v>0</v>
      </c>
      <c r="O82">
        <v>0</v>
      </c>
      <c r="P82">
        <v>0</v>
      </c>
    </row>
    <row r="83" spans="1:16" x14ac:dyDescent="0.25">
      <c r="A83" t="s">
        <v>12</v>
      </c>
      <c r="B83">
        <v>8958.0496399999993</v>
      </c>
      <c r="C83">
        <v>900.63244999999995</v>
      </c>
      <c r="D83">
        <v>8057.4171900000001</v>
      </c>
      <c r="E83">
        <v>4359.45849</v>
      </c>
      <c r="F83">
        <v>434.461344</v>
      </c>
      <c r="G83">
        <v>2832.3184900000001</v>
      </c>
      <c r="H83">
        <v>117.068468</v>
      </c>
      <c r="I83">
        <v>1011.24699</v>
      </c>
      <c r="J83">
        <v>0</v>
      </c>
      <c r="K83">
        <v>46.801081099999998</v>
      </c>
      <c r="L83">
        <v>11.667</v>
      </c>
      <c r="M83">
        <v>107.615324</v>
      </c>
      <c r="N83">
        <v>0</v>
      </c>
      <c r="O83">
        <v>37.4124421</v>
      </c>
      <c r="P83">
        <v>0</v>
      </c>
    </row>
    <row r="84" spans="1:16" x14ac:dyDescent="0.25">
      <c r="A84" t="s">
        <v>13</v>
      </c>
      <c r="B84">
        <v>3137.2796600000001</v>
      </c>
      <c r="C84">
        <v>0</v>
      </c>
      <c r="D84">
        <v>3137.2796600000001</v>
      </c>
      <c r="E84">
        <v>2631.5414099999998</v>
      </c>
      <c r="F84">
        <v>408.40431799999999</v>
      </c>
      <c r="G84">
        <v>0</v>
      </c>
      <c r="H84">
        <v>0</v>
      </c>
      <c r="I84">
        <v>0</v>
      </c>
      <c r="J84">
        <v>0</v>
      </c>
      <c r="K84">
        <v>34.637964400000001</v>
      </c>
      <c r="L84">
        <v>3.4351853600000002</v>
      </c>
      <c r="M84">
        <v>44.775891199999997</v>
      </c>
      <c r="N84">
        <v>0</v>
      </c>
      <c r="O84">
        <v>14.4848914</v>
      </c>
      <c r="P84">
        <v>0</v>
      </c>
    </row>
    <row r="85" spans="1:16" x14ac:dyDescent="0.25">
      <c r="A85" t="s">
        <v>14</v>
      </c>
      <c r="B85">
        <v>220.79121900000001</v>
      </c>
      <c r="C85">
        <v>0</v>
      </c>
      <c r="D85">
        <v>220.79121900000001</v>
      </c>
      <c r="E85">
        <v>21.541460300000001</v>
      </c>
      <c r="F85">
        <v>51.453179900000002</v>
      </c>
      <c r="G85">
        <v>38.254720599999999</v>
      </c>
      <c r="H85">
        <v>4.0349319899999996</v>
      </c>
      <c r="I85" s="74">
        <v>2.9802322400000001E-12</v>
      </c>
      <c r="J85">
        <v>0</v>
      </c>
      <c r="K85">
        <v>0</v>
      </c>
      <c r="L85">
        <v>13.512921</v>
      </c>
      <c r="M85">
        <v>57.159204000000003</v>
      </c>
      <c r="N85">
        <v>0</v>
      </c>
      <c r="O85">
        <v>34.8348017</v>
      </c>
      <c r="P85">
        <v>0</v>
      </c>
    </row>
    <row r="86" spans="1:16" x14ac:dyDescent="0.25">
      <c r="A86" t="s">
        <v>290</v>
      </c>
    </row>
    <row r="87" spans="1:16" x14ac:dyDescent="0.25">
      <c r="A87" t="s">
        <v>360</v>
      </c>
      <c r="B87" t="s">
        <v>18</v>
      </c>
      <c r="C87" t="s">
        <v>19</v>
      </c>
      <c r="D87" t="s">
        <v>20</v>
      </c>
      <c r="E87" t="s">
        <v>21</v>
      </c>
      <c r="F87" t="s">
        <v>22</v>
      </c>
      <c r="G87" t="s">
        <v>23</v>
      </c>
      <c r="H87" t="s">
        <v>361</v>
      </c>
      <c r="I87" t="s">
        <v>25</v>
      </c>
      <c r="J87" t="s">
        <v>362</v>
      </c>
      <c r="K87" t="s">
        <v>5</v>
      </c>
      <c r="L87" t="s">
        <v>6</v>
      </c>
      <c r="M87" t="s">
        <v>7</v>
      </c>
      <c r="N87" t="s">
        <v>8</v>
      </c>
      <c r="O87" t="s">
        <v>9</v>
      </c>
      <c r="P87" t="s">
        <v>363</v>
      </c>
    </row>
    <row r="88" spans="1:16" x14ac:dyDescent="0.25">
      <c r="A88" t="s">
        <v>364</v>
      </c>
      <c r="B88" t="s">
        <v>370</v>
      </c>
      <c r="C88" t="s">
        <v>370</v>
      </c>
      <c r="D88" t="s">
        <v>370</v>
      </c>
      <c r="E88" t="s">
        <v>370</v>
      </c>
      <c r="F88" t="s">
        <v>370</v>
      </c>
      <c r="G88" t="s">
        <v>370</v>
      </c>
      <c r="H88" t="s">
        <v>370</v>
      </c>
      <c r="I88" t="s">
        <v>370</v>
      </c>
      <c r="J88" t="s">
        <v>370</v>
      </c>
      <c r="K88" t="s">
        <v>370</v>
      </c>
      <c r="L88" t="s">
        <v>370</v>
      </c>
      <c r="M88" t="s">
        <v>370</v>
      </c>
      <c r="N88" t="s">
        <v>370</v>
      </c>
      <c r="O88" t="s">
        <v>370</v>
      </c>
      <c r="P88" t="s">
        <v>370</v>
      </c>
    </row>
    <row r="89" spans="1:16" x14ac:dyDescent="0.25">
      <c r="A89" t="s">
        <v>1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1:16" x14ac:dyDescent="0.25">
      <c r="A90" t="s">
        <v>2</v>
      </c>
      <c r="B90">
        <v>45.685567499999998</v>
      </c>
      <c r="C90">
        <v>0</v>
      </c>
      <c r="D90">
        <v>45.685567499999998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19.733341599999999</v>
      </c>
      <c r="L90">
        <v>4.9193072400000002</v>
      </c>
      <c r="M90">
        <v>0</v>
      </c>
      <c r="N90">
        <v>0</v>
      </c>
      <c r="O90">
        <v>21.0329187</v>
      </c>
      <c r="P90">
        <v>0</v>
      </c>
    </row>
    <row r="91" spans="1:16" x14ac:dyDescent="0.25">
      <c r="A91" t="s">
        <v>3</v>
      </c>
      <c r="B91">
        <v>452.04406</v>
      </c>
      <c r="C91">
        <v>0</v>
      </c>
      <c r="D91">
        <v>452.04406</v>
      </c>
      <c r="E91">
        <v>274.06136299999997</v>
      </c>
      <c r="F91">
        <v>7.6942679099999998</v>
      </c>
      <c r="G91">
        <v>81.555669800000004</v>
      </c>
      <c r="H91">
        <v>1.2254476000000001</v>
      </c>
      <c r="I91">
        <v>76.581003800000005</v>
      </c>
      <c r="J91">
        <v>0</v>
      </c>
      <c r="K91">
        <v>5.33333557</v>
      </c>
      <c r="L91">
        <v>1.3295425000000001</v>
      </c>
      <c r="M91">
        <v>0</v>
      </c>
      <c r="N91">
        <v>0</v>
      </c>
      <c r="O91">
        <v>4.2634294600000002</v>
      </c>
      <c r="P91">
        <v>0</v>
      </c>
    </row>
    <row r="92" spans="1:16" x14ac:dyDescent="0.25">
      <c r="A92" t="s">
        <v>4</v>
      </c>
      <c r="B92">
        <v>244.89045100000001</v>
      </c>
      <c r="C92">
        <v>0</v>
      </c>
      <c r="D92">
        <v>244.89045100000001</v>
      </c>
      <c r="E92">
        <v>78.702042800000001</v>
      </c>
      <c r="F92">
        <v>12.6254589</v>
      </c>
      <c r="G92">
        <v>122.193737</v>
      </c>
      <c r="H92">
        <v>3.9047748000000002</v>
      </c>
      <c r="I92">
        <v>24.932872199999998</v>
      </c>
      <c r="J92">
        <v>0</v>
      </c>
      <c r="K92">
        <v>0</v>
      </c>
      <c r="L92">
        <v>0</v>
      </c>
      <c r="M92">
        <v>7.7897951699999997</v>
      </c>
      <c r="N92">
        <v>0</v>
      </c>
      <c r="O92">
        <v>-5.2582296700000004</v>
      </c>
      <c r="P92">
        <v>0</v>
      </c>
    </row>
    <row r="93" spans="1:16" x14ac:dyDescent="0.25">
      <c r="A93" t="s">
        <v>5</v>
      </c>
      <c r="B93">
        <v>19.733341599999999</v>
      </c>
      <c r="C93">
        <v>25.066677200000001</v>
      </c>
      <c r="D93">
        <v>-5.33333557</v>
      </c>
      <c r="E93">
        <v>8.8309410899999996</v>
      </c>
      <c r="F93">
        <v>1.34518403</v>
      </c>
      <c r="G93">
        <v>4.11218298</v>
      </c>
      <c r="H93">
        <v>6.0014731199999997E-2</v>
      </c>
      <c r="I93">
        <v>5.3850187700000003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1:16" x14ac:dyDescent="0.25">
      <c r="A94" t="s">
        <v>6</v>
      </c>
      <c r="B94">
        <v>4.9193072400000002</v>
      </c>
      <c r="C94">
        <v>6.2488497299999999</v>
      </c>
      <c r="D94">
        <v>-1.3295425000000001</v>
      </c>
      <c r="E94">
        <v>0.72712479699999999</v>
      </c>
      <c r="F94">
        <v>2.8096198199999999E-2</v>
      </c>
      <c r="G94">
        <v>4.1351946499999999</v>
      </c>
      <c r="H94">
        <v>6.8459864899999999E-3</v>
      </c>
      <c r="I94">
        <v>2.2045603800000001E-2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1:16" x14ac:dyDescent="0.25">
      <c r="A95" t="s">
        <v>7</v>
      </c>
      <c r="B95">
        <v>21.104831399999998</v>
      </c>
      <c r="C95">
        <v>7.7897951699999997</v>
      </c>
      <c r="D95">
        <v>13.3150362</v>
      </c>
      <c r="E95">
        <v>0</v>
      </c>
      <c r="F95">
        <v>16.5312956</v>
      </c>
      <c r="G95">
        <v>4.5735358000000002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25">
      <c r="A96" t="s">
        <v>8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25">
      <c r="A97" t="s">
        <v>9</v>
      </c>
      <c r="B97">
        <v>15.774689</v>
      </c>
      <c r="C97">
        <v>20.0381185</v>
      </c>
      <c r="D97">
        <v>-4.2634294600000002</v>
      </c>
      <c r="E97">
        <v>1.98627759</v>
      </c>
      <c r="F97">
        <v>4.2362584199999997E-2</v>
      </c>
      <c r="G97">
        <v>13.663354099999999</v>
      </c>
      <c r="H97">
        <v>4.2642594899999997E-2</v>
      </c>
      <c r="I97">
        <v>4.0052107900000002E-2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 x14ac:dyDescent="0.25">
      <c r="A98" t="s">
        <v>10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25">
      <c r="A99" t="s">
        <v>11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25">
      <c r="A100" t="s">
        <v>12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25">
      <c r="A101" t="s">
        <v>13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</row>
    <row r="102" spans="1:16" x14ac:dyDescent="0.25">
      <c r="A102" t="s">
        <v>14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25">
      <c r="A103" t="s">
        <v>291</v>
      </c>
    </row>
    <row r="104" spans="1:16" x14ac:dyDescent="0.25">
      <c r="A104" t="s">
        <v>360</v>
      </c>
      <c r="B104" t="s">
        <v>18</v>
      </c>
      <c r="C104" t="s">
        <v>19</v>
      </c>
      <c r="D104" t="s">
        <v>20</v>
      </c>
      <c r="E104" t="s">
        <v>21</v>
      </c>
      <c r="F104" t="s">
        <v>22</v>
      </c>
      <c r="G104" t="s">
        <v>23</v>
      </c>
      <c r="H104" t="s">
        <v>361</v>
      </c>
      <c r="I104" t="s">
        <v>25</v>
      </c>
      <c r="J104" t="s">
        <v>362</v>
      </c>
      <c r="K104" t="s">
        <v>5</v>
      </c>
      <c r="L104" t="s">
        <v>6</v>
      </c>
      <c r="M104" t="s">
        <v>7</v>
      </c>
      <c r="N104" t="s">
        <v>8</v>
      </c>
      <c r="O104" t="s">
        <v>9</v>
      </c>
      <c r="P104" t="s">
        <v>363</v>
      </c>
    </row>
    <row r="105" spans="1:16" x14ac:dyDescent="0.25">
      <c r="A105" t="s">
        <v>364</v>
      </c>
      <c r="B105" t="s">
        <v>365</v>
      </c>
      <c r="C105" t="s">
        <v>365</v>
      </c>
      <c r="D105" t="s">
        <v>365</v>
      </c>
      <c r="E105" t="s">
        <v>365</v>
      </c>
      <c r="F105" t="s">
        <v>365</v>
      </c>
      <c r="G105" t="s">
        <v>365</v>
      </c>
      <c r="H105" t="s">
        <v>365</v>
      </c>
      <c r="I105" t="s">
        <v>365</v>
      </c>
      <c r="J105" t="s">
        <v>365</v>
      </c>
      <c r="K105" t="s">
        <v>365</v>
      </c>
      <c r="L105" t="s">
        <v>365</v>
      </c>
      <c r="M105" t="s">
        <v>365</v>
      </c>
      <c r="N105" t="s">
        <v>365</v>
      </c>
      <c r="O105" t="s">
        <v>365</v>
      </c>
      <c r="P105" t="s">
        <v>365</v>
      </c>
    </row>
    <row r="106" spans="1:16" x14ac:dyDescent="0.25">
      <c r="A106" t="s">
        <v>1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25">
      <c r="A107" t="s">
        <v>2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1:16" x14ac:dyDescent="0.25">
      <c r="A108" t="s">
        <v>3</v>
      </c>
      <c r="B108">
        <v>22354.827300000001</v>
      </c>
      <c r="C108">
        <v>0</v>
      </c>
      <c r="D108">
        <v>22354.827300000001</v>
      </c>
      <c r="E108">
        <v>13155.263300000001</v>
      </c>
      <c r="F108">
        <v>722.77454</v>
      </c>
      <c r="G108">
        <v>3948.2920399999998</v>
      </c>
      <c r="H108">
        <v>214.74320800000001</v>
      </c>
      <c r="I108">
        <v>3766.3135200000002</v>
      </c>
      <c r="J108">
        <v>0</v>
      </c>
      <c r="K108">
        <v>267.95241499999997</v>
      </c>
      <c r="L108">
        <v>67.327176899999998</v>
      </c>
      <c r="M108">
        <v>0</v>
      </c>
      <c r="N108">
        <v>0</v>
      </c>
      <c r="O108">
        <v>212.16109900000001</v>
      </c>
      <c r="P108">
        <v>0</v>
      </c>
    </row>
    <row r="109" spans="1:16" x14ac:dyDescent="0.25">
      <c r="A109" t="s">
        <v>4</v>
      </c>
      <c r="B109">
        <v>4533.5575900000003</v>
      </c>
      <c r="C109">
        <v>0</v>
      </c>
      <c r="D109">
        <v>4533.5575900000003</v>
      </c>
      <c r="E109">
        <v>1284.31737</v>
      </c>
      <c r="F109">
        <v>407.71954699999998</v>
      </c>
      <c r="G109">
        <v>2058.1867699999998</v>
      </c>
      <c r="H109">
        <v>220.465419</v>
      </c>
      <c r="I109">
        <v>420.74221799999998</v>
      </c>
      <c r="J109">
        <v>0</v>
      </c>
      <c r="K109">
        <v>0</v>
      </c>
      <c r="L109">
        <v>0</v>
      </c>
      <c r="M109">
        <v>229.363371</v>
      </c>
      <c r="N109">
        <v>0</v>
      </c>
      <c r="O109">
        <v>-87.237097800000001</v>
      </c>
      <c r="P109">
        <v>0</v>
      </c>
    </row>
    <row r="110" spans="1:16" x14ac:dyDescent="0.25">
      <c r="A110" t="s">
        <v>5</v>
      </c>
      <c r="B110">
        <v>267.95241499999997</v>
      </c>
      <c r="C110">
        <v>267.95241499999997</v>
      </c>
      <c r="D110" s="74">
        <v>1.1368683799999999E-13</v>
      </c>
      <c r="E110">
        <v>116.452161</v>
      </c>
      <c r="F110">
        <v>23.6653628</v>
      </c>
      <c r="G110">
        <v>54.667778400000003</v>
      </c>
      <c r="H110">
        <v>1.6108779200000001</v>
      </c>
      <c r="I110">
        <v>71.556234900000007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1:16" x14ac:dyDescent="0.25">
      <c r="A111" t="s">
        <v>6</v>
      </c>
      <c r="B111">
        <v>67.327176899999998</v>
      </c>
      <c r="C111">
        <v>67.327176899999998</v>
      </c>
      <c r="D111" s="74">
        <v>1.4210854699999999E-14</v>
      </c>
      <c r="E111">
        <v>9.9901518199999995</v>
      </c>
      <c r="F111">
        <v>0.75179441300000005</v>
      </c>
      <c r="G111">
        <v>55.979345799999997</v>
      </c>
      <c r="H111">
        <v>0.31207747400000002</v>
      </c>
      <c r="I111">
        <v>0.29380735299999999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1:16" x14ac:dyDescent="0.25">
      <c r="A112" t="s">
        <v>7</v>
      </c>
      <c r="B112">
        <v>229.363371</v>
      </c>
      <c r="C112">
        <v>229.363371</v>
      </c>
      <c r="D112">
        <v>0</v>
      </c>
      <c r="E112">
        <v>0</v>
      </c>
      <c r="F112">
        <v>199.13687100000001</v>
      </c>
      <c r="G112">
        <v>30.226500099999999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1:16" x14ac:dyDescent="0.25">
      <c r="A113" t="s">
        <v>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1:16" x14ac:dyDescent="0.25">
      <c r="A114" t="s">
        <v>9</v>
      </c>
      <c r="B114">
        <v>124.924001</v>
      </c>
      <c r="C114">
        <v>124.924001</v>
      </c>
      <c r="D114">
        <v>0</v>
      </c>
      <c r="E114">
        <v>15.3533031</v>
      </c>
      <c r="F114">
        <v>1.39697436</v>
      </c>
      <c r="G114">
        <v>106.80967099999999</v>
      </c>
      <c r="H114">
        <v>1.0505527400000001</v>
      </c>
      <c r="I114">
        <v>0.31349919900000001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1:16" x14ac:dyDescent="0.25">
      <c r="A115" t="s">
        <v>10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1:16" x14ac:dyDescent="0.25">
      <c r="A116" t="s">
        <v>11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1:16" x14ac:dyDescent="0.25">
      <c r="A117" t="s">
        <v>12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1:16" x14ac:dyDescent="0.25">
      <c r="A118" t="s">
        <v>13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1:16" x14ac:dyDescent="0.25">
      <c r="A119" t="s">
        <v>14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25">
      <c r="A120" t="s">
        <v>292</v>
      </c>
    </row>
    <row r="121" spans="1:16" x14ac:dyDescent="0.25">
      <c r="A121" t="s">
        <v>360</v>
      </c>
      <c r="B121" t="s">
        <v>366</v>
      </c>
      <c r="C121" t="s">
        <v>367</v>
      </c>
      <c r="D121" t="s">
        <v>368</v>
      </c>
      <c r="E121" t="s">
        <v>21</v>
      </c>
      <c r="F121" t="s">
        <v>22</v>
      </c>
      <c r="G121" t="s">
        <v>23</v>
      </c>
      <c r="H121" t="s">
        <v>361</v>
      </c>
      <c r="I121" t="s">
        <v>25</v>
      </c>
      <c r="J121" t="s">
        <v>362</v>
      </c>
      <c r="K121" t="s">
        <v>5</v>
      </c>
      <c r="L121" t="s">
        <v>6</v>
      </c>
      <c r="M121" t="s">
        <v>7</v>
      </c>
      <c r="N121" t="s">
        <v>8</v>
      </c>
      <c r="O121" t="s">
        <v>9</v>
      </c>
      <c r="P121" t="s">
        <v>363</v>
      </c>
    </row>
    <row r="122" spans="1:16" x14ac:dyDescent="0.25">
      <c r="A122" t="s">
        <v>364</v>
      </c>
      <c r="B122" t="s">
        <v>369</v>
      </c>
      <c r="C122" t="s">
        <v>369</v>
      </c>
      <c r="D122" t="s">
        <v>369</v>
      </c>
      <c r="E122" t="s">
        <v>369</v>
      </c>
      <c r="F122" t="s">
        <v>369</v>
      </c>
      <c r="G122" t="s">
        <v>369</v>
      </c>
      <c r="H122" t="s">
        <v>369</v>
      </c>
      <c r="I122" t="s">
        <v>369</v>
      </c>
      <c r="J122" t="s">
        <v>369</v>
      </c>
      <c r="K122" t="s">
        <v>369</v>
      </c>
      <c r="L122" t="s">
        <v>369</v>
      </c>
      <c r="M122" t="s">
        <v>369</v>
      </c>
      <c r="N122" t="s">
        <v>369</v>
      </c>
      <c r="O122" t="s">
        <v>369</v>
      </c>
      <c r="P122" t="s">
        <v>369</v>
      </c>
    </row>
    <row r="123" spans="1:16" x14ac:dyDescent="0.25">
      <c r="A123" t="s">
        <v>1</v>
      </c>
      <c r="B123">
        <v>895.50103100000001</v>
      </c>
      <c r="C123">
        <v>0</v>
      </c>
      <c r="D123">
        <v>895.50103100000001</v>
      </c>
      <c r="E123">
        <v>91.669683599999999</v>
      </c>
      <c r="F123">
        <v>0</v>
      </c>
      <c r="G123">
        <v>44.349674499999999</v>
      </c>
      <c r="H123">
        <v>0</v>
      </c>
      <c r="I123">
        <v>0</v>
      </c>
      <c r="J123">
        <v>0</v>
      </c>
      <c r="K123">
        <v>0</v>
      </c>
      <c r="L123">
        <v>52.618989800000001</v>
      </c>
      <c r="M123">
        <v>568.27380000000005</v>
      </c>
      <c r="N123">
        <v>0</v>
      </c>
      <c r="O123">
        <v>138.58888300000001</v>
      </c>
      <c r="P123">
        <v>0</v>
      </c>
    </row>
    <row r="124" spans="1:16" x14ac:dyDescent="0.25">
      <c r="A124" t="s">
        <v>2</v>
      </c>
      <c r="B124">
        <v>137.81153900000001</v>
      </c>
      <c r="C124">
        <v>0</v>
      </c>
      <c r="D124">
        <v>137.81153900000001</v>
      </c>
      <c r="E124">
        <v>0</v>
      </c>
      <c r="F124">
        <v>0</v>
      </c>
      <c r="G124">
        <v>4.1899172900000003</v>
      </c>
      <c r="H124">
        <v>0</v>
      </c>
      <c r="I124">
        <v>0</v>
      </c>
      <c r="J124">
        <v>0</v>
      </c>
      <c r="K124">
        <v>109.352546</v>
      </c>
      <c r="L124">
        <v>6.4836242800000001E-4</v>
      </c>
      <c r="M124">
        <v>0</v>
      </c>
      <c r="N124">
        <v>0</v>
      </c>
      <c r="O124">
        <v>24.268427200000001</v>
      </c>
      <c r="P124">
        <v>0</v>
      </c>
    </row>
    <row r="125" spans="1:16" x14ac:dyDescent="0.25">
      <c r="A125" t="s">
        <v>3</v>
      </c>
      <c r="B125">
        <v>6473.39491</v>
      </c>
      <c r="C125">
        <v>0</v>
      </c>
      <c r="D125">
        <v>6473.39491</v>
      </c>
      <c r="E125">
        <v>3505.25452</v>
      </c>
      <c r="F125">
        <v>237.158559</v>
      </c>
      <c r="G125">
        <v>1060.20219</v>
      </c>
      <c r="H125">
        <v>101.96253299999999</v>
      </c>
      <c r="I125">
        <v>579.61139000000003</v>
      </c>
      <c r="J125">
        <v>0</v>
      </c>
      <c r="K125">
        <v>44.783007699999999</v>
      </c>
      <c r="L125">
        <v>11.252421399999999</v>
      </c>
      <c r="M125">
        <v>0</v>
      </c>
      <c r="N125">
        <v>0</v>
      </c>
      <c r="O125">
        <v>35.458579899999997</v>
      </c>
      <c r="P125">
        <v>897.71171400000003</v>
      </c>
    </row>
    <row r="126" spans="1:16" x14ac:dyDescent="0.25">
      <c r="A126" t="s">
        <v>4</v>
      </c>
      <c r="B126">
        <v>10705.7762</v>
      </c>
      <c r="C126">
        <v>0</v>
      </c>
      <c r="D126">
        <v>10705.7762</v>
      </c>
      <c r="E126">
        <v>3786.0830599999999</v>
      </c>
      <c r="F126">
        <v>1105.86978</v>
      </c>
      <c r="G126">
        <v>4087.9195199999999</v>
      </c>
      <c r="H126">
        <v>441.21822800000001</v>
      </c>
      <c r="I126">
        <v>574.84122000000002</v>
      </c>
      <c r="J126">
        <v>0</v>
      </c>
      <c r="K126">
        <v>0</v>
      </c>
      <c r="L126">
        <v>0</v>
      </c>
      <c r="M126">
        <v>407.35514899999998</v>
      </c>
      <c r="N126">
        <v>0</v>
      </c>
      <c r="O126">
        <v>-119.18813400000001</v>
      </c>
      <c r="P126">
        <v>421.67740400000002</v>
      </c>
    </row>
    <row r="127" spans="1:16" x14ac:dyDescent="0.25">
      <c r="A127" t="s">
        <v>5</v>
      </c>
      <c r="B127">
        <v>452.414401</v>
      </c>
      <c r="C127">
        <v>445.42499700000002</v>
      </c>
      <c r="D127">
        <v>6.9894036899999996</v>
      </c>
      <c r="E127">
        <v>217.00505200000001</v>
      </c>
      <c r="F127">
        <v>46.788223199999997</v>
      </c>
      <c r="G127">
        <v>123.237083</v>
      </c>
      <c r="H127">
        <v>6.9288076299999997</v>
      </c>
      <c r="I127">
        <v>58.455235399999999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1:16" x14ac:dyDescent="0.25">
      <c r="A128" t="s">
        <v>6</v>
      </c>
      <c r="B128">
        <v>135.72403</v>
      </c>
      <c r="C128">
        <v>121.78067</v>
      </c>
      <c r="D128">
        <v>13.9433604</v>
      </c>
      <c r="E128">
        <v>19.559578399999999</v>
      </c>
      <c r="F128">
        <v>2.0110396100000001</v>
      </c>
      <c r="G128">
        <v>112.594795</v>
      </c>
      <c r="H128">
        <v>1.31860222</v>
      </c>
      <c r="I128">
        <v>0.240015116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1:16" x14ac:dyDescent="0.25">
      <c r="A129" t="s">
        <v>7</v>
      </c>
      <c r="B129">
        <v>1723.1449399999999</v>
      </c>
      <c r="C129">
        <v>1389.86771</v>
      </c>
      <c r="D129">
        <v>333.27723099999997</v>
      </c>
      <c r="E129">
        <v>0</v>
      </c>
      <c r="F129">
        <v>1504.15551</v>
      </c>
      <c r="G129">
        <v>218.98942600000001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</row>
    <row r="130" spans="1:16" x14ac:dyDescent="0.25">
      <c r="A130" t="s">
        <v>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1:16" x14ac:dyDescent="0.25">
      <c r="A131" t="s">
        <v>9</v>
      </c>
      <c r="B131">
        <v>469.17461200000002</v>
      </c>
      <c r="C131">
        <v>394.41398500000003</v>
      </c>
      <c r="D131">
        <v>74.760626700000003</v>
      </c>
      <c r="E131">
        <v>50.392144799999997</v>
      </c>
      <c r="F131">
        <v>6.4100634799999998</v>
      </c>
      <c r="G131">
        <v>403.89941299999998</v>
      </c>
      <c r="H131">
        <v>8.0380478400000008</v>
      </c>
      <c r="I131">
        <v>0.43494289400000002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1:16" x14ac:dyDescent="0.25">
      <c r="A132" t="s">
        <v>10</v>
      </c>
      <c r="B132">
        <v>132.617088</v>
      </c>
      <c r="C132">
        <v>0</v>
      </c>
      <c r="D132">
        <v>132.617088</v>
      </c>
      <c r="E132">
        <v>0</v>
      </c>
      <c r="F132">
        <v>-330.97694200000001</v>
      </c>
      <c r="G132">
        <v>2.3292561900000002</v>
      </c>
      <c r="H132">
        <v>0</v>
      </c>
      <c r="I132">
        <v>0</v>
      </c>
      <c r="J132">
        <v>0</v>
      </c>
      <c r="K132">
        <v>204.041257</v>
      </c>
      <c r="L132">
        <v>27.349750700000001</v>
      </c>
      <c r="M132">
        <v>5.5618117600000003</v>
      </c>
      <c r="N132">
        <v>0</v>
      </c>
      <c r="O132">
        <v>224.31195500000001</v>
      </c>
      <c r="P132">
        <v>0</v>
      </c>
    </row>
    <row r="133" spans="1:16" x14ac:dyDescent="0.25">
      <c r="A133" t="s">
        <v>11</v>
      </c>
      <c r="B133">
        <v>171.02982700000001</v>
      </c>
      <c r="C133">
        <v>0</v>
      </c>
      <c r="D133">
        <v>171.02982700000001</v>
      </c>
      <c r="E133">
        <v>47.536537000000003</v>
      </c>
      <c r="F133">
        <v>15.090954699999999</v>
      </c>
      <c r="G133">
        <v>76.179823999999996</v>
      </c>
      <c r="H133">
        <v>8.1601033800000007</v>
      </c>
      <c r="I133">
        <v>15.5729639</v>
      </c>
      <c r="J133">
        <v>0</v>
      </c>
      <c r="K133">
        <v>0</v>
      </c>
      <c r="L133">
        <v>0</v>
      </c>
      <c r="M133">
        <v>8.48944397</v>
      </c>
      <c r="N133">
        <v>0</v>
      </c>
      <c r="O133">
        <v>0</v>
      </c>
      <c r="P133">
        <v>0</v>
      </c>
    </row>
    <row r="134" spans="1:16" x14ac:dyDescent="0.25">
      <c r="A134" t="s">
        <v>12</v>
      </c>
      <c r="B134">
        <v>10942.1114</v>
      </c>
      <c r="C134">
        <v>1319.38912</v>
      </c>
      <c r="D134">
        <v>9622.7223200000008</v>
      </c>
      <c r="E134">
        <v>4808.1822400000001</v>
      </c>
      <c r="F134">
        <v>938.56496600000003</v>
      </c>
      <c r="G134">
        <v>3270.7462500000001</v>
      </c>
      <c r="H134">
        <v>412.16319399999998</v>
      </c>
      <c r="I134">
        <v>1176.9957300000001</v>
      </c>
      <c r="J134">
        <v>0</v>
      </c>
      <c r="K134">
        <v>51.422814799999998</v>
      </c>
      <c r="L134">
        <v>12.920775300000001</v>
      </c>
      <c r="M134">
        <v>230.39958200000001</v>
      </c>
      <c r="N134">
        <v>0</v>
      </c>
      <c r="O134">
        <v>40.715889400000002</v>
      </c>
      <c r="P134">
        <v>0</v>
      </c>
    </row>
    <row r="135" spans="1:16" x14ac:dyDescent="0.25">
      <c r="A135" t="s">
        <v>13</v>
      </c>
      <c r="B135">
        <v>3575.2884399999998</v>
      </c>
      <c r="C135">
        <v>0</v>
      </c>
      <c r="D135">
        <v>3575.2884399999998</v>
      </c>
      <c r="E135">
        <v>2623.5181600000001</v>
      </c>
      <c r="F135">
        <v>809.77031099999999</v>
      </c>
      <c r="G135">
        <v>0</v>
      </c>
      <c r="H135">
        <v>0</v>
      </c>
      <c r="I135">
        <v>0</v>
      </c>
      <c r="J135">
        <v>0</v>
      </c>
      <c r="K135">
        <v>35.825372000000002</v>
      </c>
      <c r="L135">
        <v>3.7262924399999999</v>
      </c>
      <c r="M135">
        <v>87.105846200000002</v>
      </c>
      <c r="N135">
        <v>0</v>
      </c>
      <c r="O135">
        <v>15.3424554</v>
      </c>
      <c r="P135">
        <v>0</v>
      </c>
    </row>
    <row r="136" spans="1:16" x14ac:dyDescent="0.25">
      <c r="A136" t="s">
        <v>14</v>
      </c>
      <c r="B136">
        <v>302.35160200000001</v>
      </c>
      <c r="C136">
        <v>0</v>
      </c>
      <c r="D136">
        <v>302.35160200000001</v>
      </c>
      <c r="E136">
        <v>20.407102699999999</v>
      </c>
      <c r="F136">
        <v>94.292040799999995</v>
      </c>
      <c r="G136">
        <v>41.721316899999998</v>
      </c>
      <c r="H136">
        <v>14.421348</v>
      </c>
      <c r="I136" s="74">
        <v>2.3841857900000001E-12</v>
      </c>
      <c r="J136">
        <v>0</v>
      </c>
      <c r="K136">
        <v>0</v>
      </c>
      <c r="L136">
        <v>13.9117917</v>
      </c>
      <c r="M136">
        <v>82.6820728</v>
      </c>
      <c r="N136">
        <v>0</v>
      </c>
      <c r="O136">
        <v>34.915929400000003</v>
      </c>
      <c r="P136">
        <v>0</v>
      </c>
    </row>
    <row r="137" spans="1:16" x14ac:dyDescent="0.25">
      <c r="A137" t="s">
        <v>293</v>
      </c>
    </row>
    <row r="138" spans="1:16" x14ac:dyDescent="0.25">
      <c r="A138" t="s">
        <v>360</v>
      </c>
      <c r="B138" t="s">
        <v>18</v>
      </c>
      <c r="C138" t="s">
        <v>19</v>
      </c>
      <c r="D138" t="s">
        <v>20</v>
      </c>
      <c r="E138" t="s">
        <v>21</v>
      </c>
      <c r="F138" t="s">
        <v>22</v>
      </c>
      <c r="G138" t="s">
        <v>23</v>
      </c>
      <c r="H138" t="s">
        <v>361</v>
      </c>
      <c r="I138" t="s">
        <v>25</v>
      </c>
      <c r="J138" t="s">
        <v>362</v>
      </c>
      <c r="K138" t="s">
        <v>5</v>
      </c>
      <c r="L138" t="s">
        <v>6</v>
      </c>
      <c r="M138" t="s">
        <v>7</v>
      </c>
      <c r="N138" t="s">
        <v>8</v>
      </c>
      <c r="O138" t="s">
        <v>9</v>
      </c>
      <c r="P138" t="s">
        <v>363</v>
      </c>
    </row>
    <row r="139" spans="1:16" x14ac:dyDescent="0.25">
      <c r="A139" t="s">
        <v>364</v>
      </c>
      <c r="B139" t="s">
        <v>370</v>
      </c>
      <c r="C139" t="s">
        <v>370</v>
      </c>
      <c r="D139" t="s">
        <v>370</v>
      </c>
      <c r="E139" t="s">
        <v>370</v>
      </c>
      <c r="F139" t="s">
        <v>370</v>
      </c>
      <c r="G139" t="s">
        <v>370</v>
      </c>
      <c r="H139" t="s">
        <v>370</v>
      </c>
      <c r="I139" t="s">
        <v>370</v>
      </c>
      <c r="J139" t="s">
        <v>370</v>
      </c>
      <c r="K139" t="s">
        <v>370</v>
      </c>
      <c r="L139" t="s">
        <v>370</v>
      </c>
      <c r="M139" t="s">
        <v>370</v>
      </c>
      <c r="N139" t="s">
        <v>370</v>
      </c>
      <c r="O139" t="s">
        <v>370</v>
      </c>
      <c r="P139" t="s">
        <v>370</v>
      </c>
    </row>
    <row r="140" spans="1:16" x14ac:dyDescent="0.25">
      <c r="A140" t="s">
        <v>1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1:16" x14ac:dyDescent="0.25">
      <c r="A141" t="s">
        <v>2</v>
      </c>
      <c r="B141">
        <v>45.187110199999999</v>
      </c>
      <c r="C141">
        <v>0</v>
      </c>
      <c r="D141">
        <v>45.187110199999999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19.587120800000001</v>
      </c>
      <c r="L141">
        <v>4.9215662</v>
      </c>
      <c r="M141">
        <v>0</v>
      </c>
      <c r="N141">
        <v>0</v>
      </c>
      <c r="O141">
        <v>20.678423200000001</v>
      </c>
      <c r="P141">
        <v>0</v>
      </c>
    </row>
    <row r="142" spans="1:16" x14ac:dyDescent="0.25">
      <c r="A142" t="s">
        <v>3</v>
      </c>
      <c r="B142">
        <v>441.65436</v>
      </c>
      <c r="C142">
        <v>0</v>
      </c>
      <c r="D142">
        <v>441.65436</v>
      </c>
      <c r="E142">
        <v>259.90267499999999</v>
      </c>
      <c r="F142">
        <v>14.2795345</v>
      </c>
      <c r="G142">
        <v>78.004646199999996</v>
      </c>
      <c r="H142">
        <v>4.2425858600000002</v>
      </c>
      <c r="I142">
        <v>74.409377599999999</v>
      </c>
      <c r="J142">
        <v>0</v>
      </c>
      <c r="K142">
        <v>5.2938164399999996</v>
      </c>
      <c r="L142">
        <v>1.33015303</v>
      </c>
      <c r="M142">
        <v>0</v>
      </c>
      <c r="N142">
        <v>0</v>
      </c>
      <c r="O142">
        <v>4.19157227</v>
      </c>
      <c r="P142">
        <v>0</v>
      </c>
    </row>
    <row r="143" spans="1:16" x14ac:dyDescent="0.25">
      <c r="A143" t="s">
        <v>4</v>
      </c>
      <c r="B143">
        <v>268.65526499999999</v>
      </c>
      <c r="C143">
        <v>0</v>
      </c>
      <c r="D143">
        <v>268.65526499999999</v>
      </c>
      <c r="E143">
        <v>76.107696099999998</v>
      </c>
      <c r="F143">
        <v>24.1611583</v>
      </c>
      <c r="G143">
        <v>121.966623</v>
      </c>
      <c r="H143">
        <v>13.064617399999999</v>
      </c>
      <c r="I143">
        <v>24.932872199999998</v>
      </c>
      <c r="J143">
        <v>0</v>
      </c>
      <c r="K143">
        <v>0</v>
      </c>
      <c r="L143">
        <v>0</v>
      </c>
      <c r="M143">
        <v>13.591903500000001</v>
      </c>
      <c r="N143">
        <v>0</v>
      </c>
      <c r="O143">
        <v>-5.1696058000000003</v>
      </c>
      <c r="P143">
        <v>0</v>
      </c>
    </row>
    <row r="144" spans="1:16" x14ac:dyDescent="0.25">
      <c r="A144" t="s">
        <v>5</v>
      </c>
      <c r="B144">
        <v>19.587120800000001</v>
      </c>
      <c r="C144">
        <v>24.880937200000002</v>
      </c>
      <c r="D144">
        <v>-5.2938164399999996</v>
      </c>
      <c r="E144">
        <v>8.5125657300000004</v>
      </c>
      <c r="F144">
        <v>1.7299202899999999</v>
      </c>
      <c r="G144">
        <v>3.9961736499999998</v>
      </c>
      <c r="H144">
        <v>0.11775397</v>
      </c>
      <c r="I144">
        <v>5.2307071699999996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1:16" x14ac:dyDescent="0.25">
      <c r="A145" t="s">
        <v>6</v>
      </c>
      <c r="B145">
        <v>4.9215662</v>
      </c>
      <c r="C145">
        <v>6.25171922</v>
      </c>
      <c r="D145">
        <v>-1.33015303</v>
      </c>
      <c r="E145">
        <v>0.73027261499999996</v>
      </c>
      <c r="F145">
        <v>5.4955608400000001E-2</v>
      </c>
      <c r="G145">
        <v>4.0920482500000004</v>
      </c>
      <c r="H145">
        <v>2.2812629599999999E-2</v>
      </c>
      <c r="I145">
        <v>2.14770975E-2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1:16" x14ac:dyDescent="0.25">
      <c r="A146" t="s">
        <v>7</v>
      </c>
      <c r="B146">
        <v>36.616657099999998</v>
      </c>
      <c r="C146">
        <v>13.591903500000001</v>
      </c>
      <c r="D146">
        <v>23.024753700000002</v>
      </c>
      <c r="E146">
        <v>0</v>
      </c>
      <c r="F146">
        <v>31.791155199999999</v>
      </c>
      <c r="G146">
        <v>4.8255019399999997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1:16" x14ac:dyDescent="0.25">
      <c r="A147" t="s">
        <v>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1:16" x14ac:dyDescent="0.25">
      <c r="A148" t="s">
        <v>9</v>
      </c>
      <c r="B148">
        <v>15.5088174</v>
      </c>
      <c r="C148">
        <v>19.700389699999999</v>
      </c>
      <c r="D148">
        <v>-4.19157227</v>
      </c>
      <c r="E148">
        <v>1.9060514500000001</v>
      </c>
      <c r="F148">
        <v>0.17342880499999999</v>
      </c>
      <c r="G148">
        <v>13.2599955</v>
      </c>
      <c r="H148">
        <v>0.13042193999999999</v>
      </c>
      <c r="I148">
        <v>3.8919677499999999E-2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1:16" x14ac:dyDescent="0.25">
      <c r="A149" t="s">
        <v>10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</row>
    <row r="150" spans="1:16" x14ac:dyDescent="0.25">
      <c r="A150" t="s">
        <v>11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</row>
    <row r="151" spans="1:16" x14ac:dyDescent="0.25">
      <c r="A151" t="s">
        <v>12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1:16" x14ac:dyDescent="0.25">
      <c r="A152" t="s">
        <v>13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1:16" x14ac:dyDescent="0.25">
      <c r="A153" t="s">
        <v>14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1:16" x14ac:dyDescent="0.25">
      <c r="A154" t="s">
        <v>294</v>
      </c>
    </row>
    <row r="155" spans="1:16" x14ac:dyDescent="0.25">
      <c r="A155" t="s">
        <v>360</v>
      </c>
      <c r="B155" t="s">
        <v>18</v>
      </c>
      <c r="C155" t="s">
        <v>19</v>
      </c>
      <c r="D155" t="s">
        <v>20</v>
      </c>
      <c r="E155" t="s">
        <v>21</v>
      </c>
      <c r="F155" t="s">
        <v>22</v>
      </c>
      <c r="G155" t="s">
        <v>23</v>
      </c>
      <c r="H155" t="s">
        <v>361</v>
      </c>
      <c r="I155" t="s">
        <v>25</v>
      </c>
      <c r="J155" t="s">
        <v>362</v>
      </c>
      <c r="K155" t="s">
        <v>5</v>
      </c>
      <c r="L155" t="s">
        <v>6</v>
      </c>
      <c r="M155" t="s">
        <v>7</v>
      </c>
      <c r="N155" t="s">
        <v>8</v>
      </c>
      <c r="O155" t="s">
        <v>9</v>
      </c>
      <c r="P155" t="s">
        <v>363</v>
      </c>
    </row>
    <row r="156" spans="1:16" x14ac:dyDescent="0.25">
      <c r="A156" t="s">
        <v>364</v>
      </c>
      <c r="B156" t="s">
        <v>365</v>
      </c>
      <c r="C156" t="s">
        <v>365</v>
      </c>
      <c r="D156" t="s">
        <v>365</v>
      </c>
      <c r="E156" t="s">
        <v>365</v>
      </c>
      <c r="F156" t="s">
        <v>365</v>
      </c>
      <c r="G156" t="s">
        <v>365</v>
      </c>
      <c r="H156" t="s">
        <v>365</v>
      </c>
      <c r="I156" t="s">
        <v>365</v>
      </c>
      <c r="J156" t="s">
        <v>365</v>
      </c>
      <c r="K156" t="s">
        <v>365</v>
      </c>
      <c r="L156" t="s">
        <v>365</v>
      </c>
      <c r="M156" t="s">
        <v>365</v>
      </c>
      <c r="N156" t="s">
        <v>365</v>
      </c>
      <c r="O156" t="s">
        <v>365</v>
      </c>
      <c r="P156" t="s">
        <v>365</v>
      </c>
    </row>
    <row r="157" spans="1:16" x14ac:dyDescent="0.25">
      <c r="A157" t="s">
        <v>1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1:16" x14ac:dyDescent="0.25">
      <c r="A158" t="s">
        <v>2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1:16" x14ac:dyDescent="0.25">
      <c r="A159" t="s">
        <v>3</v>
      </c>
      <c r="B159">
        <v>21349.129499999999</v>
      </c>
      <c r="C159">
        <v>0</v>
      </c>
      <c r="D159">
        <v>21349.129499999999</v>
      </c>
      <c r="E159">
        <v>12426.688200000001</v>
      </c>
      <c r="F159">
        <v>895.957584</v>
      </c>
      <c r="G159">
        <v>3548.9306299999998</v>
      </c>
      <c r="H159">
        <v>268.34745600000002</v>
      </c>
      <c r="I159">
        <v>3656.5847100000001</v>
      </c>
      <c r="J159">
        <v>0</v>
      </c>
      <c r="K159">
        <v>262.937275</v>
      </c>
      <c r="L159">
        <v>82.557459600000001</v>
      </c>
      <c r="M159">
        <v>0</v>
      </c>
      <c r="N159">
        <v>0</v>
      </c>
      <c r="O159">
        <v>207.126181</v>
      </c>
      <c r="P159">
        <v>0</v>
      </c>
    </row>
    <row r="160" spans="1:16" x14ac:dyDescent="0.25">
      <c r="A160" t="s">
        <v>4</v>
      </c>
      <c r="B160">
        <v>3729.2350099999999</v>
      </c>
      <c r="C160">
        <v>0</v>
      </c>
      <c r="D160">
        <v>3729.2350099999999</v>
      </c>
      <c r="E160">
        <v>969.99666999999999</v>
      </c>
      <c r="F160">
        <v>427.42532199999999</v>
      </c>
      <c r="G160">
        <v>1598.86798</v>
      </c>
      <c r="H160">
        <v>234.61750799999999</v>
      </c>
      <c r="I160">
        <v>329.321687</v>
      </c>
      <c r="J160">
        <v>0</v>
      </c>
      <c r="K160">
        <v>0</v>
      </c>
      <c r="L160">
        <v>0</v>
      </c>
      <c r="M160">
        <v>235.66728499999999</v>
      </c>
      <c r="N160">
        <v>0</v>
      </c>
      <c r="O160">
        <v>-66.661439999999999</v>
      </c>
      <c r="P160">
        <v>0</v>
      </c>
    </row>
    <row r="161" spans="1:16" x14ac:dyDescent="0.25">
      <c r="A161" t="s">
        <v>5</v>
      </c>
      <c r="B161">
        <v>262.937275</v>
      </c>
      <c r="C161">
        <v>262.937275</v>
      </c>
      <c r="D161">
        <v>0</v>
      </c>
      <c r="E161">
        <v>112.67462500000001</v>
      </c>
      <c r="F161">
        <v>26.159126000000001</v>
      </c>
      <c r="G161">
        <v>52.758494499999998</v>
      </c>
      <c r="H161">
        <v>1.89830152</v>
      </c>
      <c r="I161">
        <v>69.446727800000005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1:16" x14ac:dyDescent="0.25">
      <c r="A162" t="s">
        <v>6</v>
      </c>
      <c r="B162">
        <v>82.557459600000001</v>
      </c>
      <c r="C162">
        <v>82.557459600000001</v>
      </c>
      <c r="D162">
        <v>0</v>
      </c>
      <c r="E162">
        <v>12.1228236</v>
      </c>
      <c r="F162">
        <v>2.0052464900000002</v>
      </c>
      <c r="G162">
        <v>66.955260999999993</v>
      </c>
      <c r="H162">
        <v>1.0811215000000001</v>
      </c>
      <c r="I162">
        <v>0.39300696400000001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1:16" x14ac:dyDescent="0.25">
      <c r="A163" t="s">
        <v>7</v>
      </c>
      <c r="B163">
        <v>235.66728499999999</v>
      </c>
      <c r="C163">
        <v>235.66728499999999</v>
      </c>
      <c r="D163">
        <v>0</v>
      </c>
      <c r="E163">
        <v>0</v>
      </c>
      <c r="F163">
        <v>210.657779</v>
      </c>
      <c r="G163">
        <v>24.814713900000001</v>
      </c>
      <c r="H163">
        <v>0.19479153599999999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1:16" x14ac:dyDescent="0.25">
      <c r="A164" t="s">
        <v>8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1:16" x14ac:dyDescent="0.25">
      <c r="A165" t="s">
        <v>9</v>
      </c>
      <c r="B165">
        <v>140.464741</v>
      </c>
      <c r="C165">
        <v>140.464741</v>
      </c>
      <c r="D165">
        <v>0</v>
      </c>
      <c r="E165">
        <v>16.561717600000001</v>
      </c>
      <c r="F165">
        <v>2.6955034900000001</v>
      </c>
      <c r="G165">
        <v>118.358591</v>
      </c>
      <c r="H165">
        <v>2.4981815300000001</v>
      </c>
      <c r="I165">
        <v>0.35074791900000002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1:16" x14ac:dyDescent="0.25">
      <c r="A166" t="s">
        <v>10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25">
      <c r="A167" t="s">
        <v>11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1:16" x14ac:dyDescent="0.25">
      <c r="A168" t="s">
        <v>12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1:16" x14ac:dyDescent="0.25">
      <c r="A169" t="s">
        <v>13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1:16" x14ac:dyDescent="0.25">
      <c r="A170" t="s">
        <v>14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1:16" x14ac:dyDescent="0.25">
      <c r="A171" t="s">
        <v>295</v>
      </c>
    </row>
    <row r="172" spans="1:16" x14ac:dyDescent="0.25">
      <c r="A172" t="s">
        <v>360</v>
      </c>
      <c r="B172" t="s">
        <v>366</v>
      </c>
      <c r="C172" t="s">
        <v>367</v>
      </c>
      <c r="D172" t="s">
        <v>368</v>
      </c>
      <c r="E172" t="s">
        <v>21</v>
      </c>
      <c r="F172" t="s">
        <v>22</v>
      </c>
      <c r="G172" t="s">
        <v>23</v>
      </c>
      <c r="H172" t="s">
        <v>361</v>
      </c>
      <c r="I172" t="s">
        <v>25</v>
      </c>
      <c r="J172" t="s">
        <v>362</v>
      </c>
      <c r="K172" t="s">
        <v>5</v>
      </c>
      <c r="L172" t="s">
        <v>6</v>
      </c>
      <c r="M172" t="s">
        <v>7</v>
      </c>
      <c r="N172" t="s">
        <v>8</v>
      </c>
      <c r="O172" t="s">
        <v>9</v>
      </c>
      <c r="P172" t="s">
        <v>363</v>
      </c>
    </row>
    <row r="173" spans="1:16" x14ac:dyDescent="0.25">
      <c r="A173" t="s">
        <v>364</v>
      </c>
      <c r="B173" t="s">
        <v>369</v>
      </c>
      <c r="C173" t="s">
        <v>369</v>
      </c>
      <c r="D173" t="s">
        <v>369</v>
      </c>
      <c r="E173" t="s">
        <v>369</v>
      </c>
      <c r="F173" t="s">
        <v>369</v>
      </c>
      <c r="G173" t="s">
        <v>369</v>
      </c>
      <c r="H173" t="s">
        <v>369</v>
      </c>
      <c r="I173" t="s">
        <v>369</v>
      </c>
      <c r="J173" t="s">
        <v>369</v>
      </c>
      <c r="K173" t="s">
        <v>369</v>
      </c>
      <c r="L173" t="s">
        <v>369</v>
      </c>
      <c r="M173" t="s">
        <v>369</v>
      </c>
      <c r="N173" t="s">
        <v>369</v>
      </c>
      <c r="O173" t="s">
        <v>369</v>
      </c>
      <c r="P173" t="s">
        <v>369</v>
      </c>
    </row>
    <row r="174" spans="1:16" x14ac:dyDescent="0.25">
      <c r="A174" t="s">
        <v>1</v>
      </c>
      <c r="B174">
        <v>1075.9781700000001</v>
      </c>
      <c r="C174">
        <v>0</v>
      </c>
      <c r="D174">
        <v>1075.9781700000001</v>
      </c>
      <c r="E174">
        <v>86.345010200000004</v>
      </c>
      <c r="F174">
        <v>0</v>
      </c>
      <c r="G174">
        <v>76.128351600000002</v>
      </c>
      <c r="H174">
        <v>0</v>
      </c>
      <c r="I174">
        <v>0</v>
      </c>
      <c r="J174">
        <v>0</v>
      </c>
      <c r="K174">
        <v>0</v>
      </c>
      <c r="L174">
        <v>67.925219600000005</v>
      </c>
      <c r="M174">
        <v>706.99070600000005</v>
      </c>
      <c r="N174">
        <v>0</v>
      </c>
      <c r="O174">
        <v>138.58888300000001</v>
      </c>
      <c r="P174">
        <v>0</v>
      </c>
    </row>
    <row r="175" spans="1:16" x14ac:dyDescent="0.25">
      <c r="A175" t="s">
        <v>2</v>
      </c>
      <c r="B175">
        <v>304.38266199999998</v>
      </c>
      <c r="C175">
        <v>0</v>
      </c>
      <c r="D175">
        <v>304.38266199999998</v>
      </c>
      <c r="E175">
        <v>0</v>
      </c>
      <c r="F175">
        <v>0</v>
      </c>
      <c r="G175">
        <v>17.2846671</v>
      </c>
      <c r="H175">
        <v>0</v>
      </c>
      <c r="I175">
        <v>0</v>
      </c>
      <c r="J175">
        <v>0</v>
      </c>
      <c r="K175">
        <v>116.98783</v>
      </c>
      <c r="L175">
        <v>8.2500114099999999E-4</v>
      </c>
      <c r="M175">
        <v>0</v>
      </c>
      <c r="N175">
        <v>0</v>
      </c>
      <c r="O175">
        <v>170.10934</v>
      </c>
      <c r="P175">
        <v>0</v>
      </c>
    </row>
    <row r="176" spans="1:16" x14ac:dyDescent="0.25">
      <c r="A176" t="s">
        <v>3</v>
      </c>
      <c r="B176">
        <v>6659.7939800000004</v>
      </c>
      <c r="C176">
        <v>0</v>
      </c>
      <c r="D176">
        <v>6659.7939800000004</v>
      </c>
      <c r="E176">
        <v>3400.5163699999998</v>
      </c>
      <c r="F176">
        <v>302.47957300000002</v>
      </c>
      <c r="G176">
        <v>991.31959099999995</v>
      </c>
      <c r="H176">
        <v>131.58598900000001</v>
      </c>
      <c r="I176">
        <v>582.74445500000002</v>
      </c>
      <c r="J176">
        <v>0</v>
      </c>
      <c r="K176">
        <v>45.384393699999997</v>
      </c>
      <c r="L176">
        <v>14.249863400000001</v>
      </c>
      <c r="M176">
        <v>0</v>
      </c>
      <c r="N176">
        <v>0</v>
      </c>
      <c r="O176">
        <v>35.751097600000001</v>
      </c>
      <c r="P176">
        <v>1155.7626499999999</v>
      </c>
    </row>
    <row r="177" spans="1:16" x14ac:dyDescent="0.25">
      <c r="A177" t="s">
        <v>4</v>
      </c>
      <c r="B177">
        <v>11630.0509</v>
      </c>
      <c r="C177">
        <v>0</v>
      </c>
      <c r="D177">
        <v>11630.0509</v>
      </c>
      <c r="E177">
        <v>3724.24775</v>
      </c>
      <c r="F177">
        <v>1522.9745499999999</v>
      </c>
      <c r="G177">
        <v>4202.1758399999999</v>
      </c>
      <c r="H177">
        <v>620.41110700000002</v>
      </c>
      <c r="I177">
        <v>609.47020899999995</v>
      </c>
      <c r="J177">
        <v>0</v>
      </c>
      <c r="K177">
        <v>0</v>
      </c>
      <c r="L177">
        <v>0</v>
      </c>
      <c r="M177">
        <v>559.92130199999997</v>
      </c>
      <c r="N177">
        <v>0</v>
      </c>
      <c r="O177">
        <v>-123.369227</v>
      </c>
      <c r="P177">
        <v>514.21937000000003</v>
      </c>
    </row>
    <row r="178" spans="1:16" x14ac:dyDescent="0.25">
      <c r="A178" t="s">
        <v>5</v>
      </c>
      <c r="B178">
        <v>450.54297700000001</v>
      </c>
      <c r="C178">
        <v>446.73787900000002</v>
      </c>
      <c r="D178">
        <v>3.80509852</v>
      </c>
      <c r="E178">
        <v>210.75235900000001</v>
      </c>
      <c r="F178">
        <v>51.757568999999997</v>
      </c>
      <c r="G178">
        <v>121.582838</v>
      </c>
      <c r="H178">
        <v>8.3377516400000005</v>
      </c>
      <c r="I178">
        <v>58.112460200000001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1:16" x14ac:dyDescent="0.25">
      <c r="A179" t="s">
        <v>6</v>
      </c>
      <c r="B179">
        <v>174.262381</v>
      </c>
      <c r="C179">
        <v>157.23767900000001</v>
      </c>
      <c r="D179">
        <v>17.0247028</v>
      </c>
      <c r="E179">
        <v>23.703772600000001</v>
      </c>
      <c r="F179">
        <v>5.4323658200000002</v>
      </c>
      <c r="G179">
        <v>140.215779</v>
      </c>
      <c r="H179">
        <v>4.58159852</v>
      </c>
      <c r="I179">
        <v>0.32886504900000002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1:16" x14ac:dyDescent="0.25">
      <c r="A180" t="s">
        <v>7</v>
      </c>
      <c r="B180">
        <v>2252.57132</v>
      </c>
      <c r="C180">
        <v>1821.59241</v>
      </c>
      <c r="D180">
        <v>430.97890799999999</v>
      </c>
      <c r="E180">
        <v>0</v>
      </c>
      <c r="F180">
        <v>2014.0984699999999</v>
      </c>
      <c r="G180">
        <v>236.44151099999999</v>
      </c>
      <c r="H180">
        <v>2.0313456699999999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1:16" x14ac:dyDescent="0.25">
      <c r="A181" t="s">
        <v>8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1:16" x14ac:dyDescent="0.25">
      <c r="A182" t="s">
        <v>9</v>
      </c>
      <c r="B182">
        <v>469.66712999999999</v>
      </c>
      <c r="C182">
        <v>534.85512200000005</v>
      </c>
      <c r="D182">
        <v>-65.187991400000001</v>
      </c>
      <c r="E182">
        <v>47.324767600000001</v>
      </c>
      <c r="F182">
        <v>10.6372681</v>
      </c>
      <c r="G182">
        <v>396.01303000000001</v>
      </c>
      <c r="H182">
        <v>15.259271099999999</v>
      </c>
      <c r="I182">
        <v>0.43279302400000003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1:16" x14ac:dyDescent="0.25">
      <c r="A183" t="s">
        <v>10</v>
      </c>
      <c r="B183">
        <v>17.3460912</v>
      </c>
      <c r="C183">
        <v>0</v>
      </c>
      <c r="D183">
        <v>17.3460912</v>
      </c>
      <c r="E183">
        <v>0</v>
      </c>
      <c r="F183">
        <v>-455.300386</v>
      </c>
      <c r="G183">
        <v>9.6088812899999994</v>
      </c>
      <c r="H183">
        <v>0</v>
      </c>
      <c r="I183">
        <v>0</v>
      </c>
      <c r="J183">
        <v>0</v>
      </c>
      <c r="K183">
        <v>197.42875900000001</v>
      </c>
      <c r="L183">
        <v>35.975495000000002</v>
      </c>
      <c r="M183">
        <v>6.4508009800000004</v>
      </c>
      <c r="N183">
        <v>0</v>
      </c>
      <c r="O183">
        <v>223.18254099999999</v>
      </c>
      <c r="P183">
        <v>0</v>
      </c>
    </row>
    <row r="184" spans="1:16" x14ac:dyDescent="0.25">
      <c r="A184" t="s">
        <v>11</v>
      </c>
      <c r="B184">
        <v>351.24451299999998</v>
      </c>
      <c r="C184">
        <v>0</v>
      </c>
      <c r="D184">
        <v>351.24451299999998</v>
      </c>
      <c r="E184">
        <v>89.756402100000003</v>
      </c>
      <c r="F184">
        <v>39.550815200000002</v>
      </c>
      <c r="G184">
        <v>147.94755699999999</v>
      </c>
      <c r="H184">
        <v>21.709789399999998</v>
      </c>
      <c r="I184">
        <v>30.473021899999999</v>
      </c>
      <c r="J184">
        <v>0</v>
      </c>
      <c r="K184">
        <v>0</v>
      </c>
      <c r="L184">
        <v>0</v>
      </c>
      <c r="M184">
        <v>21.806927999999999</v>
      </c>
      <c r="N184">
        <v>0</v>
      </c>
      <c r="O184">
        <v>0</v>
      </c>
      <c r="P184">
        <v>0</v>
      </c>
    </row>
    <row r="185" spans="1:16" x14ac:dyDescent="0.25">
      <c r="A185" t="s">
        <v>12</v>
      </c>
      <c r="B185">
        <v>11306.0535</v>
      </c>
      <c r="C185">
        <v>1669.9820199999999</v>
      </c>
      <c r="D185">
        <v>9636.0715</v>
      </c>
      <c r="E185">
        <v>4648.2414500000004</v>
      </c>
      <c r="F185">
        <v>1254.9228800000001</v>
      </c>
      <c r="G185">
        <v>3270.00108</v>
      </c>
      <c r="H185">
        <v>551.56032800000003</v>
      </c>
      <c r="I185">
        <v>1169.19409</v>
      </c>
      <c r="J185">
        <v>0</v>
      </c>
      <c r="K185">
        <v>50.460357999999999</v>
      </c>
      <c r="L185">
        <v>15.843622699999999</v>
      </c>
      <c r="M185">
        <v>306.08007199999997</v>
      </c>
      <c r="N185">
        <v>0</v>
      </c>
      <c r="O185">
        <v>39.749637100000001</v>
      </c>
      <c r="P185">
        <v>0</v>
      </c>
    </row>
    <row r="186" spans="1:16" x14ac:dyDescent="0.25">
      <c r="A186" t="s">
        <v>13</v>
      </c>
      <c r="B186">
        <v>3831.6452899999999</v>
      </c>
      <c r="C186">
        <v>0</v>
      </c>
      <c r="D186">
        <v>3831.6452899999999</v>
      </c>
      <c r="E186">
        <v>2562.0105800000001</v>
      </c>
      <c r="F186">
        <v>1092.38923</v>
      </c>
      <c r="G186">
        <v>0</v>
      </c>
      <c r="H186">
        <v>0</v>
      </c>
      <c r="I186">
        <v>0</v>
      </c>
      <c r="J186">
        <v>0</v>
      </c>
      <c r="K186">
        <v>36.476538099999999</v>
      </c>
      <c r="L186">
        <v>5.4313814300000001</v>
      </c>
      <c r="M186">
        <v>119.43684</v>
      </c>
      <c r="N186">
        <v>0</v>
      </c>
      <c r="O186">
        <v>15.900719799999999</v>
      </c>
      <c r="P186">
        <v>0</v>
      </c>
    </row>
    <row r="187" spans="1:16" x14ac:dyDescent="0.25">
      <c r="A187" t="s">
        <v>14</v>
      </c>
      <c r="B187">
        <v>376.84247099999999</v>
      </c>
      <c r="C187">
        <v>0</v>
      </c>
      <c r="D187">
        <v>376.84247099999999</v>
      </c>
      <c r="E187">
        <v>19.239679599999999</v>
      </c>
      <c r="F187">
        <v>122.095389</v>
      </c>
      <c r="G187">
        <v>62.648775899999997</v>
      </c>
      <c r="H187">
        <v>19.199459900000001</v>
      </c>
      <c r="I187" s="74">
        <v>3.2186508200000001E-12</v>
      </c>
      <c r="J187">
        <v>0</v>
      </c>
      <c r="K187">
        <v>0</v>
      </c>
      <c r="L187">
        <v>17.811271600000001</v>
      </c>
      <c r="M187">
        <v>100.905765</v>
      </c>
      <c r="N187">
        <v>0</v>
      </c>
      <c r="O187">
        <v>34.942129999999999</v>
      </c>
      <c r="P187">
        <v>0</v>
      </c>
    </row>
    <row r="188" spans="1:16" x14ac:dyDescent="0.25">
      <c r="A188" t="s">
        <v>296</v>
      </c>
    </row>
    <row r="189" spans="1:16" x14ac:dyDescent="0.25">
      <c r="A189" t="s">
        <v>360</v>
      </c>
      <c r="B189" t="s">
        <v>18</v>
      </c>
      <c r="C189" t="s">
        <v>19</v>
      </c>
      <c r="D189" t="s">
        <v>20</v>
      </c>
      <c r="E189" t="s">
        <v>21</v>
      </c>
      <c r="F189" t="s">
        <v>22</v>
      </c>
      <c r="G189" t="s">
        <v>23</v>
      </c>
      <c r="H189" t="s">
        <v>361</v>
      </c>
      <c r="I189" t="s">
        <v>25</v>
      </c>
      <c r="J189" t="s">
        <v>362</v>
      </c>
      <c r="K189" t="s">
        <v>5</v>
      </c>
      <c r="L189" t="s">
        <v>6</v>
      </c>
      <c r="M189" t="s">
        <v>7</v>
      </c>
      <c r="N189" t="s">
        <v>8</v>
      </c>
      <c r="O189" t="s">
        <v>9</v>
      </c>
      <c r="P189" t="s">
        <v>363</v>
      </c>
    </row>
    <row r="190" spans="1:16" x14ac:dyDescent="0.25">
      <c r="A190" t="s">
        <v>364</v>
      </c>
      <c r="B190" t="s">
        <v>370</v>
      </c>
      <c r="C190" t="s">
        <v>370</v>
      </c>
      <c r="D190" t="s">
        <v>370</v>
      </c>
      <c r="E190" t="s">
        <v>370</v>
      </c>
      <c r="F190" t="s">
        <v>370</v>
      </c>
      <c r="G190" t="s">
        <v>370</v>
      </c>
      <c r="H190" t="s">
        <v>370</v>
      </c>
      <c r="I190" t="s">
        <v>370</v>
      </c>
      <c r="J190" t="s">
        <v>370</v>
      </c>
      <c r="K190" t="s">
        <v>370</v>
      </c>
      <c r="L190" t="s">
        <v>370</v>
      </c>
      <c r="M190" t="s">
        <v>370</v>
      </c>
      <c r="N190" t="s">
        <v>370</v>
      </c>
      <c r="O190" t="s">
        <v>370</v>
      </c>
      <c r="P190" t="s">
        <v>370</v>
      </c>
    </row>
    <row r="191" spans="1:16" x14ac:dyDescent="0.25">
      <c r="A191" t="s">
        <v>1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1:16" x14ac:dyDescent="0.25">
      <c r="A192" t="s">
        <v>2</v>
      </c>
      <c r="B192">
        <v>45.443097899999998</v>
      </c>
      <c r="C192">
        <v>0</v>
      </c>
      <c r="D192">
        <v>45.443097899999998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19.2205178</v>
      </c>
      <c r="L192">
        <v>6.0348884500000004</v>
      </c>
      <c r="M192">
        <v>0</v>
      </c>
      <c r="N192">
        <v>0</v>
      </c>
      <c r="O192">
        <v>20.187691600000001</v>
      </c>
      <c r="P192">
        <v>0</v>
      </c>
    </row>
    <row r="193" spans="1:16" x14ac:dyDescent="0.25">
      <c r="A193" t="s">
        <v>3</v>
      </c>
      <c r="B193">
        <v>421.785236</v>
      </c>
      <c r="C193">
        <v>0</v>
      </c>
      <c r="D193">
        <v>421.785236</v>
      </c>
      <c r="E193">
        <v>245.50853900000001</v>
      </c>
      <c r="F193">
        <v>17.701034700000001</v>
      </c>
      <c r="G193">
        <v>70.114640800000004</v>
      </c>
      <c r="H193">
        <v>5.3016210800000003</v>
      </c>
      <c r="I193">
        <v>72.241514499999994</v>
      </c>
      <c r="J193">
        <v>0</v>
      </c>
      <c r="K193">
        <v>5.1947345499999997</v>
      </c>
      <c r="L193">
        <v>1.63105093</v>
      </c>
      <c r="M193">
        <v>0</v>
      </c>
      <c r="N193">
        <v>0</v>
      </c>
      <c r="O193">
        <v>4.0920996499999998</v>
      </c>
      <c r="P193">
        <v>0</v>
      </c>
    </row>
    <row r="194" spans="1:16" x14ac:dyDescent="0.25">
      <c r="A194" t="s">
        <v>4</v>
      </c>
      <c r="B194">
        <v>282.33955900000001</v>
      </c>
      <c r="C194">
        <v>0</v>
      </c>
      <c r="D194">
        <v>282.33955900000001</v>
      </c>
      <c r="E194">
        <v>73.438233699999998</v>
      </c>
      <c r="F194">
        <v>32.3602767</v>
      </c>
      <c r="G194">
        <v>121.049942</v>
      </c>
      <c r="H194">
        <v>17.762839700000001</v>
      </c>
      <c r="I194">
        <v>24.932872199999998</v>
      </c>
      <c r="J194">
        <v>0</v>
      </c>
      <c r="K194">
        <v>0</v>
      </c>
      <c r="L194">
        <v>0</v>
      </c>
      <c r="M194">
        <v>17.8423181</v>
      </c>
      <c r="N194">
        <v>0</v>
      </c>
      <c r="O194">
        <v>-5.0469229100000002</v>
      </c>
      <c r="P194">
        <v>0</v>
      </c>
    </row>
    <row r="195" spans="1:16" x14ac:dyDescent="0.25">
      <c r="A195" t="s">
        <v>5</v>
      </c>
      <c r="B195">
        <v>19.2205178</v>
      </c>
      <c r="C195">
        <v>24.4152524</v>
      </c>
      <c r="D195">
        <v>-5.1947345499999997</v>
      </c>
      <c r="E195">
        <v>8.2364306900000006</v>
      </c>
      <c r="F195">
        <v>1.91221252</v>
      </c>
      <c r="G195">
        <v>3.8566064299999998</v>
      </c>
      <c r="H195">
        <v>0.138764419</v>
      </c>
      <c r="I195">
        <v>5.0765037800000004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1:16" x14ac:dyDescent="0.25">
      <c r="A196" t="s">
        <v>6</v>
      </c>
      <c r="B196">
        <v>6.0348884500000004</v>
      </c>
      <c r="C196">
        <v>7.6659393900000001</v>
      </c>
      <c r="D196">
        <v>-1.63105093</v>
      </c>
      <c r="E196">
        <v>0.88616932400000004</v>
      </c>
      <c r="F196">
        <v>0.14658201600000001</v>
      </c>
      <c r="G196">
        <v>4.8943794299999999</v>
      </c>
      <c r="H196">
        <v>7.9029171499999995E-2</v>
      </c>
      <c r="I196">
        <v>2.8728514699999999E-2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1:16" x14ac:dyDescent="0.25">
      <c r="A197" t="s">
        <v>7</v>
      </c>
      <c r="B197">
        <v>47.815111299999998</v>
      </c>
      <c r="C197">
        <v>17.8423181</v>
      </c>
      <c r="D197">
        <v>29.972793299999999</v>
      </c>
      <c r="E197">
        <v>0</v>
      </c>
      <c r="F197">
        <v>42.740871599999998</v>
      </c>
      <c r="G197">
        <v>5.03471796</v>
      </c>
      <c r="H197">
        <v>3.9521730900000003E-2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1:16" x14ac:dyDescent="0.25">
      <c r="A198" t="s">
        <v>8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1:16" x14ac:dyDescent="0.25">
      <c r="A199" t="s">
        <v>9</v>
      </c>
      <c r="B199">
        <v>15.140768700000001</v>
      </c>
      <c r="C199">
        <v>19.232868400000001</v>
      </c>
      <c r="D199">
        <v>-4.0920996499999998</v>
      </c>
      <c r="E199">
        <v>1.78519629</v>
      </c>
      <c r="F199">
        <v>0.290549746</v>
      </c>
      <c r="G199">
        <v>12.757935099999999</v>
      </c>
      <c r="H199">
        <v>0.269280307</v>
      </c>
      <c r="I199">
        <v>3.78073035E-2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1:16" x14ac:dyDescent="0.25">
      <c r="A200" t="s">
        <v>10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1:16" x14ac:dyDescent="0.25">
      <c r="A201" t="s">
        <v>11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1:16" x14ac:dyDescent="0.25">
      <c r="A202" t="s">
        <v>12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1:16" x14ac:dyDescent="0.25">
      <c r="A203" t="s">
        <v>13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1:16" x14ac:dyDescent="0.25">
      <c r="A204" t="s">
        <v>14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1:16" x14ac:dyDescent="0.25">
      <c r="A205" t="s">
        <v>297</v>
      </c>
    </row>
    <row r="206" spans="1:16" x14ac:dyDescent="0.25">
      <c r="A206" t="s">
        <v>360</v>
      </c>
      <c r="B206" t="s">
        <v>18</v>
      </c>
      <c r="C206" t="s">
        <v>19</v>
      </c>
      <c r="D206" t="s">
        <v>20</v>
      </c>
      <c r="E206" t="s">
        <v>21</v>
      </c>
      <c r="F206" t="s">
        <v>22</v>
      </c>
      <c r="G206" t="s">
        <v>23</v>
      </c>
      <c r="H206" t="s">
        <v>361</v>
      </c>
      <c r="I206" t="s">
        <v>25</v>
      </c>
      <c r="J206" t="s">
        <v>362</v>
      </c>
      <c r="K206" t="s">
        <v>5</v>
      </c>
      <c r="L206" t="s">
        <v>6</v>
      </c>
      <c r="M206" t="s">
        <v>7</v>
      </c>
      <c r="N206" t="s">
        <v>8</v>
      </c>
      <c r="O206" t="s">
        <v>9</v>
      </c>
      <c r="P206" t="s">
        <v>363</v>
      </c>
    </row>
    <row r="207" spans="1:16" x14ac:dyDescent="0.25">
      <c r="A207" t="s">
        <v>364</v>
      </c>
      <c r="B207" t="s">
        <v>365</v>
      </c>
      <c r="C207" t="s">
        <v>365</v>
      </c>
      <c r="D207" t="s">
        <v>365</v>
      </c>
      <c r="E207" t="s">
        <v>365</v>
      </c>
      <c r="F207" t="s">
        <v>365</v>
      </c>
      <c r="G207" t="s">
        <v>365</v>
      </c>
      <c r="H207" t="s">
        <v>365</v>
      </c>
      <c r="I207" t="s">
        <v>365</v>
      </c>
      <c r="J207" t="s">
        <v>365</v>
      </c>
      <c r="K207" t="s">
        <v>365</v>
      </c>
      <c r="L207" t="s">
        <v>365</v>
      </c>
      <c r="M207" t="s">
        <v>365</v>
      </c>
      <c r="N207" t="s">
        <v>365</v>
      </c>
      <c r="O207" t="s">
        <v>365</v>
      </c>
      <c r="P207" t="s">
        <v>365</v>
      </c>
    </row>
    <row r="208" spans="1:16" x14ac:dyDescent="0.25">
      <c r="A208" t="s">
        <v>1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1:16" x14ac:dyDescent="0.25">
      <c r="A209" t="s">
        <v>2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1:16" x14ac:dyDescent="0.25">
      <c r="A210" t="s">
        <v>3</v>
      </c>
      <c r="B210">
        <v>20292.595300000001</v>
      </c>
      <c r="C210">
        <v>0</v>
      </c>
      <c r="D210">
        <v>20292.595300000001</v>
      </c>
      <c r="E210">
        <v>11730.017900000001</v>
      </c>
      <c r="F210">
        <v>1057.8043</v>
      </c>
      <c r="G210">
        <v>3040.8623699999998</v>
      </c>
      <c r="H210">
        <v>366.48387600000001</v>
      </c>
      <c r="I210">
        <v>3546.42128</v>
      </c>
      <c r="J210">
        <v>0</v>
      </c>
      <c r="K210">
        <v>258.08193499999999</v>
      </c>
      <c r="L210">
        <v>88.567954499999999</v>
      </c>
      <c r="M210">
        <v>0</v>
      </c>
      <c r="N210">
        <v>0</v>
      </c>
      <c r="O210">
        <v>204.35567900000001</v>
      </c>
      <c r="P210">
        <v>0</v>
      </c>
    </row>
    <row r="211" spans="1:16" x14ac:dyDescent="0.25">
      <c r="A211" t="s">
        <v>4</v>
      </c>
      <c r="B211">
        <v>3046.2361900000001</v>
      </c>
      <c r="C211">
        <v>0</v>
      </c>
      <c r="D211">
        <v>3046.2361900000001</v>
      </c>
      <c r="E211">
        <v>718.74911099999997</v>
      </c>
      <c r="F211">
        <v>408.04746999999998</v>
      </c>
      <c r="G211">
        <v>1228.4095500000001</v>
      </c>
      <c r="H211">
        <v>267.68717600000002</v>
      </c>
      <c r="I211">
        <v>252.722363</v>
      </c>
      <c r="J211">
        <v>0</v>
      </c>
      <c r="K211">
        <v>0</v>
      </c>
      <c r="L211">
        <v>0</v>
      </c>
      <c r="M211">
        <v>221.09244000000001</v>
      </c>
      <c r="N211">
        <v>0</v>
      </c>
      <c r="O211">
        <v>-50.471910700000002</v>
      </c>
      <c r="P211">
        <v>0</v>
      </c>
    </row>
    <row r="212" spans="1:16" x14ac:dyDescent="0.25">
      <c r="A212" t="s">
        <v>5</v>
      </c>
      <c r="B212">
        <v>258.08193499999999</v>
      </c>
      <c r="C212">
        <v>258.08193499999999</v>
      </c>
      <c r="D212">
        <v>0</v>
      </c>
      <c r="E212">
        <v>109.096605</v>
      </c>
      <c r="F212">
        <v>28.100518399999999</v>
      </c>
      <c r="G212">
        <v>51.134302499999997</v>
      </c>
      <c r="H212">
        <v>2.4148569900000001</v>
      </c>
      <c r="I212">
        <v>67.335652400000001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1:16" x14ac:dyDescent="0.25">
      <c r="A213" t="s">
        <v>6</v>
      </c>
      <c r="B213">
        <v>88.567954499999999</v>
      </c>
      <c r="C213">
        <v>88.567954499999999</v>
      </c>
      <c r="D213" s="74">
        <v>1.4210854699999999E-14</v>
      </c>
      <c r="E213">
        <v>12.619560999999999</v>
      </c>
      <c r="F213">
        <v>3.06603044</v>
      </c>
      <c r="G213">
        <v>70.451135100000002</v>
      </c>
      <c r="H213">
        <v>2.05013647</v>
      </c>
      <c r="I213">
        <v>0.38109146199999999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1:16" x14ac:dyDescent="0.25">
      <c r="A214" t="s">
        <v>7</v>
      </c>
      <c r="B214">
        <v>221.09244000000001</v>
      </c>
      <c r="C214">
        <v>221.09244000000001</v>
      </c>
      <c r="D214" s="74">
        <v>2.8421709399999999E-14</v>
      </c>
      <c r="E214">
        <v>0</v>
      </c>
      <c r="F214">
        <v>200.743168</v>
      </c>
      <c r="G214">
        <v>19.1992251</v>
      </c>
      <c r="H214">
        <v>1.1500473899999999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1:16" x14ac:dyDescent="0.25">
      <c r="A215" t="s">
        <v>8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1:16" x14ac:dyDescent="0.25">
      <c r="A216" t="s">
        <v>9</v>
      </c>
      <c r="B216">
        <v>153.883768</v>
      </c>
      <c r="C216">
        <v>153.883768</v>
      </c>
      <c r="D216">
        <v>0</v>
      </c>
      <c r="E216">
        <v>17.334368999999999</v>
      </c>
      <c r="F216">
        <v>4.3450322200000002</v>
      </c>
      <c r="G216">
        <v>126.71646800000001</v>
      </c>
      <c r="H216">
        <v>5.11012062</v>
      </c>
      <c r="I216">
        <v>0.37777911400000003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1:16" x14ac:dyDescent="0.25">
      <c r="A217" t="s">
        <v>10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</row>
    <row r="218" spans="1:16" x14ac:dyDescent="0.25">
      <c r="A218" t="s">
        <v>11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1:16" x14ac:dyDescent="0.25">
      <c r="A219" t="s">
        <v>12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1:16" x14ac:dyDescent="0.25">
      <c r="A220" t="s">
        <v>13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1:16" x14ac:dyDescent="0.25">
      <c r="A221" t="s">
        <v>14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</row>
    <row r="222" spans="1:16" x14ac:dyDescent="0.25">
      <c r="A222" t="s">
        <v>298</v>
      </c>
    </row>
    <row r="223" spans="1:16" x14ac:dyDescent="0.25">
      <c r="A223" t="s">
        <v>360</v>
      </c>
      <c r="B223" t="s">
        <v>366</v>
      </c>
      <c r="C223" t="s">
        <v>367</v>
      </c>
      <c r="D223" t="s">
        <v>368</v>
      </c>
      <c r="E223" t="s">
        <v>21</v>
      </c>
      <c r="F223" t="s">
        <v>22</v>
      </c>
      <c r="G223" t="s">
        <v>23</v>
      </c>
      <c r="H223" t="s">
        <v>361</v>
      </c>
      <c r="I223" t="s">
        <v>25</v>
      </c>
      <c r="J223" t="s">
        <v>362</v>
      </c>
      <c r="K223" t="s">
        <v>5</v>
      </c>
      <c r="L223" t="s">
        <v>6</v>
      </c>
      <c r="M223" t="s">
        <v>7</v>
      </c>
      <c r="N223" t="s">
        <v>8</v>
      </c>
      <c r="O223" t="s">
        <v>9</v>
      </c>
      <c r="P223" t="s">
        <v>363</v>
      </c>
    </row>
    <row r="224" spans="1:16" x14ac:dyDescent="0.25">
      <c r="A224" t="s">
        <v>364</v>
      </c>
      <c r="B224" t="s">
        <v>369</v>
      </c>
      <c r="C224" t="s">
        <v>369</v>
      </c>
      <c r="D224" t="s">
        <v>369</v>
      </c>
      <c r="E224" t="s">
        <v>369</v>
      </c>
      <c r="F224" t="s">
        <v>369</v>
      </c>
      <c r="G224" t="s">
        <v>369</v>
      </c>
      <c r="H224" t="s">
        <v>369</v>
      </c>
      <c r="I224" t="s">
        <v>369</v>
      </c>
      <c r="J224" t="s">
        <v>369</v>
      </c>
      <c r="K224" t="s">
        <v>369</v>
      </c>
      <c r="L224" t="s">
        <v>369</v>
      </c>
      <c r="M224" t="s">
        <v>369</v>
      </c>
      <c r="N224" t="s">
        <v>369</v>
      </c>
      <c r="O224" t="s">
        <v>369</v>
      </c>
      <c r="P224" t="s">
        <v>369</v>
      </c>
    </row>
    <row r="225" spans="1:16" x14ac:dyDescent="0.25">
      <c r="A225" t="s">
        <v>1</v>
      </c>
      <c r="B225">
        <v>1263.03044</v>
      </c>
      <c r="C225">
        <v>0</v>
      </c>
      <c r="D225">
        <v>1263.03044</v>
      </c>
      <c r="E225">
        <v>81.294046199999997</v>
      </c>
      <c r="F225">
        <v>0</v>
      </c>
      <c r="G225">
        <v>134.39831899999999</v>
      </c>
      <c r="H225">
        <v>0</v>
      </c>
      <c r="I225">
        <v>0</v>
      </c>
      <c r="J225">
        <v>0</v>
      </c>
      <c r="K225">
        <v>0</v>
      </c>
      <c r="L225">
        <v>76.929766999999998</v>
      </c>
      <c r="M225">
        <v>831.81942500000002</v>
      </c>
      <c r="N225">
        <v>0</v>
      </c>
      <c r="O225">
        <v>138.58888300000001</v>
      </c>
      <c r="P225">
        <v>0</v>
      </c>
    </row>
    <row r="226" spans="1:16" x14ac:dyDescent="0.25">
      <c r="A226" t="s">
        <v>2</v>
      </c>
      <c r="B226">
        <v>522.69091200000003</v>
      </c>
      <c r="C226">
        <v>0</v>
      </c>
      <c r="D226">
        <v>522.69091200000003</v>
      </c>
      <c r="E226">
        <v>0</v>
      </c>
      <c r="F226">
        <v>7.8579872300000003E-3</v>
      </c>
      <c r="G226">
        <v>40.489817799999997</v>
      </c>
      <c r="H226">
        <v>0</v>
      </c>
      <c r="I226">
        <v>0</v>
      </c>
      <c r="J226">
        <v>0</v>
      </c>
      <c r="K226">
        <v>124.33831600000001</v>
      </c>
      <c r="L226">
        <v>9.1205162399999999E-4</v>
      </c>
      <c r="M226">
        <v>0</v>
      </c>
      <c r="N226">
        <v>0</v>
      </c>
      <c r="O226">
        <v>357.85400800000002</v>
      </c>
      <c r="P226">
        <v>0</v>
      </c>
    </row>
    <row r="227" spans="1:16" x14ac:dyDescent="0.25">
      <c r="A227" t="s">
        <v>3</v>
      </c>
      <c r="B227">
        <v>6846.7029499999999</v>
      </c>
      <c r="C227">
        <v>0</v>
      </c>
      <c r="D227">
        <v>6846.7029499999999</v>
      </c>
      <c r="E227">
        <v>3297.0779000000002</v>
      </c>
      <c r="F227">
        <v>366.90044399999999</v>
      </c>
      <c r="G227">
        <v>896.23857599999997</v>
      </c>
      <c r="H227">
        <v>185.53197700000001</v>
      </c>
      <c r="I227">
        <v>584.60435500000006</v>
      </c>
      <c r="J227">
        <v>0</v>
      </c>
      <c r="K227">
        <v>45.959321799999998</v>
      </c>
      <c r="L227">
        <v>15.7722125</v>
      </c>
      <c r="M227">
        <v>0</v>
      </c>
      <c r="N227">
        <v>0</v>
      </c>
      <c r="O227">
        <v>36.391731200000002</v>
      </c>
      <c r="P227">
        <v>1418.2264299999999</v>
      </c>
    </row>
    <row r="228" spans="1:16" x14ac:dyDescent="0.25">
      <c r="A228" t="s">
        <v>4</v>
      </c>
      <c r="B228">
        <v>12725.819600000001</v>
      </c>
      <c r="C228">
        <v>0</v>
      </c>
      <c r="D228">
        <v>12725.819600000001</v>
      </c>
      <c r="E228">
        <v>3685.6673300000002</v>
      </c>
      <c r="F228">
        <v>1948.17462</v>
      </c>
      <c r="G228">
        <v>4344.7206100000003</v>
      </c>
      <c r="H228">
        <v>958.61833000000001</v>
      </c>
      <c r="I228">
        <v>644.099199</v>
      </c>
      <c r="J228">
        <v>0</v>
      </c>
      <c r="K228">
        <v>0</v>
      </c>
      <c r="L228">
        <v>0</v>
      </c>
      <c r="M228">
        <v>714.862618</v>
      </c>
      <c r="N228">
        <v>0</v>
      </c>
      <c r="O228">
        <v>-128.634905</v>
      </c>
      <c r="P228">
        <v>558.31174499999997</v>
      </c>
    </row>
    <row r="229" spans="1:16" x14ac:dyDescent="0.25">
      <c r="A229" t="s">
        <v>5</v>
      </c>
      <c r="B229">
        <v>450.14886000000001</v>
      </c>
      <c r="C229">
        <v>449.95673499999998</v>
      </c>
      <c r="D229">
        <v>0.192125779</v>
      </c>
      <c r="E229">
        <v>205.594707</v>
      </c>
      <c r="F229">
        <v>55.851595600000003</v>
      </c>
      <c r="G229">
        <v>120.328478</v>
      </c>
      <c r="H229">
        <v>10.6896068</v>
      </c>
      <c r="I229">
        <v>57.684473099999998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1:16" x14ac:dyDescent="0.25">
      <c r="A230" t="s">
        <v>6</v>
      </c>
      <c r="B230">
        <v>195.88955300000001</v>
      </c>
      <c r="C230">
        <v>177.239024</v>
      </c>
      <c r="D230">
        <v>18.650529500000001</v>
      </c>
      <c r="E230">
        <v>24.821317499999999</v>
      </c>
      <c r="F230">
        <v>8.2897666399999999</v>
      </c>
      <c r="G230">
        <v>153.83984000000001</v>
      </c>
      <c r="H230">
        <v>8.61215872</v>
      </c>
      <c r="I230">
        <v>0.32646984699999998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1:16" x14ac:dyDescent="0.25">
      <c r="A231" t="s">
        <v>7</v>
      </c>
      <c r="B231">
        <v>2751.4394499999999</v>
      </c>
      <c r="C231">
        <v>2230.9861799999999</v>
      </c>
      <c r="D231">
        <v>520.45327299999997</v>
      </c>
      <c r="E231">
        <v>0</v>
      </c>
      <c r="F231">
        <v>2489.788</v>
      </c>
      <c r="G231">
        <v>245.48284200000001</v>
      </c>
      <c r="H231">
        <v>16.168610600000001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1:16" x14ac:dyDescent="0.25">
      <c r="A232" t="s">
        <v>8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1:16" x14ac:dyDescent="0.25">
      <c r="A233" t="s">
        <v>9</v>
      </c>
      <c r="B233">
        <v>477.38143200000002</v>
      </c>
      <c r="C233">
        <v>721.52324799999997</v>
      </c>
      <c r="D233">
        <v>-244.141817</v>
      </c>
      <c r="E233">
        <v>44.876417500000002</v>
      </c>
      <c r="F233">
        <v>15.4544611</v>
      </c>
      <c r="G233">
        <v>389.82570299999998</v>
      </c>
      <c r="H233">
        <v>26.795070299999999</v>
      </c>
      <c r="I233">
        <v>0.42977950300000001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1:16" x14ac:dyDescent="0.25">
      <c r="A234" t="s">
        <v>10</v>
      </c>
      <c r="B234">
        <v>-84.269342399999999</v>
      </c>
      <c r="C234">
        <v>0</v>
      </c>
      <c r="D234">
        <v>-84.269342399999999</v>
      </c>
      <c r="E234">
        <v>0</v>
      </c>
      <c r="F234">
        <v>-574.59562100000005</v>
      </c>
      <c r="G234">
        <v>22.509074099999999</v>
      </c>
      <c r="H234">
        <v>0</v>
      </c>
      <c r="I234">
        <v>0</v>
      </c>
      <c r="J234">
        <v>0</v>
      </c>
      <c r="K234">
        <v>193.04139599999999</v>
      </c>
      <c r="L234">
        <v>40.918444200000003</v>
      </c>
      <c r="M234">
        <v>7.1802200100000002</v>
      </c>
      <c r="N234">
        <v>0</v>
      </c>
      <c r="O234">
        <v>226.677144</v>
      </c>
      <c r="P234">
        <v>0</v>
      </c>
    </row>
    <row r="235" spans="1:16" x14ac:dyDescent="0.25">
      <c r="A235" t="s">
        <v>11</v>
      </c>
      <c r="B235">
        <v>458.47477500000002</v>
      </c>
      <c r="C235">
        <v>0</v>
      </c>
      <c r="D235">
        <v>458.47477500000002</v>
      </c>
      <c r="E235">
        <v>106.412463</v>
      </c>
      <c r="F235">
        <v>60.412368700000002</v>
      </c>
      <c r="G235">
        <v>181.868865</v>
      </c>
      <c r="H235">
        <v>39.631703600000002</v>
      </c>
      <c r="I235">
        <v>37.416128499999999</v>
      </c>
      <c r="J235">
        <v>0</v>
      </c>
      <c r="K235">
        <v>0</v>
      </c>
      <c r="L235">
        <v>0</v>
      </c>
      <c r="M235">
        <v>32.733245500000002</v>
      </c>
      <c r="N235">
        <v>0</v>
      </c>
      <c r="O235">
        <v>0</v>
      </c>
      <c r="P235">
        <v>0</v>
      </c>
    </row>
    <row r="236" spans="1:16" x14ac:dyDescent="0.25">
      <c r="A236" t="s">
        <v>12</v>
      </c>
      <c r="B236">
        <v>11778.2333</v>
      </c>
      <c r="C236">
        <v>1976.53818</v>
      </c>
      <c r="D236">
        <v>9801.6951499999996</v>
      </c>
      <c r="E236">
        <v>4454.3807500000003</v>
      </c>
      <c r="F236">
        <v>1558.6267800000001</v>
      </c>
      <c r="G236">
        <v>3304.1009300000001</v>
      </c>
      <c r="H236">
        <v>817.36927900000001</v>
      </c>
      <c r="I236">
        <v>1161.3615500000001</v>
      </c>
      <c r="J236">
        <v>0</v>
      </c>
      <c r="K236">
        <v>49.5285686</v>
      </c>
      <c r="L236">
        <v>16.9970982</v>
      </c>
      <c r="M236">
        <v>376.65042099999999</v>
      </c>
      <c r="N236">
        <v>0</v>
      </c>
      <c r="O236">
        <v>39.217949400000002</v>
      </c>
      <c r="P236">
        <v>0</v>
      </c>
    </row>
    <row r="237" spans="1:16" x14ac:dyDescent="0.25">
      <c r="A237" t="s">
        <v>13</v>
      </c>
      <c r="B237">
        <v>4069.4096800000002</v>
      </c>
      <c r="C237">
        <v>0</v>
      </c>
      <c r="D237">
        <v>4069.4096800000002</v>
      </c>
      <c r="E237">
        <v>2492.9291800000001</v>
      </c>
      <c r="F237">
        <v>1365.7371599999999</v>
      </c>
      <c r="G237">
        <v>0</v>
      </c>
      <c r="H237">
        <v>0</v>
      </c>
      <c r="I237">
        <v>0</v>
      </c>
      <c r="J237">
        <v>0</v>
      </c>
      <c r="K237">
        <v>37.089131899999998</v>
      </c>
      <c r="L237">
        <v>6.5781271400000003</v>
      </c>
      <c r="M237">
        <v>150.411948</v>
      </c>
      <c r="N237">
        <v>0</v>
      </c>
      <c r="O237">
        <v>16.664134000000001</v>
      </c>
      <c r="P237">
        <v>0</v>
      </c>
    </row>
    <row r="238" spans="1:16" x14ac:dyDescent="0.25">
      <c r="A238" t="s">
        <v>14</v>
      </c>
      <c r="B238">
        <v>466.55834299999998</v>
      </c>
      <c r="C238">
        <v>0</v>
      </c>
      <c r="D238">
        <v>466.55834299999998</v>
      </c>
      <c r="E238">
        <v>18.1177682</v>
      </c>
      <c r="F238">
        <v>147.39898099999999</v>
      </c>
      <c r="G238">
        <v>100.60298400000001</v>
      </c>
      <c r="H238">
        <v>28.303540399999999</v>
      </c>
      <c r="I238" s="74">
        <v>1.1920928999999999E-13</v>
      </c>
      <c r="J238">
        <v>0</v>
      </c>
      <c r="K238">
        <v>0</v>
      </c>
      <c r="L238">
        <v>20.042462400000002</v>
      </c>
      <c r="M238">
        <v>117.32830199999999</v>
      </c>
      <c r="N238">
        <v>0</v>
      </c>
      <c r="O238">
        <v>34.764304699999997</v>
      </c>
      <c r="P238">
        <v>0</v>
      </c>
    </row>
    <row r="239" spans="1:16" x14ac:dyDescent="0.25">
      <c r="A239" t="s">
        <v>299</v>
      </c>
    </row>
    <row r="240" spans="1:16" x14ac:dyDescent="0.25">
      <c r="A240" t="s">
        <v>360</v>
      </c>
      <c r="B240" t="s">
        <v>18</v>
      </c>
      <c r="C240" t="s">
        <v>19</v>
      </c>
      <c r="D240" t="s">
        <v>20</v>
      </c>
      <c r="E240" t="s">
        <v>21</v>
      </c>
      <c r="F240" t="s">
        <v>22</v>
      </c>
      <c r="G240" t="s">
        <v>23</v>
      </c>
      <c r="H240" t="s">
        <v>361</v>
      </c>
      <c r="I240" t="s">
        <v>25</v>
      </c>
      <c r="J240" t="s">
        <v>362</v>
      </c>
      <c r="K240" t="s">
        <v>5</v>
      </c>
      <c r="L240" t="s">
        <v>6</v>
      </c>
      <c r="M240" t="s">
        <v>7</v>
      </c>
      <c r="N240" t="s">
        <v>8</v>
      </c>
      <c r="O240" t="s">
        <v>9</v>
      </c>
      <c r="P240" t="s">
        <v>363</v>
      </c>
    </row>
    <row r="241" spans="1:16" x14ac:dyDescent="0.25">
      <c r="A241" t="s">
        <v>364</v>
      </c>
      <c r="B241" t="s">
        <v>370</v>
      </c>
      <c r="C241" t="s">
        <v>370</v>
      </c>
      <c r="D241" t="s">
        <v>370</v>
      </c>
      <c r="E241" t="s">
        <v>370</v>
      </c>
      <c r="F241" t="s">
        <v>370</v>
      </c>
      <c r="G241" t="s">
        <v>370</v>
      </c>
      <c r="H241" t="s">
        <v>370</v>
      </c>
      <c r="I241" t="s">
        <v>370</v>
      </c>
      <c r="J241" t="s">
        <v>370</v>
      </c>
      <c r="K241" t="s">
        <v>370</v>
      </c>
      <c r="L241" t="s">
        <v>370</v>
      </c>
      <c r="M241" t="s">
        <v>370</v>
      </c>
      <c r="N241" t="s">
        <v>370</v>
      </c>
      <c r="O241" t="s">
        <v>370</v>
      </c>
      <c r="P241" t="s">
        <v>370</v>
      </c>
    </row>
    <row r="242" spans="1:16" x14ac:dyDescent="0.25">
      <c r="A242" t="s">
        <v>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1:16" x14ac:dyDescent="0.25">
      <c r="A243" t="s">
        <v>2</v>
      </c>
      <c r="B243">
        <v>45.257510099999998</v>
      </c>
      <c r="C243">
        <v>0</v>
      </c>
      <c r="D243">
        <v>45.257510099999998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18.865596199999999</v>
      </c>
      <c r="L243">
        <v>6.4742511299999999</v>
      </c>
      <c r="M243">
        <v>0</v>
      </c>
      <c r="N243">
        <v>0</v>
      </c>
      <c r="O243">
        <v>19.917662799999999</v>
      </c>
      <c r="P243">
        <v>0</v>
      </c>
    </row>
    <row r="244" spans="1:16" x14ac:dyDescent="0.25">
      <c r="A244" t="s">
        <v>3</v>
      </c>
      <c r="B244">
        <v>400.91176100000001</v>
      </c>
      <c r="C244">
        <v>0</v>
      </c>
      <c r="D244">
        <v>400.91176100000001</v>
      </c>
      <c r="E244">
        <v>231.74473499999999</v>
      </c>
      <c r="F244">
        <v>20.898568099999999</v>
      </c>
      <c r="G244">
        <v>60.076962600000002</v>
      </c>
      <c r="H244">
        <v>7.2404585900000002</v>
      </c>
      <c r="I244">
        <v>70.065064599999999</v>
      </c>
      <c r="J244">
        <v>0</v>
      </c>
      <c r="K244">
        <v>5.0988097699999999</v>
      </c>
      <c r="L244">
        <v>1.7497976</v>
      </c>
      <c r="M244">
        <v>0</v>
      </c>
      <c r="N244">
        <v>0</v>
      </c>
      <c r="O244">
        <v>4.0373640699999997</v>
      </c>
      <c r="P244">
        <v>0</v>
      </c>
    </row>
    <row r="245" spans="1:16" x14ac:dyDescent="0.25">
      <c r="A245" t="s">
        <v>4</v>
      </c>
      <c r="B245">
        <v>300.53303099999999</v>
      </c>
      <c r="C245">
        <v>0</v>
      </c>
      <c r="D245">
        <v>300.53303099999999</v>
      </c>
      <c r="E245">
        <v>70.909750599999995</v>
      </c>
      <c r="F245">
        <v>40.256807100000003</v>
      </c>
      <c r="G245">
        <v>121.191405</v>
      </c>
      <c r="H245">
        <v>26.4092582</v>
      </c>
      <c r="I245">
        <v>24.932872199999998</v>
      </c>
      <c r="J245">
        <v>0</v>
      </c>
      <c r="K245">
        <v>0</v>
      </c>
      <c r="L245">
        <v>0</v>
      </c>
      <c r="M245">
        <v>21.812353600000002</v>
      </c>
      <c r="N245">
        <v>0</v>
      </c>
      <c r="O245">
        <v>-4.9794156899999997</v>
      </c>
      <c r="P245">
        <v>0</v>
      </c>
    </row>
    <row r="246" spans="1:16" x14ac:dyDescent="0.25">
      <c r="A246" t="s">
        <v>5</v>
      </c>
      <c r="B246">
        <v>18.865596199999999</v>
      </c>
      <c r="C246">
        <v>23.964405899999999</v>
      </c>
      <c r="D246">
        <v>-5.0988097699999999</v>
      </c>
      <c r="E246">
        <v>7.97488011</v>
      </c>
      <c r="F246">
        <v>2.0541268499999998</v>
      </c>
      <c r="G246">
        <v>3.73787921</v>
      </c>
      <c r="H246">
        <v>0.176524237</v>
      </c>
      <c r="I246">
        <v>4.9221857499999997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1:16" x14ac:dyDescent="0.25">
      <c r="A247" t="s">
        <v>6</v>
      </c>
      <c r="B247">
        <v>6.4742511299999999</v>
      </c>
      <c r="C247">
        <v>8.2240487400000006</v>
      </c>
      <c r="D247">
        <v>-1.7497976</v>
      </c>
      <c r="E247">
        <v>0.922480458</v>
      </c>
      <c r="F247">
        <v>0.22412452799999999</v>
      </c>
      <c r="G247">
        <v>5.1499252100000001</v>
      </c>
      <c r="H247">
        <v>0.14986343999999999</v>
      </c>
      <c r="I247">
        <v>2.7857500399999999E-2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 x14ac:dyDescent="0.25">
      <c r="A248" t="s">
        <v>7</v>
      </c>
      <c r="B248">
        <v>58.073639499999999</v>
      </c>
      <c r="C248">
        <v>21.812353600000002</v>
      </c>
      <c r="D248">
        <v>36.261285899999997</v>
      </c>
      <c r="E248">
        <v>0</v>
      </c>
      <c r="F248">
        <v>52.728561599999999</v>
      </c>
      <c r="G248">
        <v>5.0429986600000003</v>
      </c>
      <c r="H248">
        <v>0.30207924600000002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</row>
    <row r="249" spans="1:16" x14ac:dyDescent="0.25">
      <c r="A249" t="s">
        <v>8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</row>
    <row r="250" spans="1:16" x14ac:dyDescent="0.25">
      <c r="A250" t="s">
        <v>9</v>
      </c>
      <c r="B250">
        <v>14.9382471</v>
      </c>
      <c r="C250">
        <v>18.975611099999998</v>
      </c>
      <c r="D250">
        <v>-4.0373640699999997</v>
      </c>
      <c r="E250">
        <v>1.6827316400000001</v>
      </c>
      <c r="F250">
        <v>0.42179344499999999</v>
      </c>
      <c r="G250">
        <v>12.3009848</v>
      </c>
      <c r="H250">
        <v>0.49606430299999998</v>
      </c>
      <c r="I250">
        <v>3.6672859000000002E-2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25">
      <c r="A251" t="s">
        <v>10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1:16" x14ac:dyDescent="0.25">
      <c r="A252" t="s">
        <v>11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1:16" x14ac:dyDescent="0.25">
      <c r="A253" t="s">
        <v>12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1:16" x14ac:dyDescent="0.25">
      <c r="A254" t="s">
        <v>13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</row>
    <row r="255" spans="1:16" x14ac:dyDescent="0.25">
      <c r="A255" t="s">
        <v>14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1:16" x14ac:dyDescent="0.25">
      <c r="A256" t="s">
        <v>300</v>
      </c>
    </row>
    <row r="257" spans="1:16" x14ac:dyDescent="0.25">
      <c r="A257" t="s">
        <v>360</v>
      </c>
      <c r="B257" t="s">
        <v>18</v>
      </c>
      <c r="C257" t="s">
        <v>19</v>
      </c>
      <c r="D257" t="s">
        <v>20</v>
      </c>
      <c r="E257" t="s">
        <v>21</v>
      </c>
      <c r="F257" t="s">
        <v>22</v>
      </c>
      <c r="G257" t="s">
        <v>23</v>
      </c>
      <c r="H257" t="s">
        <v>361</v>
      </c>
      <c r="I257" t="s">
        <v>25</v>
      </c>
      <c r="J257" t="s">
        <v>362</v>
      </c>
      <c r="K257" t="s">
        <v>5</v>
      </c>
      <c r="L257" t="s">
        <v>6</v>
      </c>
      <c r="M257" t="s">
        <v>7</v>
      </c>
      <c r="N257" t="s">
        <v>8</v>
      </c>
      <c r="O257" t="s">
        <v>9</v>
      </c>
      <c r="P257" t="s">
        <v>363</v>
      </c>
    </row>
    <row r="258" spans="1:16" x14ac:dyDescent="0.25">
      <c r="A258" t="s">
        <v>364</v>
      </c>
      <c r="B258" t="s">
        <v>365</v>
      </c>
      <c r="C258" t="s">
        <v>365</v>
      </c>
      <c r="D258" t="s">
        <v>365</v>
      </c>
      <c r="E258" t="s">
        <v>365</v>
      </c>
      <c r="F258" t="s">
        <v>365</v>
      </c>
      <c r="G258" t="s">
        <v>365</v>
      </c>
      <c r="H258" t="s">
        <v>365</v>
      </c>
      <c r="I258" t="s">
        <v>365</v>
      </c>
      <c r="J258" t="s">
        <v>365</v>
      </c>
      <c r="K258" t="s">
        <v>365</v>
      </c>
      <c r="L258" t="s">
        <v>365</v>
      </c>
      <c r="M258" t="s">
        <v>365</v>
      </c>
      <c r="N258" t="s">
        <v>365</v>
      </c>
      <c r="O258" t="s">
        <v>365</v>
      </c>
      <c r="P258" t="s">
        <v>365</v>
      </c>
    </row>
    <row r="259" spans="1:16" x14ac:dyDescent="0.25">
      <c r="A259" t="s">
        <v>1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1:16" x14ac:dyDescent="0.25">
      <c r="A260" t="s">
        <v>2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</row>
    <row r="261" spans="1:16" x14ac:dyDescent="0.25">
      <c r="A261" t="s">
        <v>3</v>
      </c>
      <c r="B261">
        <v>26336.189399999999</v>
      </c>
      <c r="C261">
        <v>0</v>
      </c>
      <c r="D261">
        <v>26336.189399999999</v>
      </c>
      <c r="E261">
        <v>15931.857599999999</v>
      </c>
      <c r="F261">
        <v>0</v>
      </c>
      <c r="G261">
        <v>6215.9005399999996</v>
      </c>
      <c r="H261">
        <v>0</v>
      </c>
      <c r="I261">
        <v>3926.2105200000001</v>
      </c>
      <c r="J261">
        <v>0</v>
      </c>
      <c r="K261">
        <v>262.22080999999997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1:16" x14ac:dyDescent="0.25">
      <c r="A262" t="s">
        <v>4</v>
      </c>
      <c r="B262">
        <v>29035.4663</v>
      </c>
      <c r="C262">
        <v>0</v>
      </c>
      <c r="D262">
        <v>29035.4663</v>
      </c>
      <c r="E262">
        <v>10263.648999999999</v>
      </c>
      <c r="F262">
        <v>0</v>
      </c>
      <c r="G262">
        <v>15625.6351</v>
      </c>
      <c r="H262">
        <v>0</v>
      </c>
      <c r="I262">
        <v>3146.1821799999998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1:16" x14ac:dyDescent="0.25">
      <c r="A263" t="s">
        <v>5</v>
      </c>
      <c r="B263">
        <v>262.22080999999997</v>
      </c>
      <c r="C263">
        <v>262.22080999999997</v>
      </c>
      <c r="D263">
        <v>0</v>
      </c>
      <c r="E263">
        <v>128.847286</v>
      </c>
      <c r="F263">
        <v>0</v>
      </c>
      <c r="G263">
        <v>58.802023900000002</v>
      </c>
      <c r="H263">
        <v>0</v>
      </c>
      <c r="I263">
        <v>74.571500599999993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1:16" x14ac:dyDescent="0.25">
      <c r="A264" t="s">
        <v>6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1:16" x14ac:dyDescent="0.25">
      <c r="A265" t="s">
        <v>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</row>
    <row r="266" spans="1:16" x14ac:dyDescent="0.25">
      <c r="A266" t="s">
        <v>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</row>
    <row r="267" spans="1:16" x14ac:dyDescent="0.25">
      <c r="A267" t="s">
        <v>9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1:16" x14ac:dyDescent="0.25">
      <c r="A268" t="s">
        <v>10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1:16" x14ac:dyDescent="0.25">
      <c r="A269" t="s">
        <v>11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</row>
    <row r="270" spans="1:16" x14ac:dyDescent="0.25">
      <c r="A270" t="s">
        <v>12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1:16" x14ac:dyDescent="0.25">
      <c r="A271" t="s">
        <v>13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1:16" x14ac:dyDescent="0.25">
      <c r="A272" t="s">
        <v>14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1:16" x14ac:dyDescent="0.25">
      <c r="A273" t="s">
        <v>301</v>
      </c>
    </row>
    <row r="274" spans="1:16" x14ac:dyDescent="0.25">
      <c r="A274" t="s">
        <v>360</v>
      </c>
      <c r="B274" t="s">
        <v>366</v>
      </c>
      <c r="C274" t="s">
        <v>367</v>
      </c>
      <c r="D274" t="s">
        <v>368</v>
      </c>
      <c r="E274" t="s">
        <v>21</v>
      </c>
      <c r="F274" t="s">
        <v>22</v>
      </c>
      <c r="G274" t="s">
        <v>23</v>
      </c>
      <c r="H274" t="s">
        <v>361</v>
      </c>
      <c r="I274" t="s">
        <v>25</v>
      </c>
      <c r="J274" t="s">
        <v>362</v>
      </c>
      <c r="K274" t="s">
        <v>5</v>
      </c>
      <c r="L274" t="s">
        <v>6</v>
      </c>
      <c r="M274" t="s">
        <v>7</v>
      </c>
      <c r="N274" t="s">
        <v>8</v>
      </c>
      <c r="O274" t="s">
        <v>9</v>
      </c>
      <c r="P274" t="s">
        <v>363</v>
      </c>
    </row>
    <row r="275" spans="1:16" x14ac:dyDescent="0.25">
      <c r="A275" t="s">
        <v>364</v>
      </c>
      <c r="B275" t="s">
        <v>369</v>
      </c>
      <c r="C275" t="s">
        <v>369</v>
      </c>
      <c r="D275" t="s">
        <v>369</v>
      </c>
      <c r="E275" t="s">
        <v>369</v>
      </c>
      <c r="F275" t="s">
        <v>369</v>
      </c>
      <c r="G275" t="s">
        <v>369</v>
      </c>
      <c r="H275" t="s">
        <v>369</v>
      </c>
      <c r="I275" t="s">
        <v>369</v>
      </c>
      <c r="J275" t="s">
        <v>369</v>
      </c>
      <c r="K275" t="s">
        <v>369</v>
      </c>
      <c r="L275" t="s">
        <v>369</v>
      </c>
      <c r="M275" t="s">
        <v>369</v>
      </c>
      <c r="N275" t="s">
        <v>369</v>
      </c>
      <c r="O275" t="s">
        <v>369</v>
      </c>
      <c r="P275" t="s">
        <v>369</v>
      </c>
    </row>
    <row r="276" spans="1:16" x14ac:dyDescent="0.25">
      <c r="A276" t="s">
        <v>1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1:16" x14ac:dyDescent="0.25">
      <c r="A277" t="s">
        <v>2</v>
      </c>
      <c r="B277">
        <v>109.19140400000001</v>
      </c>
      <c r="C277">
        <v>0</v>
      </c>
      <c r="D277">
        <v>109.19140400000001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109.19140400000001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1:16" x14ac:dyDescent="0.25">
      <c r="A278" t="s">
        <v>3</v>
      </c>
      <c r="B278">
        <v>8016.9908699999996</v>
      </c>
      <c r="C278">
        <v>0</v>
      </c>
      <c r="D278">
        <v>8016.9908699999996</v>
      </c>
      <c r="E278">
        <v>5115.9187099999999</v>
      </c>
      <c r="F278">
        <v>0</v>
      </c>
      <c r="G278">
        <v>1971.1320800000001</v>
      </c>
      <c r="H278">
        <v>0</v>
      </c>
      <c r="I278">
        <v>868.46659399999999</v>
      </c>
      <c r="J278">
        <v>0</v>
      </c>
      <c r="K278">
        <v>61.473485400000001</v>
      </c>
      <c r="L278">
        <v>0</v>
      </c>
      <c r="M278">
        <v>0</v>
      </c>
      <c r="N278">
        <v>0</v>
      </c>
      <c r="O278">
        <v>0</v>
      </c>
      <c r="P278" s="74">
        <v>-1.05719082E-11</v>
      </c>
    </row>
    <row r="279" spans="1:16" x14ac:dyDescent="0.25">
      <c r="A279" t="s">
        <v>4</v>
      </c>
      <c r="B279">
        <v>6820.9857899999997</v>
      </c>
      <c r="C279">
        <v>0</v>
      </c>
      <c r="D279">
        <v>6820.9857899999997</v>
      </c>
      <c r="E279">
        <v>3379.0539399999998</v>
      </c>
      <c r="F279">
        <v>0</v>
      </c>
      <c r="G279">
        <v>3109.4935500000001</v>
      </c>
      <c r="H279">
        <v>0</v>
      </c>
      <c r="I279">
        <v>332.43829599999998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 s="74">
        <v>-1.8190963600000001E-11</v>
      </c>
    </row>
    <row r="280" spans="1:16" x14ac:dyDescent="0.25">
      <c r="A280" t="s">
        <v>5</v>
      </c>
      <c r="B280">
        <v>445.03889600000002</v>
      </c>
      <c r="C280">
        <v>454.90302300000002</v>
      </c>
      <c r="D280">
        <v>-9.8641263099999996</v>
      </c>
      <c r="E280">
        <v>249.186578</v>
      </c>
      <c r="F280">
        <v>0</v>
      </c>
      <c r="G280">
        <v>131.969516</v>
      </c>
      <c r="H280">
        <v>0</v>
      </c>
      <c r="I280">
        <v>63.882801999999998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1:16" x14ac:dyDescent="0.25">
      <c r="A281" t="s">
        <v>6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1:16" x14ac:dyDescent="0.25">
      <c r="A282" t="s">
        <v>7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1:16" x14ac:dyDescent="0.25">
      <c r="A283" t="s">
        <v>8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1:16" x14ac:dyDescent="0.25">
      <c r="A284" t="s">
        <v>9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1:16" x14ac:dyDescent="0.25">
      <c r="A285" t="s">
        <v>10</v>
      </c>
      <c r="B285">
        <v>228.424845</v>
      </c>
      <c r="C285">
        <v>0</v>
      </c>
      <c r="D285">
        <v>228.424845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228.424845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1:16" x14ac:dyDescent="0.25">
      <c r="A286" t="s">
        <v>11</v>
      </c>
      <c r="B286">
        <v>107.469193</v>
      </c>
      <c r="C286">
        <v>0</v>
      </c>
      <c r="D286">
        <v>107.469193</v>
      </c>
      <c r="E286">
        <v>37.988922600000002</v>
      </c>
      <c r="F286">
        <v>0</v>
      </c>
      <c r="G286">
        <v>57.835282599999999</v>
      </c>
      <c r="H286">
        <v>0</v>
      </c>
      <c r="I286">
        <v>11.644988100000001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1:16" x14ac:dyDescent="0.25">
      <c r="A287" t="s">
        <v>12</v>
      </c>
      <c r="B287">
        <v>5484.8640699999996</v>
      </c>
      <c r="C287" s="74">
        <v>-2.87628718E-11</v>
      </c>
      <c r="D287">
        <v>5484.8640699999996</v>
      </c>
      <c r="E287">
        <v>3139.8345300000001</v>
      </c>
      <c r="F287">
        <v>0</v>
      </c>
      <c r="G287">
        <v>1492.51161</v>
      </c>
      <c r="H287">
        <v>0</v>
      </c>
      <c r="I287">
        <v>829.42220099999997</v>
      </c>
      <c r="J287">
        <v>0</v>
      </c>
      <c r="K287">
        <v>23.095728000000001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1:16" x14ac:dyDescent="0.25">
      <c r="A288" t="s">
        <v>13</v>
      </c>
      <c r="B288">
        <v>2297.8942699999998</v>
      </c>
      <c r="C288">
        <v>0</v>
      </c>
      <c r="D288">
        <v>2297.8942699999998</v>
      </c>
      <c r="E288">
        <v>2265.1767100000002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32.717560599999999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1:16" x14ac:dyDescent="0.25">
      <c r="A289" t="s">
        <v>14</v>
      </c>
      <c r="B289" s="74">
        <v>-6.4067840600000005E-11</v>
      </c>
      <c r="C289">
        <v>0</v>
      </c>
      <c r="D289" s="74">
        <v>-6.4067840600000005E-11</v>
      </c>
      <c r="E289" s="74">
        <v>-2.4967193600000001E-11</v>
      </c>
      <c r="F289">
        <v>0</v>
      </c>
      <c r="G289" s="74">
        <v>-3.8146972699999999E-11</v>
      </c>
      <c r="H289">
        <v>0</v>
      </c>
      <c r="I289" s="74">
        <v>-9.5367431600000007E-13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1:16" x14ac:dyDescent="0.25">
      <c r="A290" t="s">
        <v>302</v>
      </c>
    </row>
    <row r="291" spans="1:16" x14ac:dyDescent="0.25">
      <c r="A291" t="s">
        <v>360</v>
      </c>
      <c r="B291" t="s">
        <v>18</v>
      </c>
      <c r="C291" t="s">
        <v>19</v>
      </c>
      <c r="D291" t="s">
        <v>20</v>
      </c>
      <c r="E291" t="s">
        <v>21</v>
      </c>
      <c r="F291" t="s">
        <v>22</v>
      </c>
      <c r="G291" t="s">
        <v>23</v>
      </c>
      <c r="H291" t="s">
        <v>361</v>
      </c>
      <c r="I291" t="s">
        <v>25</v>
      </c>
      <c r="J291" t="s">
        <v>362</v>
      </c>
      <c r="K291" t="s">
        <v>5</v>
      </c>
      <c r="L291" t="s">
        <v>6</v>
      </c>
      <c r="M291" t="s">
        <v>7</v>
      </c>
      <c r="N291" t="s">
        <v>8</v>
      </c>
      <c r="O291" t="s">
        <v>9</v>
      </c>
      <c r="P291" t="s">
        <v>363</v>
      </c>
    </row>
    <row r="292" spans="1:16" x14ac:dyDescent="0.25">
      <c r="A292" t="s">
        <v>364</v>
      </c>
      <c r="B292" t="s">
        <v>370</v>
      </c>
      <c r="C292" t="s">
        <v>370</v>
      </c>
      <c r="D292" t="s">
        <v>370</v>
      </c>
      <c r="E292" t="s">
        <v>370</v>
      </c>
      <c r="F292" t="s">
        <v>370</v>
      </c>
      <c r="G292" t="s">
        <v>370</v>
      </c>
      <c r="H292" t="s">
        <v>370</v>
      </c>
      <c r="I292" t="s">
        <v>370</v>
      </c>
      <c r="J292" t="s">
        <v>370</v>
      </c>
      <c r="K292" t="s">
        <v>370</v>
      </c>
      <c r="L292" t="s">
        <v>370</v>
      </c>
      <c r="M292" t="s">
        <v>370</v>
      </c>
      <c r="N292" t="s">
        <v>370</v>
      </c>
      <c r="O292" t="s">
        <v>370</v>
      </c>
      <c r="P292" t="s">
        <v>370</v>
      </c>
    </row>
    <row r="293" spans="1:16" x14ac:dyDescent="0.25">
      <c r="A293" t="s">
        <v>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1:16" x14ac:dyDescent="0.25">
      <c r="A294" t="s">
        <v>2</v>
      </c>
      <c r="B294">
        <v>19.1681448</v>
      </c>
      <c r="C294">
        <v>0</v>
      </c>
      <c r="D294">
        <v>19.1681448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19.1681448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1:16" x14ac:dyDescent="0.25">
      <c r="A295" t="s">
        <v>3</v>
      </c>
      <c r="B295">
        <v>520.31235700000002</v>
      </c>
      <c r="C295">
        <v>0</v>
      </c>
      <c r="D295">
        <v>520.31235700000002</v>
      </c>
      <c r="E295">
        <v>314.75860899999998</v>
      </c>
      <c r="F295">
        <v>0</v>
      </c>
      <c r="G295">
        <v>122.804777</v>
      </c>
      <c r="H295">
        <v>0</v>
      </c>
      <c r="I295">
        <v>77.568391300000002</v>
      </c>
      <c r="J295">
        <v>0</v>
      </c>
      <c r="K295">
        <v>5.1805796800000001</v>
      </c>
      <c r="L295">
        <v>0</v>
      </c>
      <c r="M295">
        <v>0</v>
      </c>
      <c r="N295">
        <v>0</v>
      </c>
      <c r="O295">
        <v>0</v>
      </c>
      <c r="P295">
        <v>0</v>
      </c>
    </row>
    <row r="296" spans="1:16" x14ac:dyDescent="0.25">
      <c r="A296" t="s">
        <v>4</v>
      </c>
      <c r="B296">
        <v>230.100334</v>
      </c>
      <c r="C296">
        <v>0</v>
      </c>
      <c r="D296">
        <v>230.100334</v>
      </c>
      <c r="E296">
        <v>81.337390900000003</v>
      </c>
      <c r="F296">
        <v>0</v>
      </c>
      <c r="G296">
        <v>123.830071</v>
      </c>
      <c r="H296">
        <v>0</v>
      </c>
      <c r="I296">
        <v>24.932872199999998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1:16" x14ac:dyDescent="0.25">
      <c r="A297" t="s">
        <v>5</v>
      </c>
      <c r="B297">
        <v>19.1681448</v>
      </c>
      <c r="C297">
        <v>24.348724499999999</v>
      </c>
      <c r="D297">
        <v>-5.1805796800000001</v>
      </c>
      <c r="E297">
        <v>9.4186400599999995</v>
      </c>
      <c r="F297">
        <v>0</v>
      </c>
      <c r="G297">
        <v>4.2983839000000001</v>
      </c>
      <c r="H297">
        <v>0</v>
      </c>
      <c r="I297">
        <v>5.4511208399999997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1:16" x14ac:dyDescent="0.25">
      <c r="A298" t="s">
        <v>6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1:16" x14ac:dyDescent="0.25">
      <c r="A299" t="s">
        <v>7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1:16" x14ac:dyDescent="0.25">
      <c r="A300" t="s">
        <v>8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1:16" x14ac:dyDescent="0.25">
      <c r="A301" t="s">
        <v>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</row>
    <row r="302" spans="1:16" x14ac:dyDescent="0.25">
      <c r="A302" t="s">
        <v>10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</row>
    <row r="303" spans="1:16" x14ac:dyDescent="0.25">
      <c r="A303" t="s">
        <v>11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</row>
    <row r="304" spans="1:16" x14ac:dyDescent="0.25">
      <c r="A304" t="s">
        <v>12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</row>
    <row r="305" spans="1:16" x14ac:dyDescent="0.25">
      <c r="A305" t="s">
        <v>13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</row>
    <row r="306" spans="1:16" x14ac:dyDescent="0.25">
      <c r="A306" t="s">
        <v>14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</row>
    <row r="307" spans="1:16" x14ac:dyDescent="0.25">
      <c r="A307" t="s">
        <v>303</v>
      </c>
    </row>
    <row r="308" spans="1:16" x14ac:dyDescent="0.25">
      <c r="A308" t="s">
        <v>360</v>
      </c>
      <c r="B308" t="s">
        <v>18</v>
      </c>
      <c r="C308" t="s">
        <v>19</v>
      </c>
      <c r="D308" t="s">
        <v>20</v>
      </c>
      <c r="E308" t="s">
        <v>21</v>
      </c>
      <c r="F308" t="s">
        <v>22</v>
      </c>
      <c r="G308" t="s">
        <v>23</v>
      </c>
      <c r="H308" t="s">
        <v>361</v>
      </c>
      <c r="I308" t="s">
        <v>25</v>
      </c>
      <c r="J308" t="s">
        <v>362</v>
      </c>
      <c r="K308" t="s">
        <v>5</v>
      </c>
      <c r="L308" t="s">
        <v>6</v>
      </c>
      <c r="M308" t="s">
        <v>7</v>
      </c>
      <c r="N308" t="s">
        <v>8</v>
      </c>
      <c r="O308" t="s">
        <v>9</v>
      </c>
      <c r="P308" t="s">
        <v>363</v>
      </c>
    </row>
    <row r="309" spans="1:16" x14ac:dyDescent="0.25">
      <c r="A309" t="s">
        <v>364</v>
      </c>
      <c r="B309" t="s">
        <v>365</v>
      </c>
      <c r="C309" t="s">
        <v>365</v>
      </c>
      <c r="D309" t="s">
        <v>365</v>
      </c>
      <c r="E309" t="s">
        <v>365</v>
      </c>
      <c r="F309" t="s">
        <v>365</v>
      </c>
      <c r="G309" t="s">
        <v>365</v>
      </c>
      <c r="H309" t="s">
        <v>365</v>
      </c>
      <c r="I309" t="s">
        <v>365</v>
      </c>
      <c r="J309" t="s">
        <v>365</v>
      </c>
      <c r="K309" t="s">
        <v>365</v>
      </c>
      <c r="L309" t="s">
        <v>365</v>
      </c>
      <c r="M309" t="s">
        <v>365</v>
      </c>
      <c r="N309" t="s">
        <v>365</v>
      </c>
      <c r="O309" t="s">
        <v>365</v>
      </c>
      <c r="P309" t="s">
        <v>365</v>
      </c>
    </row>
    <row r="310" spans="1:16" x14ac:dyDescent="0.25">
      <c r="A310" t="s">
        <v>1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</row>
    <row r="311" spans="1:16" x14ac:dyDescent="0.25">
      <c r="A311" t="s">
        <v>2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</row>
    <row r="312" spans="1:16" x14ac:dyDescent="0.25">
      <c r="A312" t="s">
        <v>3</v>
      </c>
      <c r="B312">
        <v>20777.921999999999</v>
      </c>
      <c r="C312">
        <v>0</v>
      </c>
      <c r="D312">
        <v>20777.921999999999</v>
      </c>
      <c r="E312">
        <v>12610.082</v>
      </c>
      <c r="F312">
        <v>287.16717499999999</v>
      </c>
      <c r="G312">
        <v>3227.5850500000001</v>
      </c>
      <c r="H312">
        <v>59.329695700000002</v>
      </c>
      <c r="I312">
        <v>3871.4034000000001</v>
      </c>
      <c r="J312">
        <v>0</v>
      </c>
      <c r="K312">
        <v>268.50214</v>
      </c>
      <c r="L312">
        <v>109.800543</v>
      </c>
      <c r="M312">
        <v>0</v>
      </c>
      <c r="N312">
        <v>0</v>
      </c>
      <c r="O312">
        <v>344.05205000000001</v>
      </c>
      <c r="P312">
        <v>0</v>
      </c>
    </row>
    <row r="313" spans="1:16" x14ac:dyDescent="0.25">
      <c r="A313" t="s">
        <v>4</v>
      </c>
      <c r="B313">
        <v>13868.439700000001</v>
      </c>
      <c r="C313">
        <v>0</v>
      </c>
      <c r="D313">
        <v>13868.439700000001</v>
      </c>
      <c r="E313">
        <v>4506.7850399999998</v>
      </c>
      <c r="F313">
        <v>776.60178599999995</v>
      </c>
      <c r="G313">
        <v>7014.0077899999997</v>
      </c>
      <c r="H313">
        <v>223.60258999999999</v>
      </c>
      <c r="I313">
        <v>1427.7532200000001</v>
      </c>
      <c r="J313">
        <v>0</v>
      </c>
      <c r="K313">
        <v>0</v>
      </c>
      <c r="L313">
        <v>0</v>
      </c>
      <c r="M313">
        <v>399.75054799999998</v>
      </c>
      <c r="N313">
        <v>0</v>
      </c>
      <c r="O313">
        <v>-480.06126</v>
      </c>
      <c r="P313">
        <v>0</v>
      </c>
    </row>
    <row r="314" spans="1:16" x14ac:dyDescent="0.25">
      <c r="A314" t="s">
        <v>5</v>
      </c>
      <c r="B314">
        <v>268.50214</v>
      </c>
      <c r="C314">
        <v>268.50214</v>
      </c>
      <c r="D314">
        <v>0</v>
      </c>
      <c r="E314">
        <v>119.690916</v>
      </c>
      <c r="F314">
        <v>18.4021589</v>
      </c>
      <c r="G314">
        <v>55.9208395</v>
      </c>
      <c r="H314">
        <v>0.82100336799999996</v>
      </c>
      <c r="I314">
        <v>73.667222300000006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</row>
    <row r="315" spans="1:16" x14ac:dyDescent="0.25">
      <c r="A315" t="s">
        <v>6</v>
      </c>
      <c r="B315">
        <v>109.800543</v>
      </c>
      <c r="C315">
        <v>109.800543</v>
      </c>
      <c r="D315">
        <v>0</v>
      </c>
      <c r="E315">
        <v>20.306550999999999</v>
      </c>
      <c r="F315">
        <v>0.51046452399999998</v>
      </c>
      <c r="G315">
        <v>88.464874800000004</v>
      </c>
      <c r="H315">
        <v>0.14868536600000001</v>
      </c>
      <c r="I315">
        <v>0.36996784300000002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</row>
    <row r="316" spans="1:16" x14ac:dyDescent="0.25">
      <c r="A316" t="s">
        <v>7</v>
      </c>
      <c r="B316">
        <v>399.75054799999998</v>
      </c>
      <c r="C316">
        <v>399.75054799999998</v>
      </c>
      <c r="D316">
        <v>0</v>
      </c>
      <c r="E316">
        <v>0</v>
      </c>
      <c r="F316">
        <v>291.78918900000002</v>
      </c>
      <c r="G316">
        <v>107.961359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</row>
    <row r="317" spans="1:16" x14ac:dyDescent="0.25">
      <c r="A317" t="s">
        <v>8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</row>
    <row r="318" spans="1:16" x14ac:dyDescent="0.25">
      <c r="A318" t="s">
        <v>9</v>
      </c>
      <c r="B318">
        <v>-136.00921</v>
      </c>
      <c r="C318">
        <v>-136.00921</v>
      </c>
      <c r="D318" s="74">
        <v>-2.8421709399999999E-14</v>
      </c>
      <c r="E318">
        <v>-27.7794545</v>
      </c>
      <c r="F318">
        <v>-0.59033110899999997</v>
      </c>
      <c r="G318">
        <v>-106.42932500000001</v>
      </c>
      <c r="H318">
        <v>-0.49472159599999999</v>
      </c>
      <c r="I318">
        <v>-0.71537721899999995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</row>
    <row r="319" spans="1:16" x14ac:dyDescent="0.25">
      <c r="A319" t="s">
        <v>10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</row>
    <row r="320" spans="1:16" x14ac:dyDescent="0.25">
      <c r="A320" t="s">
        <v>11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</row>
    <row r="321" spans="1:16" x14ac:dyDescent="0.25">
      <c r="A321" t="s">
        <v>12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</row>
    <row r="322" spans="1:16" x14ac:dyDescent="0.25">
      <c r="A322" t="s">
        <v>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</row>
    <row r="323" spans="1:16" x14ac:dyDescent="0.25">
      <c r="A323" t="s">
        <v>14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</row>
    <row r="324" spans="1:16" x14ac:dyDescent="0.25">
      <c r="A324" t="s">
        <v>304</v>
      </c>
    </row>
    <row r="325" spans="1:16" x14ac:dyDescent="0.25">
      <c r="A325" t="s">
        <v>360</v>
      </c>
      <c r="B325" t="s">
        <v>366</v>
      </c>
      <c r="C325" t="s">
        <v>367</v>
      </c>
      <c r="D325" t="s">
        <v>368</v>
      </c>
      <c r="E325" t="s">
        <v>21</v>
      </c>
      <c r="F325" t="s">
        <v>22</v>
      </c>
      <c r="G325" t="s">
        <v>23</v>
      </c>
      <c r="H325" t="s">
        <v>361</v>
      </c>
      <c r="I325" t="s">
        <v>25</v>
      </c>
      <c r="J325" t="s">
        <v>362</v>
      </c>
      <c r="K325" t="s">
        <v>5</v>
      </c>
      <c r="L325" t="s">
        <v>6</v>
      </c>
      <c r="M325" t="s">
        <v>7</v>
      </c>
      <c r="N325" t="s">
        <v>8</v>
      </c>
      <c r="O325" t="s">
        <v>9</v>
      </c>
      <c r="P325" t="s">
        <v>363</v>
      </c>
    </row>
    <row r="326" spans="1:16" x14ac:dyDescent="0.25">
      <c r="A326" t="s">
        <v>364</v>
      </c>
      <c r="B326" t="s">
        <v>369</v>
      </c>
      <c r="C326" t="s">
        <v>369</v>
      </c>
      <c r="D326" t="s">
        <v>369</v>
      </c>
      <c r="E326" t="s">
        <v>369</v>
      </c>
      <c r="F326" t="s">
        <v>369</v>
      </c>
      <c r="G326" t="s">
        <v>369</v>
      </c>
      <c r="H326" t="s">
        <v>369</v>
      </c>
      <c r="I326" t="s">
        <v>369</v>
      </c>
      <c r="J326" t="s">
        <v>369</v>
      </c>
      <c r="K326" t="s">
        <v>369</v>
      </c>
      <c r="L326" t="s">
        <v>369</v>
      </c>
      <c r="M326" t="s">
        <v>369</v>
      </c>
      <c r="N326" t="s">
        <v>369</v>
      </c>
      <c r="O326" t="s">
        <v>369</v>
      </c>
      <c r="P326" t="s">
        <v>369</v>
      </c>
    </row>
    <row r="327" spans="1:16" x14ac:dyDescent="0.25">
      <c r="A327" t="s">
        <v>1</v>
      </c>
      <c r="B327">
        <v>1589.97577</v>
      </c>
      <c r="C327">
        <v>0</v>
      </c>
      <c r="D327">
        <v>1589.97577</v>
      </c>
      <c r="E327">
        <v>734.39643699999999</v>
      </c>
      <c r="F327">
        <v>0</v>
      </c>
      <c r="G327">
        <v>128.27533299999999</v>
      </c>
      <c r="H327">
        <v>0</v>
      </c>
      <c r="I327">
        <v>0</v>
      </c>
      <c r="J327">
        <v>0</v>
      </c>
      <c r="K327">
        <v>0</v>
      </c>
      <c r="L327">
        <v>101.620643</v>
      </c>
      <c r="M327">
        <v>357.38149700000002</v>
      </c>
      <c r="N327">
        <v>0</v>
      </c>
      <c r="O327">
        <v>268.30185599999999</v>
      </c>
      <c r="P327">
        <v>0</v>
      </c>
    </row>
    <row r="328" spans="1:16" x14ac:dyDescent="0.25">
      <c r="A328" t="s">
        <v>2</v>
      </c>
      <c r="B328">
        <v>343.08412199999998</v>
      </c>
      <c r="C328">
        <v>0</v>
      </c>
      <c r="D328">
        <v>343.08412199999998</v>
      </c>
      <c r="E328">
        <v>0</v>
      </c>
      <c r="F328">
        <v>43.543274699999998</v>
      </c>
      <c r="G328">
        <v>33.136846599999998</v>
      </c>
      <c r="H328">
        <v>0</v>
      </c>
      <c r="I328">
        <v>0</v>
      </c>
      <c r="J328">
        <v>0</v>
      </c>
      <c r="K328">
        <v>180.474141</v>
      </c>
      <c r="L328">
        <v>8.7333904800000002E-4</v>
      </c>
      <c r="M328">
        <v>0</v>
      </c>
      <c r="N328">
        <v>0</v>
      </c>
      <c r="O328">
        <v>85.928986100000003</v>
      </c>
      <c r="P328">
        <v>0</v>
      </c>
    </row>
    <row r="329" spans="1:16" x14ac:dyDescent="0.25">
      <c r="A329" t="s">
        <v>3</v>
      </c>
      <c r="B329">
        <v>6800.7234099999996</v>
      </c>
      <c r="C329">
        <v>0</v>
      </c>
      <c r="D329">
        <v>6800.7234099999996</v>
      </c>
      <c r="E329">
        <v>3941.24307</v>
      </c>
      <c r="F329">
        <v>109.91780199999999</v>
      </c>
      <c r="G329">
        <v>1008.83163</v>
      </c>
      <c r="H329">
        <v>29.803316899999999</v>
      </c>
      <c r="I329">
        <v>753.71311300000002</v>
      </c>
      <c r="J329">
        <v>0</v>
      </c>
      <c r="K329">
        <v>55.828093000000003</v>
      </c>
      <c r="L329">
        <v>22.830190300000002</v>
      </c>
      <c r="M329">
        <v>0</v>
      </c>
      <c r="N329">
        <v>0</v>
      </c>
      <c r="O329">
        <v>71.536747700000006</v>
      </c>
      <c r="P329">
        <v>807.01944600000002</v>
      </c>
    </row>
    <row r="330" spans="1:16" x14ac:dyDescent="0.25">
      <c r="A330" t="s">
        <v>4</v>
      </c>
      <c r="B330">
        <v>8367.7498099999993</v>
      </c>
      <c r="C330">
        <v>0</v>
      </c>
      <c r="D330">
        <v>8367.7498099999993</v>
      </c>
      <c r="E330">
        <v>3501.4065300000002</v>
      </c>
      <c r="F330">
        <v>520.85338100000001</v>
      </c>
      <c r="G330">
        <v>3339.2154500000001</v>
      </c>
      <c r="H330">
        <v>105.220586</v>
      </c>
      <c r="I330">
        <v>436.325264</v>
      </c>
      <c r="J330">
        <v>0</v>
      </c>
      <c r="K330">
        <v>0</v>
      </c>
      <c r="L330">
        <v>0</v>
      </c>
      <c r="M330">
        <v>168.205467</v>
      </c>
      <c r="N330">
        <v>0</v>
      </c>
      <c r="O330">
        <v>-146.70802499999999</v>
      </c>
      <c r="P330">
        <v>443.231157</v>
      </c>
    </row>
    <row r="331" spans="1:16" x14ac:dyDescent="0.25">
      <c r="A331" t="s">
        <v>5</v>
      </c>
      <c r="B331">
        <v>604.79973800000005</v>
      </c>
      <c r="C331">
        <v>563.56990499999995</v>
      </c>
      <c r="D331">
        <v>41.229833200000002</v>
      </c>
      <c r="E331">
        <v>297.83349500000003</v>
      </c>
      <c r="F331">
        <v>47.874977000000001</v>
      </c>
      <c r="G331">
        <v>155.36651000000001</v>
      </c>
      <c r="H331">
        <v>4.10895805</v>
      </c>
      <c r="I331">
        <v>99.615797000000001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</row>
    <row r="332" spans="1:16" x14ac:dyDescent="0.25">
      <c r="A332" t="s">
        <v>6</v>
      </c>
      <c r="B332">
        <v>288.171311</v>
      </c>
      <c r="C332">
        <v>247.098086</v>
      </c>
      <c r="D332">
        <v>41.073224799999998</v>
      </c>
      <c r="E332">
        <v>53.392256500000002</v>
      </c>
      <c r="F332">
        <v>1.78988605</v>
      </c>
      <c r="G332">
        <v>231.74750399999999</v>
      </c>
      <c r="H332">
        <v>0.74137909300000004</v>
      </c>
      <c r="I332">
        <v>0.50028547899999998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</row>
    <row r="333" spans="1:16" x14ac:dyDescent="0.25">
      <c r="A333" t="s">
        <v>7</v>
      </c>
      <c r="B333">
        <v>1052.46587</v>
      </c>
      <c r="C333">
        <v>725.74021400000004</v>
      </c>
      <c r="D333">
        <v>326.72565300000002</v>
      </c>
      <c r="E333">
        <v>0</v>
      </c>
      <c r="F333">
        <v>795.89674000000002</v>
      </c>
      <c r="G333">
        <v>256.56912599999998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</row>
    <row r="334" spans="1:16" x14ac:dyDescent="0.25">
      <c r="A334" t="s">
        <v>8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</row>
    <row r="335" spans="1:16" x14ac:dyDescent="0.25">
      <c r="A335" t="s">
        <v>9</v>
      </c>
      <c r="B335">
        <v>957.18378499999994</v>
      </c>
      <c r="C335">
        <v>839.06423700000005</v>
      </c>
      <c r="D335">
        <v>118.119547</v>
      </c>
      <c r="E335">
        <v>181.792675</v>
      </c>
      <c r="F335">
        <v>5.2797494299999999</v>
      </c>
      <c r="G335">
        <v>761.02114500000005</v>
      </c>
      <c r="H335">
        <v>6.64315415</v>
      </c>
      <c r="I335">
        <v>2.4470613600000002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</row>
    <row r="336" spans="1:16" x14ac:dyDescent="0.25">
      <c r="A336" t="s">
        <v>10</v>
      </c>
      <c r="B336">
        <v>525.25526100000002</v>
      </c>
      <c r="C336">
        <v>0</v>
      </c>
      <c r="D336">
        <v>525.25526100000002</v>
      </c>
      <c r="E336">
        <v>0</v>
      </c>
      <c r="F336">
        <v>-124.139124</v>
      </c>
      <c r="G336">
        <v>18.421415</v>
      </c>
      <c r="H336">
        <v>0</v>
      </c>
      <c r="I336">
        <v>0</v>
      </c>
      <c r="J336">
        <v>0</v>
      </c>
      <c r="K336">
        <v>212.55924200000001</v>
      </c>
      <c r="L336">
        <v>56.127311599999999</v>
      </c>
      <c r="M336">
        <v>3.91585385</v>
      </c>
      <c r="N336">
        <v>0</v>
      </c>
      <c r="O336">
        <v>358.370563</v>
      </c>
      <c r="P336">
        <v>0</v>
      </c>
    </row>
    <row r="337" spans="1:16" x14ac:dyDescent="0.25">
      <c r="A337" t="s">
        <v>11</v>
      </c>
      <c r="B337">
        <v>53.108216300000002</v>
      </c>
      <c r="C337">
        <v>0</v>
      </c>
      <c r="D337">
        <v>53.108216300000002</v>
      </c>
      <c r="E337">
        <v>16.680997900000001</v>
      </c>
      <c r="F337">
        <v>2.8744421199999999</v>
      </c>
      <c r="G337">
        <v>25.961000599999998</v>
      </c>
      <c r="H337">
        <v>0.82762197500000001</v>
      </c>
      <c r="I337">
        <v>5.2845539099999996</v>
      </c>
      <c r="J337">
        <v>0</v>
      </c>
      <c r="K337">
        <v>0</v>
      </c>
      <c r="L337">
        <v>0</v>
      </c>
      <c r="M337">
        <v>1.4795997599999999</v>
      </c>
      <c r="N337">
        <v>0</v>
      </c>
      <c r="O337">
        <v>0</v>
      </c>
      <c r="P337">
        <v>0</v>
      </c>
    </row>
    <row r="338" spans="1:16" x14ac:dyDescent="0.25">
      <c r="A338" t="s">
        <v>12</v>
      </c>
      <c r="B338">
        <v>11618.7147</v>
      </c>
      <c r="C338">
        <v>1250.2506000000001</v>
      </c>
      <c r="D338">
        <v>10368.464099999999</v>
      </c>
      <c r="E338">
        <v>5782.5410599999996</v>
      </c>
      <c r="F338">
        <v>492.229738</v>
      </c>
      <c r="G338">
        <v>3416.2120399999999</v>
      </c>
      <c r="H338">
        <v>124.595067</v>
      </c>
      <c r="I338">
        <v>1494.3127899999999</v>
      </c>
      <c r="J338">
        <v>0</v>
      </c>
      <c r="K338">
        <v>80.070464000000001</v>
      </c>
      <c r="L338">
        <v>32.743800299999997</v>
      </c>
      <c r="M338">
        <v>93.409381400000001</v>
      </c>
      <c r="N338">
        <v>0</v>
      </c>
      <c r="O338">
        <v>102.60032699999999</v>
      </c>
      <c r="P338">
        <v>0</v>
      </c>
    </row>
    <row r="339" spans="1:16" x14ac:dyDescent="0.25">
      <c r="A339" t="s">
        <v>13</v>
      </c>
      <c r="B339">
        <v>3533.0607599999998</v>
      </c>
      <c r="C339">
        <v>0</v>
      </c>
      <c r="D339">
        <v>3533.0607599999998</v>
      </c>
      <c r="E339">
        <v>2991.8704400000001</v>
      </c>
      <c r="F339">
        <v>429.33797399999997</v>
      </c>
      <c r="G339">
        <v>0</v>
      </c>
      <c r="H339">
        <v>0</v>
      </c>
      <c r="I339">
        <v>0</v>
      </c>
      <c r="J339">
        <v>0</v>
      </c>
      <c r="K339">
        <v>34.637964400000001</v>
      </c>
      <c r="L339">
        <v>6.8444837999999999</v>
      </c>
      <c r="M339">
        <v>39.957108499999997</v>
      </c>
      <c r="N339">
        <v>0</v>
      </c>
      <c r="O339">
        <v>30.412795500000001</v>
      </c>
      <c r="P339">
        <v>0</v>
      </c>
    </row>
    <row r="340" spans="1:16" x14ac:dyDescent="0.25">
      <c r="A340" t="s">
        <v>14</v>
      </c>
      <c r="B340">
        <v>477.50895300000002</v>
      </c>
      <c r="C340">
        <v>0</v>
      </c>
      <c r="D340">
        <v>477.50895300000002</v>
      </c>
      <c r="E340">
        <v>160.074634</v>
      </c>
      <c r="F340">
        <v>52.111726099999998</v>
      </c>
      <c r="G340">
        <v>104.341635</v>
      </c>
      <c r="H340">
        <v>4.0378805499999997</v>
      </c>
      <c r="I340" s="74">
        <v>2.8610229499999999E-12</v>
      </c>
      <c r="J340">
        <v>0</v>
      </c>
      <c r="K340">
        <v>0</v>
      </c>
      <c r="L340">
        <v>26.930783699999999</v>
      </c>
      <c r="M340">
        <v>61.3913066</v>
      </c>
      <c r="N340">
        <v>0</v>
      </c>
      <c r="O340">
        <v>68.620987499999998</v>
      </c>
      <c r="P340">
        <v>0</v>
      </c>
    </row>
    <row r="341" spans="1:16" x14ac:dyDescent="0.25">
      <c r="A341" t="s">
        <v>305</v>
      </c>
    </row>
    <row r="342" spans="1:16" x14ac:dyDescent="0.25">
      <c r="A342" t="s">
        <v>360</v>
      </c>
      <c r="B342" t="s">
        <v>18</v>
      </c>
      <c r="C342" t="s">
        <v>19</v>
      </c>
      <c r="D342" t="s">
        <v>20</v>
      </c>
      <c r="E342" t="s">
        <v>21</v>
      </c>
      <c r="F342" t="s">
        <v>22</v>
      </c>
      <c r="G342" t="s">
        <v>23</v>
      </c>
      <c r="H342" t="s">
        <v>361</v>
      </c>
      <c r="I342" t="s">
        <v>25</v>
      </c>
      <c r="J342" t="s">
        <v>362</v>
      </c>
      <c r="K342" t="s">
        <v>5</v>
      </c>
      <c r="L342" t="s">
        <v>6</v>
      </c>
      <c r="M342" t="s">
        <v>7</v>
      </c>
      <c r="N342" t="s">
        <v>8</v>
      </c>
      <c r="O342" t="s">
        <v>9</v>
      </c>
      <c r="P342" t="s">
        <v>363</v>
      </c>
    </row>
    <row r="343" spans="1:16" x14ac:dyDescent="0.25">
      <c r="A343" t="s">
        <v>364</v>
      </c>
      <c r="B343" t="s">
        <v>370</v>
      </c>
      <c r="C343" t="s">
        <v>370</v>
      </c>
      <c r="D343" t="s">
        <v>370</v>
      </c>
      <c r="E343" t="s">
        <v>370</v>
      </c>
      <c r="F343" t="s">
        <v>370</v>
      </c>
      <c r="G343" t="s">
        <v>370</v>
      </c>
      <c r="H343" t="s">
        <v>370</v>
      </c>
      <c r="I343" t="s">
        <v>370</v>
      </c>
      <c r="J343" t="s">
        <v>370</v>
      </c>
      <c r="K343" t="s">
        <v>370</v>
      </c>
      <c r="L343" t="s">
        <v>370</v>
      </c>
      <c r="M343" t="s">
        <v>370</v>
      </c>
      <c r="N343" t="s">
        <v>370</v>
      </c>
      <c r="O343" t="s">
        <v>370</v>
      </c>
      <c r="P343" t="s">
        <v>370</v>
      </c>
    </row>
    <row r="344" spans="1:16" x14ac:dyDescent="0.25">
      <c r="A344" t="s">
        <v>1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</row>
    <row r="345" spans="1:16" x14ac:dyDescent="0.25">
      <c r="A345" t="s">
        <v>2</v>
      </c>
      <c r="B345">
        <v>61.186905699999997</v>
      </c>
      <c r="C345">
        <v>0</v>
      </c>
      <c r="D345">
        <v>61.186905699999997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19.6273053</v>
      </c>
      <c r="L345">
        <v>8.0263374800000005</v>
      </c>
      <c r="M345">
        <v>0</v>
      </c>
      <c r="N345">
        <v>0</v>
      </c>
      <c r="O345">
        <v>33.533262899999997</v>
      </c>
      <c r="P345">
        <v>0</v>
      </c>
    </row>
    <row r="346" spans="1:16" x14ac:dyDescent="0.25">
      <c r="A346" t="s">
        <v>3</v>
      </c>
      <c r="B346">
        <v>410.50014499999997</v>
      </c>
      <c r="C346">
        <v>0</v>
      </c>
      <c r="D346">
        <v>410.50014499999997</v>
      </c>
      <c r="E346">
        <v>249.13176899999999</v>
      </c>
      <c r="F346">
        <v>5.6734338800000002</v>
      </c>
      <c r="G346">
        <v>63.765959299999999</v>
      </c>
      <c r="H346">
        <v>1.1721503600000001</v>
      </c>
      <c r="I346">
        <v>76.485591600000006</v>
      </c>
      <c r="J346">
        <v>0</v>
      </c>
      <c r="K346">
        <v>5.30467712</v>
      </c>
      <c r="L346">
        <v>2.1692803999999999</v>
      </c>
      <c r="M346">
        <v>0</v>
      </c>
      <c r="N346">
        <v>0</v>
      </c>
      <c r="O346">
        <v>6.7972830200000001</v>
      </c>
      <c r="P346">
        <v>0</v>
      </c>
    </row>
    <row r="347" spans="1:16" x14ac:dyDescent="0.25">
      <c r="A347" t="s">
        <v>4</v>
      </c>
      <c r="B347">
        <v>242.18473399999999</v>
      </c>
      <c r="C347">
        <v>0</v>
      </c>
      <c r="D347">
        <v>242.18473399999999</v>
      </c>
      <c r="E347">
        <v>78.702042800000001</v>
      </c>
      <c r="F347">
        <v>13.561806600000001</v>
      </c>
      <c r="G347">
        <v>122.485705</v>
      </c>
      <c r="H347">
        <v>3.9047748000000002</v>
      </c>
      <c r="I347">
        <v>24.932872199999998</v>
      </c>
      <c r="J347">
        <v>0</v>
      </c>
      <c r="K347">
        <v>0</v>
      </c>
      <c r="L347">
        <v>0</v>
      </c>
      <c r="M347">
        <v>6.9808487599999998</v>
      </c>
      <c r="N347">
        <v>0</v>
      </c>
      <c r="O347">
        <v>-8.3833157200000006</v>
      </c>
      <c r="P347">
        <v>0</v>
      </c>
    </row>
    <row r="348" spans="1:16" x14ac:dyDescent="0.25">
      <c r="A348" t="s">
        <v>5</v>
      </c>
      <c r="B348">
        <v>19.6273053</v>
      </c>
      <c r="C348">
        <v>24.931982399999999</v>
      </c>
      <c r="D348">
        <v>-5.30467712</v>
      </c>
      <c r="E348">
        <v>8.7493163099999993</v>
      </c>
      <c r="F348">
        <v>1.34518403</v>
      </c>
      <c r="G348">
        <v>4.0877714799999998</v>
      </c>
      <c r="H348">
        <v>6.0014731199999997E-2</v>
      </c>
      <c r="I348">
        <v>5.3850187700000003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</row>
    <row r="349" spans="1:16" x14ac:dyDescent="0.25">
      <c r="A349" t="s">
        <v>6</v>
      </c>
      <c r="B349">
        <v>8.0263374800000005</v>
      </c>
      <c r="C349">
        <v>10.1956179</v>
      </c>
      <c r="D349">
        <v>-2.1692803999999999</v>
      </c>
      <c r="E349">
        <v>1.48439367</v>
      </c>
      <c r="F349">
        <v>3.73145743E-2</v>
      </c>
      <c r="G349">
        <v>6.4667160800000003</v>
      </c>
      <c r="H349">
        <v>1.0868788900000001E-2</v>
      </c>
      <c r="I349">
        <v>2.70443722E-2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</row>
    <row r="350" spans="1:16" x14ac:dyDescent="0.25">
      <c r="A350" t="s">
        <v>7</v>
      </c>
      <c r="B350">
        <v>18.7470243</v>
      </c>
      <c r="C350">
        <v>6.9808487599999998</v>
      </c>
      <c r="D350">
        <v>11.7661756</v>
      </c>
      <c r="E350">
        <v>0</v>
      </c>
      <c r="F350">
        <v>13.683981299999999</v>
      </c>
      <c r="G350">
        <v>5.0630430200000003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</row>
    <row r="351" spans="1:16" x14ac:dyDescent="0.25">
      <c r="A351" t="s">
        <v>8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</row>
    <row r="352" spans="1:16" x14ac:dyDescent="0.25">
      <c r="A352" t="s">
        <v>9</v>
      </c>
      <c r="B352">
        <v>25.1499472</v>
      </c>
      <c r="C352">
        <v>31.9472302</v>
      </c>
      <c r="D352">
        <v>-6.7972830200000001</v>
      </c>
      <c r="E352">
        <v>5.13679782</v>
      </c>
      <c r="F352">
        <v>0.109160227</v>
      </c>
      <c r="G352">
        <v>19.680225400000001</v>
      </c>
      <c r="H352">
        <v>9.1480731499999995E-2</v>
      </c>
      <c r="I352">
        <v>0.13228294800000001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</row>
    <row r="353" spans="1:16" x14ac:dyDescent="0.25">
      <c r="A353" t="s">
        <v>10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</row>
    <row r="354" spans="1:16" x14ac:dyDescent="0.25">
      <c r="A354" t="s">
        <v>11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</row>
    <row r="355" spans="1:16" x14ac:dyDescent="0.25">
      <c r="A355" t="s">
        <v>12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</row>
    <row r="356" spans="1:16" x14ac:dyDescent="0.25">
      <c r="A356" t="s">
        <v>13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</row>
    <row r="357" spans="1:16" x14ac:dyDescent="0.25">
      <c r="A357" t="s">
        <v>14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</row>
    <row r="358" spans="1:16" x14ac:dyDescent="0.25">
      <c r="A358" t="s">
        <v>306</v>
      </c>
    </row>
    <row r="359" spans="1:16" x14ac:dyDescent="0.25">
      <c r="A359" t="s">
        <v>360</v>
      </c>
      <c r="B359" t="s">
        <v>18</v>
      </c>
      <c r="C359" t="s">
        <v>19</v>
      </c>
      <c r="D359" t="s">
        <v>20</v>
      </c>
      <c r="E359" t="s">
        <v>21</v>
      </c>
      <c r="F359" t="s">
        <v>22</v>
      </c>
      <c r="G359" t="s">
        <v>23</v>
      </c>
      <c r="H359" t="s">
        <v>361</v>
      </c>
      <c r="I359" t="s">
        <v>25</v>
      </c>
      <c r="J359" t="s">
        <v>362</v>
      </c>
      <c r="K359" t="s">
        <v>5</v>
      </c>
      <c r="L359" t="s">
        <v>6</v>
      </c>
      <c r="M359" t="s">
        <v>7</v>
      </c>
      <c r="N359" t="s">
        <v>8</v>
      </c>
      <c r="O359" t="s">
        <v>9</v>
      </c>
      <c r="P359" t="s">
        <v>363</v>
      </c>
    </row>
    <row r="360" spans="1:16" x14ac:dyDescent="0.25">
      <c r="A360" t="s">
        <v>364</v>
      </c>
      <c r="B360" t="s">
        <v>365</v>
      </c>
      <c r="C360" t="s">
        <v>365</v>
      </c>
      <c r="D360" t="s">
        <v>365</v>
      </c>
      <c r="E360" t="s">
        <v>365</v>
      </c>
      <c r="F360" t="s">
        <v>365</v>
      </c>
      <c r="G360" t="s">
        <v>365</v>
      </c>
      <c r="H360" t="s">
        <v>365</v>
      </c>
      <c r="I360" t="s">
        <v>365</v>
      </c>
      <c r="J360" t="s">
        <v>365</v>
      </c>
      <c r="K360" t="s">
        <v>365</v>
      </c>
      <c r="L360" t="s">
        <v>365</v>
      </c>
      <c r="M360" t="s">
        <v>365</v>
      </c>
      <c r="N360" t="s">
        <v>365</v>
      </c>
      <c r="O360" t="s">
        <v>365</v>
      </c>
      <c r="P360" t="s">
        <v>365</v>
      </c>
    </row>
    <row r="361" spans="1:16" x14ac:dyDescent="0.25">
      <c r="A361" t="s">
        <v>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</row>
    <row r="362" spans="1:16" x14ac:dyDescent="0.25">
      <c r="A362" t="s">
        <v>2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</row>
    <row r="363" spans="1:16" x14ac:dyDescent="0.25">
      <c r="A363" t="s">
        <v>3</v>
      </c>
      <c r="B363">
        <v>17102.080300000001</v>
      </c>
      <c r="C363">
        <v>0</v>
      </c>
      <c r="D363">
        <v>17102.080300000001</v>
      </c>
      <c r="E363">
        <v>11453.2464</v>
      </c>
      <c r="F363">
        <v>189.43255400000001</v>
      </c>
      <c r="G363">
        <v>2239.54124</v>
      </c>
      <c r="H363">
        <v>197.17532499999999</v>
      </c>
      <c r="I363">
        <v>1778.3062600000001</v>
      </c>
      <c r="J363">
        <v>0</v>
      </c>
      <c r="K363">
        <v>254.36648299999999</v>
      </c>
      <c r="L363">
        <v>685.235052</v>
      </c>
      <c r="M363">
        <v>0</v>
      </c>
      <c r="N363">
        <v>0</v>
      </c>
      <c r="O363">
        <v>304.77695399999999</v>
      </c>
      <c r="P363">
        <v>0</v>
      </c>
    </row>
    <row r="364" spans="1:16" x14ac:dyDescent="0.25">
      <c r="A364" t="s">
        <v>4</v>
      </c>
      <c r="B364">
        <v>4512.4595399999998</v>
      </c>
      <c r="C364">
        <v>0</v>
      </c>
      <c r="D364">
        <v>4512.4595399999998</v>
      </c>
      <c r="E364">
        <v>1284.31737</v>
      </c>
      <c r="F364">
        <v>493.950242</v>
      </c>
      <c r="G364">
        <v>2073.1179900000002</v>
      </c>
      <c r="H364">
        <v>220.46313699999999</v>
      </c>
      <c r="I364">
        <v>420.74221799999998</v>
      </c>
      <c r="J364">
        <v>0</v>
      </c>
      <c r="K364">
        <v>0</v>
      </c>
      <c r="L364">
        <v>0</v>
      </c>
      <c r="M364">
        <v>145.18776600000001</v>
      </c>
      <c r="N364">
        <v>0</v>
      </c>
      <c r="O364">
        <v>-125.31918899999999</v>
      </c>
      <c r="P364">
        <v>0</v>
      </c>
    </row>
    <row r="365" spans="1:16" x14ac:dyDescent="0.25">
      <c r="A365" t="s">
        <v>5</v>
      </c>
      <c r="B365">
        <v>254.36648299999999</v>
      </c>
      <c r="C365">
        <v>254.36648299999999</v>
      </c>
      <c r="D365">
        <v>0</v>
      </c>
      <c r="E365">
        <v>113.840744</v>
      </c>
      <c r="F365">
        <v>23.6653628</v>
      </c>
      <c r="G365">
        <v>43.693263799999997</v>
      </c>
      <c r="H365">
        <v>1.6108779200000001</v>
      </c>
      <c r="I365">
        <v>71.556234900000007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</row>
    <row r="366" spans="1:16" x14ac:dyDescent="0.25">
      <c r="A366" t="s">
        <v>6</v>
      </c>
      <c r="B366">
        <v>685.235052</v>
      </c>
      <c r="C366">
        <v>685.235052</v>
      </c>
      <c r="D366">
        <v>0</v>
      </c>
      <c r="E366">
        <v>43.9119867</v>
      </c>
      <c r="F366">
        <v>2.6465810300000001</v>
      </c>
      <c r="G366">
        <v>88.504284600000005</v>
      </c>
      <c r="H366">
        <v>3.57083547</v>
      </c>
      <c r="I366">
        <v>546.60136399999999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</row>
    <row r="367" spans="1:16" x14ac:dyDescent="0.25">
      <c r="A367" t="s">
        <v>7</v>
      </c>
      <c r="B367">
        <v>145.18776600000001</v>
      </c>
      <c r="C367">
        <v>145.18776600000001</v>
      </c>
      <c r="D367">
        <v>0</v>
      </c>
      <c r="E367">
        <v>7.6895970900000004</v>
      </c>
      <c r="F367">
        <v>101.14516399999999</v>
      </c>
      <c r="G367">
        <v>36.349768099999999</v>
      </c>
      <c r="H367">
        <v>3.2370060200000001E-3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</row>
    <row r="368" spans="1:16" x14ac:dyDescent="0.25">
      <c r="A368" t="s">
        <v>8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</row>
    <row r="369" spans="1:16" x14ac:dyDescent="0.25">
      <c r="A369" t="s">
        <v>9</v>
      </c>
      <c r="B369">
        <v>179.457764</v>
      </c>
      <c r="C369">
        <v>179.457764</v>
      </c>
      <c r="D369" s="74">
        <v>2.8421709399999999E-14</v>
      </c>
      <c r="E369">
        <v>38.032839500000001</v>
      </c>
      <c r="F369">
        <v>3.4851906000000001</v>
      </c>
      <c r="G369">
        <v>135.00014899999999</v>
      </c>
      <c r="H369">
        <v>1.90421262</v>
      </c>
      <c r="I369">
        <v>1.03537298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  <row r="370" spans="1:16" x14ac:dyDescent="0.25">
      <c r="A370" t="s">
        <v>10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</row>
    <row r="371" spans="1:16" x14ac:dyDescent="0.25">
      <c r="A371" t="s">
        <v>11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</row>
    <row r="372" spans="1:16" x14ac:dyDescent="0.25">
      <c r="A372" t="s">
        <v>12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</row>
    <row r="373" spans="1:16" x14ac:dyDescent="0.25">
      <c r="A373" t="s">
        <v>13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</row>
    <row r="374" spans="1:16" x14ac:dyDescent="0.25">
      <c r="A374" t="s">
        <v>14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</row>
    <row r="375" spans="1:16" x14ac:dyDescent="0.25">
      <c r="A375" t="s">
        <v>307</v>
      </c>
    </row>
    <row r="376" spans="1:16" x14ac:dyDescent="0.25">
      <c r="A376" t="s">
        <v>360</v>
      </c>
      <c r="B376" t="s">
        <v>366</v>
      </c>
      <c r="C376" t="s">
        <v>367</v>
      </c>
      <c r="D376" t="s">
        <v>368</v>
      </c>
      <c r="E376" t="s">
        <v>21</v>
      </c>
      <c r="F376" t="s">
        <v>22</v>
      </c>
      <c r="G376" t="s">
        <v>23</v>
      </c>
      <c r="H376" t="s">
        <v>361</v>
      </c>
      <c r="I376" t="s">
        <v>25</v>
      </c>
      <c r="J376" t="s">
        <v>362</v>
      </c>
      <c r="K376" t="s">
        <v>5</v>
      </c>
      <c r="L376" t="s">
        <v>6</v>
      </c>
      <c r="M376" t="s">
        <v>7</v>
      </c>
      <c r="N376" t="s">
        <v>8</v>
      </c>
      <c r="O376" t="s">
        <v>9</v>
      </c>
      <c r="P376" t="s">
        <v>363</v>
      </c>
    </row>
    <row r="377" spans="1:16" x14ac:dyDescent="0.25">
      <c r="A377" t="s">
        <v>364</v>
      </c>
      <c r="B377" t="s">
        <v>369</v>
      </c>
      <c r="C377" t="s">
        <v>369</v>
      </c>
      <c r="D377" t="s">
        <v>369</v>
      </c>
      <c r="E377" t="s">
        <v>369</v>
      </c>
      <c r="F377" t="s">
        <v>369</v>
      </c>
      <c r="G377" t="s">
        <v>369</v>
      </c>
      <c r="H377" t="s">
        <v>369</v>
      </c>
      <c r="I377" t="s">
        <v>369</v>
      </c>
      <c r="J377" t="s">
        <v>369</v>
      </c>
      <c r="K377" t="s">
        <v>369</v>
      </c>
      <c r="L377" t="s">
        <v>369</v>
      </c>
      <c r="M377" t="s">
        <v>369</v>
      </c>
      <c r="N377" t="s">
        <v>369</v>
      </c>
      <c r="O377" t="s">
        <v>369</v>
      </c>
      <c r="P377" t="s">
        <v>369</v>
      </c>
    </row>
    <row r="378" spans="1:16" x14ac:dyDescent="0.25">
      <c r="A378" t="s">
        <v>1</v>
      </c>
      <c r="B378">
        <v>2442.9068400000001</v>
      </c>
      <c r="C378">
        <v>0</v>
      </c>
      <c r="D378">
        <v>2442.9068400000001</v>
      </c>
      <c r="E378">
        <v>954.10099500000001</v>
      </c>
      <c r="F378">
        <v>0</v>
      </c>
      <c r="G378">
        <v>336.88334900000001</v>
      </c>
      <c r="H378">
        <v>0</v>
      </c>
      <c r="I378">
        <v>0</v>
      </c>
      <c r="J378">
        <v>0</v>
      </c>
      <c r="K378">
        <v>0</v>
      </c>
      <c r="L378">
        <v>458.65990099999999</v>
      </c>
      <c r="M378">
        <v>424.960733</v>
      </c>
      <c r="N378">
        <v>0</v>
      </c>
      <c r="O378">
        <v>268.30185599999999</v>
      </c>
      <c r="P378">
        <v>0</v>
      </c>
    </row>
    <row r="379" spans="1:16" x14ac:dyDescent="0.25">
      <c r="A379" t="s">
        <v>2</v>
      </c>
      <c r="B379">
        <v>617.76043800000002</v>
      </c>
      <c r="C379">
        <v>0</v>
      </c>
      <c r="D379">
        <v>617.76043800000002</v>
      </c>
      <c r="E379">
        <v>0</v>
      </c>
      <c r="F379">
        <v>263.57969200000002</v>
      </c>
      <c r="G379">
        <v>89.180048799999994</v>
      </c>
      <c r="H379">
        <v>0</v>
      </c>
      <c r="I379">
        <v>0</v>
      </c>
      <c r="J379">
        <v>0</v>
      </c>
      <c r="K379">
        <v>230.131641</v>
      </c>
      <c r="L379">
        <v>6.5988310100000003E-3</v>
      </c>
      <c r="M379">
        <v>0</v>
      </c>
      <c r="N379">
        <v>0</v>
      </c>
      <c r="O379">
        <v>34.862457599999999</v>
      </c>
      <c r="P379">
        <v>0</v>
      </c>
    </row>
    <row r="380" spans="1:16" x14ac:dyDescent="0.25">
      <c r="A380" t="s">
        <v>3</v>
      </c>
      <c r="B380">
        <v>5683.6153999999997</v>
      </c>
      <c r="C380">
        <v>0</v>
      </c>
      <c r="D380">
        <v>5683.6153999999997</v>
      </c>
      <c r="E380">
        <v>3157.0204199999998</v>
      </c>
      <c r="F380">
        <v>74.592797099999999</v>
      </c>
      <c r="G380">
        <v>659.31661199999996</v>
      </c>
      <c r="H380">
        <v>93.633124699999996</v>
      </c>
      <c r="I380">
        <v>273.66987899999998</v>
      </c>
      <c r="J380">
        <v>0</v>
      </c>
      <c r="K380">
        <v>42.5123848</v>
      </c>
      <c r="L380">
        <v>114.52364300000001</v>
      </c>
      <c r="M380">
        <v>0</v>
      </c>
      <c r="N380">
        <v>0</v>
      </c>
      <c r="O380">
        <v>50.937509400000003</v>
      </c>
      <c r="P380">
        <v>1217.40904</v>
      </c>
    </row>
    <row r="381" spans="1:16" x14ac:dyDescent="0.25">
      <c r="A381" t="s">
        <v>4</v>
      </c>
      <c r="B381">
        <v>10652.456099999999</v>
      </c>
      <c r="C381">
        <v>0</v>
      </c>
      <c r="D381">
        <v>10652.456099999999</v>
      </c>
      <c r="E381">
        <v>3744.70273</v>
      </c>
      <c r="F381">
        <v>1201.49289</v>
      </c>
      <c r="G381">
        <v>3965.4103500000001</v>
      </c>
      <c r="H381">
        <v>437.178337</v>
      </c>
      <c r="I381">
        <v>574.84122000000002</v>
      </c>
      <c r="J381">
        <v>0</v>
      </c>
      <c r="K381">
        <v>0</v>
      </c>
      <c r="L381">
        <v>0</v>
      </c>
      <c r="M381">
        <v>251.318611</v>
      </c>
      <c r="N381">
        <v>0</v>
      </c>
      <c r="O381">
        <v>-171.21798699999999</v>
      </c>
      <c r="P381">
        <v>648.72993599999995</v>
      </c>
    </row>
    <row r="382" spans="1:16" x14ac:dyDescent="0.25">
      <c r="A382" t="s">
        <v>5</v>
      </c>
      <c r="B382">
        <v>680.04144299999996</v>
      </c>
      <c r="C382">
        <v>624.83842000000004</v>
      </c>
      <c r="D382">
        <v>55.203022900000001</v>
      </c>
      <c r="E382">
        <v>328.81322</v>
      </c>
      <c r="F382">
        <v>70.8262699</v>
      </c>
      <c r="G382">
        <v>148.65742299999999</v>
      </c>
      <c r="H382">
        <v>8.4180540500000003</v>
      </c>
      <c r="I382">
        <v>123.326476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</row>
    <row r="383" spans="1:16" x14ac:dyDescent="0.25">
      <c r="A383" t="s">
        <v>6</v>
      </c>
      <c r="B383">
        <v>1390.0649699999999</v>
      </c>
      <c r="C383">
        <v>1229.6962000000001</v>
      </c>
      <c r="D383">
        <v>160.36876599999999</v>
      </c>
      <c r="E383">
        <v>130.82969600000001</v>
      </c>
      <c r="F383">
        <v>10.753542400000001</v>
      </c>
      <c r="G383">
        <v>287.52706499999999</v>
      </c>
      <c r="H383">
        <v>18.8925163</v>
      </c>
      <c r="I383">
        <v>942.06214699999998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</row>
    <row r="384" spans="1:16" x14ac:dyDescent="0.25">
      <c r="A384" t="s">
        <v>7</v>
      </c>
      <c r="B384">
        <v>1420.3254300000001</v>
      </c>
      <c r="C384">
        <v>967.07961499999999</v>
      </c>
      <c r="D384">
        <v>453.245814</v>
      </c>
      <c r="E384">
        <v>77.846719399999998</v>
      </c>
      <c r="F384">
        <v>1010.06262</v>
      </c>
      <c r="G384">
        <v>332.379141</v>
      </c>
      <c r="H384">
        <v>3.6952250700000001E-2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</row>
    <row r="385" spans="1:16" x14ac:dyDescent="0.25">
      <c r="A385" t="s">
        <v>8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</row>
    <row r="386" spans="1:16" x14ac:dyDescent="0.25">
      <c r="A386" t="s">
        <v>9</v>
      </c>
      <c r="B386">
        <v>1006.29011</v>
      </c>
      <c r="C386">
        <v>787.95848100000001</v>
      </c>
      <c r="D386">
        <v>218.33162899999999</v>
      </c>
      <c r="E386">
        <v>193.69674900000001</v>
      </c>
      <c r="F386">
        <v>22.1809504</v>
      </c>
      <c r="G386">
        <v>769.33829900000001</v>
      </c>
      <c r="H386">
        <v>18.043532899999999</v>
      </c>
      <c r="I386">
        <v>3.0305785099999998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</row>
    <row r="387" spans="1:16" x14ac:dyDescent="0.25">
      <c r="A387" t="s">
        <v>10</v>
      </c>
      <c r="B387">
        <v>778.99122</v>
      </c>
      <c r="C387">
        <v>0</v>
      </c>
      <c r="D387">
        <v>778.99122</v>
      </c>
      <c r="E387">
        <v>-21.091750000000001</v>
      </c>
      <c r="F387">
        <v>-36.030032300000002</v>
      </c>
      <c r="G387">
        <v>49.576916699999998</v>
      </c>
      <c r="H387">
        <v>0</v>
      </c>
      <c r="I387">
        <v>0</v>
      </c>
      <c r="J387">
        <v>0</v>
      </c>
      <c r="K387">
        <v>204.041257</v>
      </c>
      <c r="L387">
        <v>208.525665</v>
      </c>
      <c r="M387">
        <v>4.2400951999999998</v>
      </c>
      <c r="N387">
        <v>0</v>
      </c>
      <c r="O387">
        <v>369.72906799999998</v>
      </c>
      <c r="P387">
        <v>0</v>
      </c>
    </row>
    <row r="388" spans="1:16" x14ac:dyDescent="0.25">
      <c r="A388" t="s">
        <v>11</v>
      </c>
      <c r="B388">
        <v>171.658458</v>
      </c>
      <c r="C388">
        <v>0</v>
      </c>
      <c r="D388">
        <v>171.658458</v>
      </c>
      <c r="E388">
        <v>47.536537000000003</v>
      </c>
      <c r="F388">
        <v>18.282618100000001</v>
      </c>
      <c r="G388">
        <v>76.732474600000003</v>
      </c>
      <c r="H388">
        <v>8.1600189499999995</v>
      </c>
      <c r="I388">
        <v>15.5729639</v>
      </c>
      <c r="J388">
        <v>0</v>
      </c>
      <c r="K388">
        <v>0</v>
      </c>
      <c r="L388">
        <v>0</v>
      </c>
      <c r="M388">
        <v>5.3738458800000002</v>
      </c>
      <c r="N388">
        <v>0</v>
      </c>
      <c r="O388">
        <v>0</v>
      </c>
      <c r="P388">
        <v>0</v>
      </c>
    </row>
    <row r="389" spans="1:16" x14ac:dyDescent="0.25">
      <c r="A389" t="s">
        <v>12</v>
      </c>
      <c r="B389">
        <v>15328.098599999999</v>
      </c>
      <c r="C389">
        <v>1866.13897</v>
      </c>
      <c r="D389">
        <v>13461.9596</v>
      </c>
      <c r="E389">
        <v>7421.4489400000002</v>
      </c>
      <c r="F389">
        <v>1134.1786099999999</v>
      </c>
      <c r="G389">
        <v>4126.4084000000003</v>
      </c>
      <c r="H389">
        <v>466.30614100000003</v>
      </c>
      <c r="I389">
        <v>1479.67139</v>
      </c>
      <c r="J389">
        <v>0</v>
      </c>
      <c r="K389">
        <v>112.327766</v>
      </c>
      <c r="L389">
        <v>302.598524</v>
      </c>
      <c r="M389">
        <v>150.56985900000001</v>
      </c>
      <c r="N389">
        <v>0</v>
      </c>
      <c r="O389">
        <v>134.58893599999999</v>
      </c>
      <c r="P389">
        <v>0</v>
      </c>
    </row>
    <row r="390" spans="1:16" x14ac:dyDescent="0.25">
      <c r="A390" t="s">
        <v>13</v>
      </c>
      <c r="B390">
        <v>4269.1158599999999</v>
      </c>
      <c r="C390">
        <v>0</v>
      </c>
      <c r="D390">
        <v>4269.1158599999999</v>
      </c>
      <c r="E390">
        <v>3300.2015900000001</v>
      </c>
      <c r="F390">
        <v>830.02059799999995</v>
      </c>
      <c r="G390">
        <v>0</v>
      </c>
      <c r="H390">
        <v>0</v>
      </c>
      <c r="I390">
        <v>0</v>
      </c>
      <c r="J390">
        <v>0</v>
      </c>
      <c r="K390">
        <v>35.825372000000002</v>
      </c>
      <c r="L390">
        <v>16.201607800000001</v>
      </c>
      <c r="M390">
        <v>54.625429599999997</v>
      </c>
      <c r="N390">
        <v>0</v>
      </c>
      <c r="O390">
        <v>32.241270399999998</v>
      </c>
      <c r="P390">
        <v>0</v>
      </c>
    </row>
    <row r="391" spans="1:16" x14ac:dyDescent="0.25">
      <c r="A391" t="s">
        <v>14</v>
      </c>
      <c r="B391">
        <v>823.203351</v>
      </c>
      <c r="C391">
        <v>0</v>
      </c>
      <c r="D391">
        <v>823.203351</v>
      </c>
      <c r="E391">
        <v>208.28659999999999</v>
      </c>
      <c r="F391">
        <v>93.788182699999993</v>
      </c>
      <c r="G391">
        <v>233.04760300000001</v>
      </c>
      <c r="H391">
        <v>14.394293299999999</v>
      </c>
      <c r="I391" s="74">
        <v>2.3841857900000001E-12</v>
      </c>
      <c r="J391">
        <v>0</v>
      </c>
      <c r="K391">
        <v>0</v>
      </c>
      <c r="L391">
        <v>129.18026</v>
      </c>
      <c r="M391">
        <v>75.991040900000002</v>
      </c>
      <c r="N391">
        <v>0</v>
      </c>
      <c r="O391">
        <v>68.515370200000007</v>
      </c>
      <c r="P391">
        <v>0</v>
      </c>
    </row>
    <row r="392" spans="1:16" x14ac:dyDescent="0.25">
      <c r="A392" t="s">
        <v>308</v>
      </c>
    </row>
    <row r="393" spans="1:16" x14ac:dyDescent="0.25">
      <c r="A393" t="s">
        <v>360</v>
      </c>
      <c r="B393" t="s">
        <v>18</v>
      </c>
      <c r="C393" t="s">
        <v>19</v>
      </c>
      <c r="D393" t="s">
        <v>20</v>
      </c>
      <c r="E393" t="s">
        <v>21</v>
      </c>
      <c r="F393" t="s">
        <v>22</v>
      </c>
      <c r="G393" t="s">
        <v>23</v>
      </c>
      <c r="H393" t="s">
        <v>361</v>
      </c>
      <c r="I393" t="s">
        <v>25</v>
      </c>
      <c r="J393" t="s">
        <v>362</v>
      </c>
      <c r="K393" t="s">
        <v>5</v>
      </c>
      <c r="L393" t="s">
        <v>6</v>
      </c>
      <c r="M393" t="s">
        <v>7</v>
      </c>
      <c r="N393" t="s">
        <v>8</v>
      </c>
      <c r="O393" t="s">
        <v>9</v>
      </c>
      <c r="P393" t="s">
        <v>363</v>
      </c>
    </row>
    <row r="394" spans="1:16" x14ac:dyDescent="0.25">
      <c r="A394" t="s">
        <v>364</v>
      </c>
      <c r="B394" t="s">
        <v>370</v>
      </c>
      <c r="C394" t="s">
        <v>370</v>
      </c>
      <c r="D394" t="s">
        <v>370</v>
      </c>
      <c r="E394" t="s">
        <v>370</v>
      </c>
      <c r="F394" t="s">
        <v>370</v>
      </c>
      <c r="G394" t="s">
        <v>370</v>
      </c>
      <c r="H394" t="s">
        <v>370</v>
      </c>
      <c r="I394" t="s">
        <v>370</v>
      </c>
      <c r="J394" t="s">
        <v>370</v>
      </c>
      <c r="K394" t="s">
        <v>370</v>
      </c>
      <c r="L394" t="s">
        <v>370</v>
      </c>
      <c r="M394" t="s">
        <v>370</v>
      </c>
      <c r="N394" t="s">
        <v>370</v>
      </c>
      <c r="O394" t="s">
        <v>370</v>
      </c>
      <c r="P394" t="s">
        <v>370</v>
      </c>
    </row>
    <row r="395" spans="1:16" x14ac:dyDescent="0.25">
      <c r="A395" t="s">
        <v>1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</row>
    <row r="396" spans="1:16" x14ac:dyDescent="0.25">
      <c r="A396" t="s">
        <v>2</v>
      </c>
      <c r="B396">
        <v>98.389457800000002</v>
      </c>
      <c r="C396">
        <v>0</v>
      </c>
      <c r="D396">
        <v>98.389457800000002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18.593999400000001</v>
      </c>
      <c r="L396">
        <v>50.090169000000003</v>
      </c>
      <c r="M396">
        <v>0</v>
      </c>
      <c r="N396">
        <v>0</v>
      </c>
      <c r="O396">
        <v>29.705289400000002</v>
      </c>
      <c r="P396">
        <v>0</v>
      </c>
    </row>
    <row r="397" spans="1:16" x14ac:dyDescent="0.25">
      <c r="A397" t="s">
        <v>3</v>
      </c>
      <c r="B397">
        <v>337.87817799999999</v>
      </c>
      <c r="C397">
        <v>0</v>
      </c>
      <c r="D397">
        <v>337.87817799999999</v>
      </c>
      <c r="E397">
        <v>226.27668499999999</v>
      </c>
      <c r="F397">
        <v>3.7425345299999999</v>
      </c>
      <c r="G397">
        <v>44.245618200000003</v>
      </c>
      <c r="H397">
        <v>3.8955050199999999</v>
      </c>
      <c r="I397">
        <v>35.133204200000002</v>
      </c>
      <c r="J397">
        <v>0</v>
      </c>
      <c r="K397">
        <v>5.0254052400000004</v>
      </c>
      <c r="L397">
        <v>13.5378835</v>
      </c>
      <c r="M397">
        <v>0</v>
      </c>
      <c r="N397">
        <v>0</v>
      </c>
      <c r="O397">
        <v>6.0213424399999997</v>
      </c>
      <c r="P397">
        <v>0</v>
      </c>
    </row>
    <row r="398" spans="1:16" x14ac:dyDescent="0.25">
      <c r="A398" t="s">
        <v>4</v>
      </c>
      <c r="B398">
        <v>267.40501</v>
      </c>
      <c r="C398">
        <v>0</v>
      </c>
      <c r="D398">
        <v>267.40501</v>
      </c>
      <c r="E398">
        <v>76.107696099999998</v>
      </c>
      <c r="F398">
        <v>29.2711255</v>
      </c>
      <c r="G398">
        <v>122.851437</v>
      </c>
      <c r="H398">
        <v>13.0644822</v>
      </c>
      <c r="I398">
        <v>24.932872199999998</v>
      </c>
      <c r="J398">
        <v>0</v>
      </c>
      <c r="K398">
        <v>0</v>
      </c>
      <c r="L398">
        <v>0</v>
      </c>
      <c r="M398">
        <v>8.6037194800000005</v>
      </c>
      <c r="N398">
        <v>0</v>
      </c>
      <c r="O398">
        <v>-7.4263223399999996</v>
      </c>
      <c r="P398">
        <v>0</v>
      </c>
    </row>
    <row r="399" spans="1:16" x14ac:dyDescent="0.25">
      <c r="A399" t="s">
        <v>5</v>
      </c>
      <c r="B399">
        <v>18.593999400000001</v>
      </c>
      <c r="C399">
        <v>23.619404599999999</v>
      </c>
      <c r="D399">
        <v>-5.0254052400000004</v>
      </c>
      <c r="E399">
        <v>8.3216731199999998</v>
      </c>
      <c r="F399">
        <v>1.7299202899999999</v>
      </c>
      <c r="G399">
        <v>3.1939448600000002</v>
      </c>
      <c r="H399">
        <v>0.11775397</v>
      </c>
      <c r="I399">
        <v>5.2307071699999996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</row>
    <row r="400" spans="1:16" x14ac:dyDescent="0.25">
      <c r="A400" t="s">
        <v>6</v>
      </c>
      <c r="B400">
        <v>50.090169000000003</v>
      </c>
      <c r="C400">
        <v>63.628052500000003</v>
      </c>
      <c r="D400">
        <v>-13.5378835</v>
      </c>
      <c r="E400">
        <v>3.2099333400000001</v>
      </c>
      <c r="F400">
        <v>0.193463091</v>
      </c>
      <c r="G400">
        <v>6.4695969099999999</v>
      </c>
      <c r="H400">
        <v>0.26102539800000002</v>
      </c>
      <c r="I400">
        <v>39.956150299999997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</row>
    <row r="401" spans="1:16" x14ac:dyDescent="0.25">
      <c r="A401" t="s">
        <v>7</v>
      </c>
      <c r="B401">
        <v>22.495133500000001</v>
      </c>
      <c r="C401">
        <v>8.6037194800000005</v>
      </c>
      <c r="D401">
        <v>13.891413999999999</v>
      </c>
      <c r="E401">
        <v>1.19141246</v>
      </c>
      <c r="F401">
        <v>15.6712513</v>
      </c>
      <c r="G401">
        <v>5.63196823</v>
      </c>
      <c r="H401">
        <v>5.0153593900000004E-4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</row>
    <row r="402" spans="1:16" x14ac:dyDescent="0.25">
      <c r="A402" t="s">
        <v>8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</row>
    <row r="403" spans="1:16" x14ac:dyDescent="0.25">
      <c r="A403" t="s">
        <v>9</v>
      </c>
      <c r="B403">
        <v>22.278967000000002</v>
      </c>
      <c r="C403">
        <v>28.300309500000001</v>
      </c>
      <c r="D403">
        <v>-6.0213424399999997</v>
      </c>
      <c r="E403">
        <v>4.7216256100000003</v>
      </c>
      <c r="F403">
        <v>0.43267253900000002</v>
      </c>
      <c r="G403">
        <v>16.759730999999999</v>
      </c>
      <c r="H403">
        <v>0.236400416</v>
      </c>
      <c r="I403">
        <v>0.12853743400000001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</row>
    <row r="404" spans="1:16" x14ac:dyDescent="0.25">
      <c r="A404" t="s">
        <v>10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</row>
    <row r="405" spans="1:16" x14ac:dyDescent="0.25">
      <c r="A405" t="s">
        <v>11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</row>
    <row r="406" spans="1:16" x14ac:dyDescent="0.25">
      <c r="A406" t="s">
        <v>12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</row>
    <row r="407" spans="1:16" x14ac:dyDescent="0.25">
      <c r="A407" t="s">
        <v>13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</row>
    <row r="408" spans="1:16" x14ac:dyDescent="0.25">
      <c r="A408" t="s">
        <v>14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</row>
    <row r="409" spans="1:16" x14ac:dyDescent="0.25">
      <c r="A409" t="s">
        <v>309</v>
      </c>
    </row>
    <row r="410" spans="1:16" x14ac:dyDescent="0.25">
      <c r="A410" t="s">
        <v>360</v>
      </c>
      <c r="B410" t="s">
        <v>18</v>
      </c>
      <c r="C410" t="s">
        <v>19</v>
      </c>
      <c r="D410" t="s">
        <v>20</v>
      </c>
      <c r="E410" t="s">
        <v>21</v>
      </c>
      <c r="F410" t="s">
        <v>22</v>
      </c>
      <c r="G410" t="s">
        <v>23</v>
      </c>
      <c r="H410" t="s">
        <v>361</v>
      </c>
      <c r="I410" t="s">
        <v>25</v>
      </c>
      <c r="J410" t="s">
        <v>362</v>
      </c>
      <c r="K410" t="s">
        <v>5</v>
      </c>
      <c r="L410" t="s">
        <v>6</v>
      </c>
      <c r="M410" t="s">
        <v>7</v>
      </c>
      <c r="N410" t="s">
        <v>8</v>
      </c>
      <c r="O410" t="s">
        <v>9</v>
      </c>
      <c r="P410" t="s">
        <v>363</v>
      </c>
    </row>
    <row r="411" spans="1:16" x14ac:dyDescent="0.25">
      <c r="A411" t="s">
        <v>364</v>
      </c>
      <c r="B411" t="s">
        <v>365</v>
      </c>
      <c r="C411" t="s">
        <v>365</v>
      </c>
      <c r="D411" t="s">
        <v>365</v>
      </c>
      <c r="E411" t="s">
        <v>365</v>
      </c>
      <c r="F411" t="s">
        <v>365</v>
      </c>
      <c r="G411" t="s">
        <v>365</v>
      </c>
      <c r="H411" t="s">
        <v>365</v>
      </c>
      <c r="I411" t="s">
        <v>365</v>
      </c>
      <c r="J411" t="s">
        <v>365</v>
      </c>
      <c r="K411" t="s">
        <v>365</v>
      </c>
      <c r="L411" t="s">
        <v>365</v>
      </c>
      <c r="M411" t="s">
        <v>365</v>
      </c>
      <c r="N411" t="s">
        <v>365</v>
      </c>
      <c r="O411" t="s">
        <v>365</v>
      </c>
      <c r="P411" t="s">
        <v>365</v>
      </c>
    </row>
    <row r="412" spans="1:16" x14ac:dyDescent="0.25">
      <c r="A412" t="s">
        <v>1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</row>
    <row r="413" spans="1:16" x14ac:dyDescent="0.25">
      <c r="A413" t="s">
        <v>2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</row>
    <row r="414" spans="1:16" x14ac:dyDescent="0.25">
      <c r="A414" t="s">
        <v>3</v>
      </c>
      <c r="B414">
        <v>10091.746499999999</v>
      </c>
      <c r="C414">
        <v>0</v>
      </c>
      <c r="D414">
        <v>10091.746499999999</v>
      </c>
      <c r="E414">
        <v>6135.21533</v>
      </c>
      <c r="F414">
        <v>0</v>
      </c>
      <c r="G414">
        <v>997.88237100000003</v>
      </c>
      <c r="H414">
        <v>206.616006</v>
      </c>
      <c r="I414">
        <v>1459.1810499999999</v>
      </c>
      <c r="J414">
        <v>0</v>
      </c>
      <c r="K414">
        <v>216.34017299999999</v>
      </c>
      <c r="L414">
        <v>831.58672100000001</v>
      </c>
      <c r="M414">
        <v>0</v>
      </c>
      <c r="N414">
        <v>0</v>
      </c>
      <c r="O414">
        <v>244.924823</v>
      </c>
      <c r="P414">
        <v>0</v>
      </c>
    </row>
    <row r="415" spans="1:16" x14ac:dyDescent="0.25">
      <c r="A415" t="s">
        <v>4</v>
      </c>
      <c r="B415">
        <v>3947.9695000000002</v>
      </c>
      <c r="C415">
        <v>0</v>
      </c>
      <c r="D415">
        <v>3947.9695000000002</v>
      </c>
      <c r="E415">
        <v>969.99666999999999</v>
      </c>
      <c r="F415">
        <v>540.412915</v>
      </c>
      <c r="G415">
        <v>1623.6438900000001</v>
      </c>
      <c r="H415">
        <v>233.39254299999999</v>
      </c>
      <c r="I415">
        <v>329.321687</v>
      </c>
      <c r="J415">
        <v>0</v>
      </c>
      <c r="K415">
        <v>0</v>
      </c>
      <c r="L415">
        <v>0</v>
      </c>
      <c r="M415">
        <v>330.02833900000002</v>
      </c>
      <c r="N415">
        <v>0</v>
      </c>
      <c r="O415">
        <v>-78.826545499999995</v>
      </c>
      <c r="P415">
        <v>0</v>
      </c>
    </row>
    <row r="416" spans="1:16" x14ac:dyDescent="0.25">
      <c r="A416" t="s">
        <v>5</v>
      </c>
      <c r="B416">
        <v>216.34017299999999</v>
      </c>
      <c r="C416">
        <v>216.34017299999999</v>
      </c>
      <c r="D416">
        <v>0</v>
      </c>
      <c r="E416">
        <v>82.080210399999999</v>
      </c>
      <c r="F416">
        <v>26.159126000000001</v>
      </c>
      <c r="G416">
        <v>36.755806999999997</v>
      </c>
      <c r="H416">
        <v>1.89830152</v>
      </c>
      <c r="I416">
        <v>69.446727800000005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</row>
    <row r="417" spans="1:16" x14ac:dyDescent="0.25">
      <c r="A417" t="s">
        <v>6</v>
      </c>
      <c r="B417">
        <v>831.58672100000001</v>
      </c>
      <c r="C417">
        <v>831.58672100000001</v>
      </c>
      <c r="D417">
        <v>0</v>
      </c>
      <c r="E417">
        <v>118.503488</v>
      </c>
      <c r="F417">
        <v>9.1909442099999996</v>
      </c>
      <c r="G417">
        <v>87.294976000000005</v>
      </c>
      <c r="H417">
        <v>12.1894414</v>
      </c>
      <c r="I417">
        <v>604.407872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</row>
    <row r="418" spans="1:16" x14ac:dyDescent="0.25">
      <c r="A418" t="s">
        <v>7</v>
      </c>
      <c r="B418">
        <v>330.02833900000002</v>
      </c>
      <c r="C418">
        <v>330.02833900000002</v>
      </c>
      <c r="D418">
        <v>0</v>
      </c>
      <c r="E418">
        <v>217.770375</v>
      </c>
      <c r="F418">
        <v>80.281946000000005</v>
      </c>
      <c r="G418">
        <v>30.486779899999998</v>
      </c>
      <c r="H418">
        <v>1.4892387199999999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</row>
    <row r="419" spans="1:16" x14ac:dyDescent="0.25">
      <c r="A419" t="s">
        <v>8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</row>
    <row r="420" spans="1:16" x14ac:dyDescent="0.25">
      <c r="A420" t="s">
        <v>9</v>
      </c>
      <c r="B420">
        <v>166.098277</v>
      </c>
      <c r="C420">
        <v>166.098277</v>
      </c>
      <c r="D420">
        <v>0</v>
      </c>
      <c r="E420">
        <v>33.988058899999999</v>
      </c>
      <c r="F420">
        <v>5.8746918800000003</v>
      </c>
      <c r="G420">
        <v>121.133421</v>
      </c>
      <c r="H420">
        <v>3.9441690999999999</v>
      </c>
      <c r="I420">
        <v>1.1579364000000001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</row>
    <row r="421" spans="1:16" x14ac:dyDescent="0.25">
      <c r="A421" t="s">
        <v>10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</row>
    <row r="422" spans="1:16" x14ac:dyDescent="0.25">
      <c r="A422" t="s">
        <v>11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</row>
    <row r="423" spans="1:16" x14ac:dyDescent="0.25">
      <c r="A423" t="s">
        <v>12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</row>
    <row r="424" spans="1:16" x14ac:dyDescent="0.25">
      <c r="A424" t="s">
        <v>13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</row>
    <row r="425" spans="1:16" x14ac:dyDescent="0.25">
      <c r="A425" t="s">
        <v>14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</row>
    <row r="426" spans="1:16" x14ac:dyDescent="0.25">
      <c r="A426" t="s">
        <v>310</v>
      </c>
    </row>
    <row r="427" spans="1:16" x14ac:dyDescent="0.25">
      <c r="A427" t="s">
        <v>360</v>
      </c>
      <c r="B427" t="s">
        <v>366</v>
      </c>
      <c r="C427" t="s">
        <v>367</v>
      </c>
      <c r="D427" t="s">
        <v>368</v>
      </c>
      <c r="E427" t="s">
        <v>21</v>
      </c>
      <c r="F427" t="s">
        <v>22</v>
      </c>
      <c r="G427" t="s">
        <v>23</v>
      </c>
      <c r="H427" t="s">
        <v>361</v>
      </c>
      <c r="I427" t="s">
        <v>25</v>
      </c>
      <c r="J427" t="s">
        <v>362</v>
      </c>
      <c r="K427" t="s">
        <v>5</v>
      </c>
      <c r="L427" t="s">
        <v>6</v>
      </c>
      <c r="M427" t="s">
        <v>7</v>
      </c>
      <c r="N427" t="s">
        <v>8</v>
      </c>
      <c r="O427" t="s">
        <v>9</v>
      </c>
      <c r="P427" t="s">
        <v>363</v>
      </c>
    </row>
    <row r="428" spans="1:16" x14ac:dyDescent="0.25">
      <c r="A428" t="s">
        <v>364</v>
      </c>
      <c r="B428" t="s">
        <v>369</v>
      </c>
      <c r="C428" t="s">
        <v>369</v>
      </c>
      <c r="D428" t="s">
        <v>369</v>
      </c>
      <c r="E428" t="s">
        <v>369</v>
      </c>
      <c r="F428" t="s">
        <v>369</v>
      </c>
      <c r="G428" t="s">
        <v>369</v>
      </c>
      <c r="H428" t="s">
        <v>369</v>
      </c>
      <c r="I428" t="s">
        <v>369</v>
      </c>
      <c r="J428" t="s">
        <v>369</v>
      </c>
      <c r="K428" t="s">
        <v>369</v>
      </c>
      <c r="L428" t="s">
        <v>369</v>
      </c>
      <c r="M428" t="s">
        <v>369</v>
      </c>
      <c r="N428" t="s">
        <v>369</v>
      </c>
      <c r="O428" t="s">
        <v>369</v>
      </c>
      <c r="P428" t="s">
        <v>369</v>
      </c>
    </row>
    <row r="429" spans="1:16" x14ac:dyDescent="0.25">
      <c r="A429" t="s">
        <v>1</v>
      </c>
      <c r="B429">
        <v>5380.7693499999996</v>
      </c>
      <c r="C429">
        <v>0</v>
      </c>
      <c r="D429">
        <v>5380.7693499999996</v>
      </c>
      <c r="E429">
        <v>2266.14822</v>
      </c>
      <c r="F429">
        <v>0</v>
      </c>
      <c r="G429">
        <v>737.09772699999996</v>
      </c>
      <c r="H429">
        <v>0</v>
      </c>
      <c r="I429">
        <v>0</v>
      </c>
      <c r="J429">
        <v>0</v>
      </c>
      <c r="K429">
        <v>0</v>
      </c>
      <c r="L429">
        <v>686.63619500000004</v>
      </c>
      <c r="M429">
        <v>1422.5853500000001</v>
      </c>
      <c r="N429">
        <v>0</v>
      </c>
      <c r="O429">
        <v>268.30185599999999</v>
      </c>
      <c r="P429">
        <v>0</v>
      </c>
    </row>
    <row r="430" spans="1:16" x14ac:dyDescent="0.25">
      <c r="A430" t="s">
        <v>2</v>
      </c>
      <c r="B430">
        <v>1175.0890999999999</v>
      </c>
      <c r="C430">
        <v>0</v>
      </c>
      <c r="D430">
        <v>1175.0890999999999</v>
      </c>
      <c r="E430">
        <v>0</v>
      </c>
      <c r="F430">
        <v>441.90360600000002</v>
      </c>
      <c r="G430">
        <v>218.27117100000001</v>
      </c>
      <c r="H430">
        <v>0</v>
      </c>
      <c r="I430">
        <v>0</v>
      </c>
      <c r="J430">
        <v>0</v>
      </c>
      <c r="K430">
        <v>313.75326799999999</v>
      </c>
      <c r="L430">
        <v>8.3100909000000008E-3</v>
      </c>
      <c r="M430">
        <v>0</v>
      </c>
      <c r="N430">
        <v>0</v>
      </c>
      <c r="O430">
        <v>201.15274500000001</v>
      </c>
      <c r="P430">
        <v>0</v>
      </c>
    </row>
    <row r="431" spans="1:16" x14ac:dyDescent="0.25">
      <c r="A431" t="s">
        <v>3</v>
      </c>
      <c r="B431">
        <v>4894.1516000000001</v>
      </c>
      <c r="C431">
        <v>0</v>
      </c>
      <c r="D431">
        <v>4894.1516000000001</v>
      </c>
      <c r="E431">
        <v>1783.5719999999999</v>
      </c>
      <c r="F431">
        <v>0</v>
      </c>
      <c r="G431">
        <v>341.96573799999999</v>
      </c>
      <c r="H431">
        <v>101.734494</v>
      </c>
      <c r="I431">
        <v>232.54750899999999</v>
      </c>
      <c r="J431">
        <v>0</v>
      </c>
      <c r="K431">
        <v>37.341482200000002</v>
      </c>
      <c r="L431">
        <v>143.536359</v>
      </c>
      <c r="M431">
        <v>0</v>
      </c>
      <c r="N431">
        <v>0</v>
      </c>
      <c r="O431">
        <v>42.275347099999998</v>
      </c>
      <c r="P431">
        <v>2211.17868</v>
      </c>
    </row>
    <row r="432" spans="1:16" x14ac:dyDescent="0.25">
      <c r="A432" t="s">
        <v>4</v>
      </c>
      <c r="B432">
        <v>12076.0851</v>
      </c>
      <c r="C432">
        <v>0</v>
      </c>
      <c r="D432">
        <v>12076.0851</v>
      </c>
      <c r="E432">
        <v>3591.5949900000001</v>
      </c>
      <c r="F432">
        <v>1695.28424</v>
      </c>
      <c r="G432">
        <v>3986.26154</v>
      </c>
      <c r="H432">
        <v>602.02825299999995</v>
      </c>
      <c r="I432">
        <v>609.47020899999995</v>
      </c>
      <c r="J432">
        <v>0</v>
      </c>
      <c r="K432">
        <v>0</v>
      </c>
      <c r="L432">
        <v>0</v>
      </c>
      <c r="M432">
        <v>664.37263499999995</v>
      </c>
      <c r="N432">
        <v>0</v>
      </c>
      <c r="O432">
        <v>-145.88298599999999</v>
      </c>
      <c r="P432">
        <v>1072.9562699999999</v>
      </c>
    </row>
    <row r="433" spans="1:16" x14ac:dyDescent="0.25">
      <c r="A433" t="s">
        <v>5</v>
      </c>
      <c r="B433">
        <v>808.315428</v>
      </c>
      <c r="C433">
        <v>734.55298700000003</v>
      </c>
      <c r="D433">
        <v>73.762441300000006</v>
      </c>
      <c r="E433">
        <v>338.05152600000002</v>
      </c>
      <c r="F433">
        <v>106.852491</v>
      </c>
      <c r="G433">
        <v>167.525825</v>
      </c>
      <c r="H433">
        <v>11.855505600000001</v>
      </c>
      <c r="I433">
        <v>184.030081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</row>
    <row r="434" spans="1:16" x14ac:dyDescent="0.25">
      <c r="A434" t="s">
        <v>6</v>
      </c>
      <c r="B434">
        <v>2605.65868</v>
      </c>
      <c r="C434">
        <v>1976.6220599999999</v>
      </c>
      <c r="D434">
        <v>629.03662599999996</v>
      </c>
      <c r="E434">
        <v>486.12285800000001</v>
      </c>
      <c r="F434">
        <v>45.131346999999998</v>
      </c>
      <c r="G434">
        <v>395.377657</v>
      </c>
      <c r="H434">
        <v>77.378580600000006</v>
      </c>
      <c r="I434">
        <v>1601.64824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</row>
    <row r="435" spans="1:16" x14ac:dyDescent="0.25">
      <c r="A435" t="s">
        <v>7</v>
      </c>
      <c r="B435">
        <v>4741.2295100000001</v>
      </c>
      <c r="C435">
        <v>3428.05422</v>
      </c>
      <c r="D435">
        <v>1313.1752899999999</v>
      </c>
      <c r="E435">
        <v>3073.0229800000002</v>
      </c>
      <c r="F435">
        <v>1212.0256899999999</v>
      </c>
      <c r="G435">
        <v>431.49841500000002</v>
      </c>
      <c r="H435">
        <v>24.682427700000002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</row>
    <row r="436" spans="1:16" x14ac:dyDescent="0.25">
      <c r="A436" t="s">
        <v>8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</row>
    <row r="437" spans="1:16" x14ac:dyDescent="0.25">
      <c r="A437" t="s">
        <v>9</v>
      </c>
      <c r="B437">
        <v>1112.5775900000001</v>
      </c>
      <c r="C437">
        <v>972.39583500000003</v>
      </c>
      <c r="D437">
        <v>140.18175199999999</v>
      </c>
      <c r="E437">
        <v>210.853205</v>
      </c>
      <c r="F437">
        <v>41.525893600000003</v>
      </c>
      <c r="G437">
        <v>819.48131599999999</v>
      </c>
      <c r="H437">
        <v>36.192475000000002</v>
      </c>
      <c r="I437">
        <v>4.5246960600000001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</row>
    <row r="438" spans="1:16" x14ac:dyDescent="0.25">
      <c r="A438" t="s">
        <v>10</v>
      </c>
      <c r="B438">
        <v>466.39042599999999</v>
      </c>
      <c r="C438">
        <v>0</v>
      </c>
      <c r="D438">
        <v>466.39042599999999</v>
      </c>
      <c r="E438">
        <v>-597.44299999999998</v>
      </c>
      <c r="F438">
        <v>63.103685499999997</v>
      </c>
      <c r="G438">
        <v>121.341172</v>
      </c>
      <c r="H438">
        <v>0</v>
      </c>
      <c r="I438">
        <v>0</v>
      </c>
      <c r="J438">
        <v>0</v>
      </c>
      <c r="K438">
        <v>197.42875900000001</v>
      </c>
      <c r="L438">
        <v>336.05228399999999</v>
      </c>
      <c r="M438">
        <v>10.535755699999999</v>
      </c>
      <c r="N438">
        <v>0</v>
      </c>
      <c r="O438">
        <v>335.37176899999997</v>
      </c>
      <c r="P438">
        <v>0</v>
      </c>
    </row>
    <row r="439" spans="1:16" x14ac:dyDescent="0.25">
      <c r="A439" t="s">
        <v>11</v>
      </c>
      <c r="B439">
        <v>372.610274</v>
      </c>
      <c r="C439">
        <v>0</v>
      </c>
      <c r="D439">
        <v>372.610274</v>
      </c>
      <c r="E439">
        <v>89.756402100000003</v>
      </c>
      <c r="F439">
        <v>50.005861299999999</v>
      </c>
      <c r="G439">
        <v>150.240138</v>
      </c>
      <c r="H439">
        <v>21.596440099999999</v>
      </c>
      <c r="I439">
        <v>30.473021899999999</v>
      </c>
      <c r="J439">
        <v>0</v>
      </c>
      <c r="K439">
        <v>0</v>
      </c>
      <c r="L439">
        <v>0</v>
      </c>
      <c r="M439">
        <v>30.538410299999999</v>
      </c>
      <c r="N439">
        <v>0</v>
      </c>
      <c r="O439">
        <v>0</v>
      </c>
      <c r="P439">
        <v>0</v>
      </c>
    </row>
    <row r="440" spans="1:16" x14ac:dyDescent="0.25">
      <c r="A440" t="s">
        <v>12</v>
      </c>
      <c r="B440">
        <v>16692.7526</v>
      </c>
      <c r="C440">
        <v>3284.1349500000001</v>
      </c>
      <c r="D440">
        <v>13408.6176</v>
      </c>
      <c r="E440">
        <v>6761.1825099999996</v>
      </c>
      <c r="F440">
        <v>1492.00848</v>
      </c>
      <c r="G440">
        <v>4367.6551099999997</v>
      </c>
      <c r="H440">
        <v>688.150802</v>
      </c>
      <c r="I440">
        <v>1741.63995</v>
      </c>
      <c r="J440">
        <v>0</v>
      </c>
      <c r="K440">
        <v>149.55293900000001</v>
      </c>
      <c r="L440">
        <v>574.864283</v>
      </c>
      <c r="M440">
        <v>748.38539400000002</v>
      </c>
      <c r="N440">
        <v>0</v>
      </c>
      <c r="O440">
        <v>169.313108</v>
      </c>
      <c r="P440">
        <v>0</v>
      </c>
    </row>
    <row r="441" spans="1:16" x14ac:dyDescent="0.25">
      <c r="A441" t="s">
        <v>13</v>
      </c>
      <c r="B441">
        <v>5173.2187000000004</v>
      </c>
      <c r="C441">
        <v>0</v>
      </c>
      <c r="D441">
        <v>5173.2187000000004</v>
      </c>
      <c r="E441">
        <v>3736.1028700000002</v>
      </c>
      <c r="F441">
        <v>1119.38408</v>
      </c>
      <c r="G441">
        <v>0</v>
      </c>
      <c r="H441">
        <v>0</v>
      </c>
      <c r="I441">
        <v>0</v>
      </c>
      <c r="J441">
        <v>0</v>
      </c>
      <c r="K441">
        <v>36.476538099999999</v>
      </c>
      <c r="L441">
        <v>44.216100099999998</v>
      </c>
      <c r="M441">
        <v>203.76894999999999</v>
      </c>
      <c r="N441">
        <v>0</v>
      </c>
      <c r="O441">
        <v>33.2701663</v>
      </c>
      <c r="P441">
        <v>0</v>
      </c>
    </row>
    <row r="442" spans="1:16" x14ac:dyDescent="0.25">
      <c r="A442" t="s">
        <v>14</v>
      </c>
      <c r="B442">
        <v>1740.6659</v>
      </c>
      <c r="C442">
        <v>0</v>
      </c>
      <c r="D442">
        <v>1740.6659</v>
      </c>
      <c r="E442">
        <v>508.293205</v>
      </c>
      <c r="F442">
        <v>118.974869</v>
      </c>
      <c r="G442">
        <v>486.69028900000001</v>
      </c>
      <c r="H442">
        <v>18.937447899999999</v>
      </c>
      <c r="I442" s="74">
        <v>2.5033950799999998E-12</v>
      </c>
      <c r="J442">
        <v>0</v>
      </c>
      <c r="K442">
        <v>0</v>
      </c>
      <c r="L442">
        <v>191.308527</v>
      </c>
      <c r="M442">
        <v>347.867729</v>
      </c>
      <c r="N442">
        <v>0</v>
      </c>
      <c r="O442">
        <v>68.593829200000002</v>
      </c>
      <c r="P442">
        <v>0</v>
      </c>
    </row>
    <row r="443" spans="1:16" x14ac:dyDescent="0.25">
      <c r="A443" t="s">
        <v>311</v>
      </c>
    </row>
    <row r="444" spans="1:16" x14ac:dyDescent="0.25">
      <c r="A444" t="s">
        <v>360</v>
      </c>
      <c r="B444" t="s">
        <v>18</v>
      </c>
      <c r="C444" t="s">
        <v>19</v>
      </c>
      <c r="D444" t="s">
        <v>20</v>
      </c>
      <c r="E444" t="s">
        <v>21</v>
      </c>
      <c r="F444" t="s">
        <v>22</v>
      </c>
      <c r="G444" t="s">
        <v>23</v>
      </c>
      <c r="H444" t="s">
        <v>361</v>
      </c>
      <c r="I444" t="s">
        <v>25</v>
      </c>
      <c r="J444" t="s">
        <v>362</v>
      </c>
      <c r="K444" t="s">
        <v>5</v>
      </c>
      <c r="L444" t="s">
        <v>6</v>
      </c>
      <c r="M444" t="s">
        <v>7</v>
      </c>
      <c r="N444" t="s">
        <v>8</v>
      </c>
      <c r="O444" t="s">
        <v>9</v>
      </c>
      <c r="P444" t="s">
        <v>363</v>
      </c>
    </row>
    <row r="445" spans="1:16" x14ac:dyDescent="0.25">
      <c r="A445" t="s">
        <v>364</v>
      </c>
      <c r="B445" t="s">
        <v>370</v>
      </c>
      <c r="C445" t="s">
        <v>370</v>
      </c>
      <c r="D445" t="s">
        <v>370</v>
      </c>
      <c r="E445" t="s">
        <v>370</v>
      </c>
      <c r="F445" t="s">
        <v>370</v>
      </c>
      <c r="G445" t="s">
        <v>370</v>
      </c>
      <c r="H445" t="s">
        <v>370</v>
      </c>
      <c r="I445" t="s">
        <v>370</v>
      </c>
      <c r="J445" t="s">
        <v>370</v>
      </c>
      <c r="K445" t="s">
        <v>370</v>
      </c>
      <c r="L445" t="s">
        <v>370</v>
      </c>
      <c r="M445" t="s">
        <v>370</v>
      </c>
      <c r="N445" t="s">
        <v>370</v>
      </c>
      <c r="O445" t="s">
        <v>370</v>
      </c>
      <c r="P445" t="s">
        <v>370</v>
      </c>
    </row>
    <row r="446" spans="1:16" x14ac:dyDescent="0.25">
      <c r="A446" t="s">
        <v>1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</row>
    <row r="447" spans="1:16" x14ac:dyDescent="0.25">
      <c r="A447" t="s">
        <v>2</v>
      </c>
      <c r="B447">
        <v>100.47443199999999</v>
      </c>
      <c r="C447">
        <v>0</v>
      </c>
      <c r="D447">
        <v>100.47443199999999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15.8143046</v>
      </c>
      <c r="L447">
        <v>60.788366400000001</v>
      </c>
      <c r="M447">
        <v>0</v>
      </c>
      <c r="N447">
        <v>0</v>
      </c>
      <c r="O447">
        <v>23.8717614</v>
      </c>
      <c r="P447">
        <v>0</v>
      </c>
    </row>
    <row r="448" spans="1:16" x14ac:dyDescent="0.25">
      <c r="A448" t="s">
        <v>3</v>
      </c>
      <c r="B448">
        <v>199.37813700000001</v>
      </c>
      <c r="C448">
        <v>0</v>
      </c>
      <c r="D448">
        <v>199.37813700000001</v>
      </c>
      <c r="E448">
        <v>121.21071499999999</v>
      </c>
      <c r="F448">
        <v>0</v>
      </c>
      <c r="G448">
        <v>19.7147173</v>
      </c>
      <c r="H448">
        <v>4.0820203399999997</v>
      </c>
      <c r="I448">
        <v>28.828389699999999</v>
      </c>
      <c r="J448">
        <v>0</v>
      </c>
      <c r="K448">
        <v>4.2741363699999999</v>
      </c>
      <c r="L448">
        <v>16.429288199999998</v>
      </c>
      <c r="M448">
        <v>0</v>
      </c>
      <c r="N448">
        <v>0</v>
      </c>
      <c r="O448">
        <v>4.8388705600000002</v>
      </c>
      <c r="P448">
        <v>0</v>
      </c>
    </row>
    <row r="449" spans="1:16" x14ac:dyDescent="0.25">
      <c r="A449" t="s">
        <v>4</v>
      </c>
      <c r="B449">
        <v>298.899899</v>
      </c>
      <c r="C449">
        <v>0</v>
      </c>
      <c r="D449">
        <v>298.899899</v>
      </c>
      <c r="E449">
        <v>73.438233699999998</v>
      </c>
      <c r="F449">
        <v>40.914542500000003</v>
      </c>
      <c r="G449">
        <v>122.92572</v>
      </c>
      <c r="H449">
        <v>17.670097899999998</v>
      </c>
      <c r="I449">
        <v>24.932872199999998</v>
      </c>
      <c r="J449">
        <v>0</v>
      </c>
      <c r="K449">
        <v>0</v>
      </c>
      <c r="L449">
        <v>0</v>
      </c>
      <c r="M449">
        <v>24.9863727</v>
      </c>
      <c r="N449">
        <v>0</v>
      </c>
      <c r="O449">
        <v>-5.9679403500000001</v>
      </c>
      <c r="P449">
        <v>0</v>
      </c>
    </row>
    <row r="450" spans="1:16" x14ac:dyDescent="0.25">
      <c r="A450" t="s">
        <v>5</v>
      </c>
      <c r="B450">
        <v>15.8143046</v>
      </c>
      <c r="C450">
        <v>20.088440899999998</v>
      </c>
      <c r="D450">
        <v>-4.2741363699999999</v>
      </c>
      <c r="E450">
        <v>6.0000019</v>
      </c>
      <c r="F450">
        <v>1.91221252</v>
      </c>
      <c r="G450">
        <v>2.6868219600000001</v>
      </c>
      <c r="H450">
        <v>0.138764419</v>
      </c>
      <c r="I450">
        <v>5.0765037800000004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</row>
    <row r="451" spans="1:16" x14ac:dyDescent="0.25">
      <c r="A451" t="s">
        <v>6</v>
      </c>
      <c r="B451">
        <v>60.788366400000001</v>
      </c>
      <c r="C451">
        <v>77.217654600000003</v>
      </c>
      <c r="D451">
        <v>-16.429288199999998</v>
      </c>
      <c r="E451">
        <v>8.6625162000000007</v>
      </c>
      <c r="F451">
        <v>0.67185113699999999</v>
      </c>
      <c r="G451">
        <v>6.3811973599999998</v>
      </c>
      <c r="H451">
        <v>0.89103903200000001</v>
      </c>
      <c r="I451">
        <v>44.1817627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</row>
    <row r="452" spans="1:16" x14ac:dyDescent="0.25">
      <c r="A452" t="s">
        <v>7</v>
      </c>
      <c r="B452">
        <v>62.978934099999996</v>
      </c>
      <c r="C452">
        <v>24.9863727</v>
      </c>
      <c r="D452">
        <v>37.9925614</v>
      </c>
      <c r="E452">
        <v>41.556873899999999</v>
      </c>
      <c r="F452">
        <v>15.3201128</v>
      </c>
      <c r="G452">
        <v>5.8177576699999998</v>
      </c>
      <c r="H452">
        <v>0.284189737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</row>
    <row r="453" spans="1:16" x14ac:dyDescent="0.25">
      <c r="A453" t="s">
        <v>8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</row>
    <row r="454" spans="1:16" x14ac:dyDescent="0.25">
      <c r="A454" t="s">
        <v>9</v>
      </c>
      <c r="B454">
        <v>17.903821099999998</v>
      </c>
      <c r="C454">
        <v>22.742691600000001</v>
      </c>
      <c r="D454">
        <v>-4.8388705600000002</v>
      </c>
      <c r="E454">
        <v>3.66359083</v>
      </c>
      <c r="F454">
        <v>0.633236142</v>
      </c>
      <c r="G454">
        <v>13.0570354</v>
      </c>
      <c r="H454">
        <v>0.42514407100000001</v>
      </c>
      <c r="I454">
        <v>0.124814577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</row>
    <row r="455" spans="1:16" x14ac:dyDescent="0.25">
      <c r="A455" t="s">
        <v>10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</row>
    <row r="456" spans="1:16" x14ac:dyDescent="0.25">
      <c r="A456" t="s">
        <v>11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</row>
    <row r="457" spans="1:16" x14ac:dyDescent="0.25">
      <c r="A457" t="s">
        <v>12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</row>
    <row r="458" spans="1:16" x14ac:dyDescent="0.25">
      <c r="A458" t="s">
        <v>13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</row>
    <row r="459" spans="1:16" x14ac:dyDescent="0.25">
      <c r="A459" t="s">
        <v>14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</row>
    <row r="460" spans="1:16" x14ac:dyDescent="0.25">
      <c r="A460" t="s">
        <v>312</v>
      </c>
    </row>
    <row r="461" spans="1:16" x14ac:dyDescent="0.25">
      <c r="A461" t="s">
        <v>360</v>
      </c>
      <c r="B461" t="s">
        <v>18</v>
      </c>
      <c r="C461" t="s">
        <v>19</v>
      </c>
      <c r="D461" t="s">
        <v>20</v>
      </c>
      <c r="E461" t="s">
        <v>21</v>
      </c>
      <c r="F461" t="s">
        <v>22</v>
      </c>
      <c r="G461" t="s">
        <v>23</v>
      </c>
      <c r="H461" t="s">
        <v>361</v>
      </c>
      <c r="I461" t="s">
        <v>25</v>
      </c>
      <c r="J461" t="s">
        <v>362</v>
      </c>
      <c r="K461" t="s">
        <v>5</v>
      </c>
      <c r="L461" t="s">
        <v>6</v>
      </c>
      <c r="M461" t="s">
        <v>7</v>
      </c>
      <c r="N461" t="s">
        <v>8</v>
      </c>
      <c r="O461" t="s">
        <v>9</v>
      </c>
      <c r="P461" t="s">
        <v>363</v>
      </c>
    </row>
    <row r="462" spans="1:16" x14ac:dyDescent="0.25">
      <c r="A462" t="s">
        <v>364</v>
      </c>
      <c r="B462" t="s">
        <v>365</v>
      </c>
      <c r="C462" t="s">
        <v>365</v>
      </c>
      <c r="D462" t="s">
        <v>365</v>
      </c>
      <c r="E462" t="s">
        <v>365</v>
      </c>
      <c r="F462" t="s">
        <v>365</v>
      </c>
      <c r="G462" t="s">
        <v>365</v>
      </c>
      <c r="H462" t="s">
        <v>365</v>
      </c>
      <c r="I462" t="s">
        <v>365</v>
      </c>
      <c r="J462" t="s">
        <v>365</v>
      </c>
      <c r="K462" t="s">
        <v>365</v>
      </c>
      <c r="L462" t="s">
        <v>365</v>
      </c>
      <c r="M462" t="s">
        <v>365</v>
      </c>
      <c r="N462" t="s">
        <v>365</v>
      </c>
      <c r="O462" t="s">
        <v>365</v>
      </c>
      <c r="P462" t="s">
        <v>365</v>
      </c>
    </row>
    <row r="463" spans="1:16" x14ac:dyDescent="0.25">
      <c r="A463" t="s">
        <v>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</row>
    <row r="464" spans="1:16" x14ac:dyDescent="0.25">
      <c r="A464" t="s">
        <v>2</v>
      </c>
      <c r="B464">
        <v>5.33503742E-3</v>
      </c>
      <c r="C464">
        <v>0</v>
      </c>
      <c r="D464">
        <v>5.33503742E-3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5.33503742E-3</v>
      </c>
      <c r="L464">
        <v>0</v>
      </c>
      <c r="M464">
        <v>0</v>
      </c>
      <c r="N464">
        <v>0</v>
      </c>
      <c r="O464">
        <v>0</v>
      </c>
      <c r="P464">
        <v>0</v>
      </c>
    </row>
    <row r="465" spans="1:16" x14ac:dyDescent="0.25">
      <c r="A465" t="s">
        <v>3</v>
      </c>
      <c r="B465">
        <v>5157.9356100000005</v>
      </c>
      <c r="C465">
        <v>0</v>
      </c>
      <c r="D465">
        <v>5157.9356100000005</v>
      </c>
      <c r="E465">
        <v>1819.5551</v>
      </c>
      <c r="F465">
        <v>0</v>
      </c>
      <c r="G465">
        <v>548.52266299999997</v>
      </c>
      <c r="H465">
        <v>252.64067499999999</v>
      </c>
      <c r="I465">
        <v>1285.80621</v>
      </c>
      <c r="J465">
        <v>0</v>
      </c>
      <c r="K465">
        <v>225.665899</v>
      </c>
      <c r="L465">
        <v>817.042869</v>
      </c>
      <c r="M465">
        <v>0</v>
      </c>
      <c r="N465">
        <v>0</v>
      </c>
      <c r="O465">
        <v>208.70219299999999</v>
      </c>
      <c r="P465">
        <v>0</v>
      </c>
    </row>
    <row r="466" spans="1:16" x14ac:dyDescent="0.25">
      <c r="A466" t="s">
        <v>4</v>
      </c>
      <c r="B466">
        <v>3364.3806599999998</v>
      </c>
      <c r="C466">
        <v>0</v>
      </c>
      <c r="D466">
        <v>3364.3806599999998</v>
      </c>
      <c r="E466">
        <v>739.83284900000001</v>
      </c>
      <c r="F466">
        <v>518.30543599999999</v>
      </c>
      <c r="G466">
        <v>1248.12816</v>
      </c>
      <c r="H466">
        <v>265.83468499999998</v>
      </c>
      <c r="I466">
        <v>252.722363</v>
      </c>
      <c r="J466">
        <v>0</v>
      </c>
      <c r="K466">
        <v>0</v>
      </c>
      <c r="L466">
        <v>0</v>
      </c>
      <c r="M466">
        <v>391.10259100000002</v>
      </c>
      <c r="N466">
        <v>0</v>
      </c>
      <c r="O466">
        <v>-51.545415900000002</v>
      </c>
      <c r="P466">
        <v>0</v>
      </c>
    </row>
    <row r="467" spans="1:16" x14ac:dyDescent="0.25">
      <c r="A467" t="s">
        <v>5</v>
      </c>
      <c r="B467">
        <v>225.671234</v>
      </c>
      <c r="C467">
        <v>225.671234</v>
      </c>
      <c r="D467" s="74">
        <v>2.8421709399999999E-14</v>
      </c>
      <c r="E467">
        <v>70.165592599999997</v>
      </c>
      <c r="F467">
        <v>28.1011828</v>
      </c>
      <c r="G467">
        <v>31.977589699999999</v>
      </c>
      <c r="H467">
        <v>2.5103901300000002</v>
      </c>
      <c r="I467">
        <v>92.916479100000004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</row>
    <row r="468" spans="1:16" x14ac:dyDescent="0.25">
      <c r="A468" t="s">
        <v>6</v>
      </c>
      <c r="B468">
        <v>817.042869</v>
      </c>
      <c r="C468">
        <v>817.042869</v>
      </c>
      <c r="D468" s="74">
        <v>-1.1368683799999999E-13</v>
      </c>
      <c r="E468">
        <v>96.461498199999994</v>
      </c>
      <c r="F468">
        <v>27.366061200000001</v>
      </c>
      <c r="G468">
        <v>75.854253200000002</v>
      </c>
      <c r="H468">
        <v>21.098363899999999</v>
      </c>
      <c r="I468">
        <v>596.26269300000001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</row>
    <row r="469" spans="1:16" x14ac:dyDescent="0.25">
      <c r="A469" t="s">
        <v>7</v>
      </c>
      <c r="B469">
        <v>391.10259100000002</v>
      </c>
      <c r="C469">
        <v>391.10259100000002</v>
      </c>
      <c r="D469" s="74">
        <v>-5.68434189E-14</v>
      </c>
      <c r="E469">
        <v>302.98416200000003</v>
      </c>
      <c r="F469">
        <v>61.115096399999999</v>
      </c>
      <c r="G469">
        <v>23.293756800000001</v>
      </c>
      <c r="H469">
        <v>3.70957559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</row>
    <row r="470" spans="1:16" x14ac:dyDescent="0.25">
      <c r="A470" t="s">
        <v>8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</row>
    <row r="471" spans="1:16" x14ac:dyDescent="0.25">
      <c r="A471" t="s">
        <v>9</v>
      </c>
      <c r="B471">
        <v>157.156778</v>
      </c>
      <c r="C471">
        <v>157.156778</v>
      </c>
      <c r="D471">
        <v>0</v>
      </c>
      <c r="E471">
        <v>29.675023299999999</v>
      </c>
      <c r="F471">
        <v>8.4224343600000005</v>
      </c>
      <c r="G471">
        <v>110.338866</v>
      </c>
      <c r="H471">
        <v>7.4733356400000002</v>
      </c>
      <c r="I471">
        <v>1.2471182199999999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</row>
    <row r="472" spans="1:16" x14ac:dyDescent="0.25">
      <c r="A472" t="s">
        <v>10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</row>
    <row r="473" spans="1:16" x14ac:dyDescent="0.25">
      <c r="A473" t="s">
        <v>11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</row>
    <row r="474" spans="1:16" x14ac:dyDescent="0.25">
      <c r="A474" t="s">
        <v>12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</row>
    <row r="475" spans="1:16" x14ac:dyDescent="0.25">
      <c r="A475" t="s">
        <v>13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</row>
    <row r="476" spans="1:16" x14ac:dyDescent="0.25">
      <c r="A476" t="s">
        <v>14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</row>
    <row r="477" spans="1:16" x14ac:dyDescent="0.25">
      <c r="A477" t="s">
        <v>313</v>
      </c>
    </row>
    <row r="478" spans="1:16" x14ac:dyDescent="0.25">
      <c r="A478" t="s">
        <v>360</v>
      </c>
      <c r="B478" t="s">
        <v>366</v>
      </c>
      <c r="C478" t="s">
        <v>367</v>
      </c>
      <c r="D478" t="s">
        <v>368</v>
      </c>
      <c r="E478" t="s">
        <v>21</v>
      </c>
      <c r="F478" t="s">
        <v>22</v>
      </c>
      <c r="G478" t="s">
        <v>23</v>
      </c>
      <c r="H478" t="s">
        <v>361</v>
      </c>
      <c r="I478" t="s">
        <v>25</v>
      </c>
      <c r="J478" t="s">
        <v>362</v>
      </c>
      <c r="K478" t="s">
        <v>5</v>
      </c>
      <c r="L478" t="s">
        <v>6</v>
      </c>
      <c r="M478" t="s">
        <v>7</v>
      </c>
      <c r="N478" t="s">
        <v>8</v>
      </c>
      <c r="O478" t="s">
        <v>9</v>
      </c>
      <c r="P478" t="s">
        <v>363</v>
      </c>
    </row>
    <row r="479" spans="1:16" x14ac:dyDescent="0.25">
      <c r="A479" t="s">
        <v>364</v>
      </c>
      <c r="B479" t="s">
        <v>369</v>
      </c>
      <c r="C479" t="s">
        <v>369</v>
      </c>
      <c r="D479" t="s">
        <v>369</v>
      </c>
      <c r="E479" t="s">
        <v>369</v>
      </c>
      <c r="F479" t="s">
        <v>369</v>
      </c>
      <c r="G479" t="s">
        <v>369</v>
      </c>
      <c r="H479" t="s">
        <v>369</v>
      </c>
      <c r="I479" t="s">
        <v>369</v>
      </c>
      <c r="J479" t="s">
        <v>369</v>
      </c>
      <c r="K479" t="s">
        <v>369</v>
      </c>
      <c r="L479" t="s">
        <v>369</v>
      </c>
      <c r="M479" t="s">
        <v>369</v>
      </c>
      <c r="N479" t="s">
        <v>369</v>
      </c>
      <c r="O479" t="s">
        <v>369</v>
      </c>
      <c r="P479" t="s">
        <v>369</v>
      </c>
    </row>
    <row r="480" spans="1:16" x14ac:dyDescent="0.25">
      <c r="A480" t="s">
        <v>1</v>
      </c>
      <c r="B480">
        <v>7334.67832</v>
      </c>
      <c r="C480">
        <v>0</v>
      </c>
      <c r="D480">
        <v>7334.67832</v>
      </c>
      <c r="E480">
        <v>3135.8818700000002</v>
      </c>
      <c r="F480">
        <v>0</v>
      </c>
      <c r="G480">
        <v>960.40648699999997</v>
      </c>
      <c r="H480">
        <v>0</v>
      </c>
      <c r="I480">
        <v>0</v>
      </c>
      <c r="J480">
        <v>0</v>
      </c>
      <c r="K480">
        <v>6.1596196699999997</v>
      </c>
      <c r="L480">
        <v>727.93998999999997</v>
      </c>
      <c r="M480">
        <v>2235.9884999999999</v>
      </c>
      <c r="N480">
        <v>0</v>
      </c>
      <c r="O480">
        <v>268.30185599999999</v>
      </c>
      <c r="P480">
        <v>0</v>
      </c>
    </row>
    <row r="481" spans="1:16" x14ac:dyDescent="0.25">
      <c r="A481" t="s">
        <v>2</v>
      </c>
      <c r="B481">
        <v>1684.3399899999999</v>
      </c>
      <c r="C481">
        <v>0</v>
      </c>
      <c r="D481">
        <v>1684.3399899999999</v>
      </c>
      <c r="E481">
        <v>182.808087</v>
      </c>
      <c r="F481">
        <v>528.38191600000005</v>
      </c>
      <c r="G481">
        <v>257.41741100000002</v>
      </c>
      <c r="H481">
        <v>0</v>
      </c>
      <c r="I481">
        <v>0</v>
      </c>
      <c r="J481">
        <v>0</v>
      </c>
      <c r="K481">
        <v>350.25882999999999</v>
      </c>
      <c r="L481">
        <v>8.4137121500000005E-3</v>
      </c>
      <c r="M481">
        <v>0</v>
      </c>
      <c r="N481">
        <v>0</v>
      </c>
      <c r="O481">
        <v>365.46533299999999</v>
      </c>
      <c r="P481">
        <v>0</v>
      </c>
    </row>
    <row r="482" spans="1:16" x14ac:dyDescent="0.25">
      <c r="A482" t="s">
        <v>3</v>
      </c>
      <c r="B482">
        <v>4249.9724999999999</v>
      </c>
      <c r="C482">
        <v>0</v>
      </c>
      <c r="D482">
        <v>4249.9724999999999</v>
      </c>
      <c r="E482">
        <v>570.24542499999995</v>
      </c>
      <c r="F482">
        <v>0</v>
      </c>
      <c r="G482">
        <v>217.32240999999999</v>
      </c>
      <c r="H482">
        <v>128.164119</v>
      </c>
      <c r="I482">
        <v>211.95674600000001</v>
      </c>
      <c r="J482">
        <v>0</v>
      </c>
      <c r="K482">
        <v>40.186662699999999</v>
      </c>
      <c r="L482">
        <v>145.499281</v>
      </c>
      <c r="M482">
        <v>0</v>
      </c>
      <c r="N482">
        <v>0</v>
      </c>
      <c r="O482">
        <v>37.165759999999999</v>
      </c>
      <c r="P482">
        <v>2899.4321</v>
      </c>
    </row>
    <row r="483" spans="1:16" x14ac:dyDescent="0.25">
      <c r="A483" t="s">
        <v>4</v>
      </c>
      <c r="B483">
        <v>13617.357099999999</v>
      </c>
      <c r="C483">
        <v>0</v>
      </c>
      <c r="D483">
        <v>13617.357099999999</v>
      </c>
      <c r="E483">
        <v>3566.4533700000002</v>
      </c>
      <c r="F483">
        <v>2185.8477200000002</v>
      </c>
      <c r="G483">
        <v>4098.7246100000002</v>
      </c>
      <c r="H483">
        <v>922.308717</v>
      </c>
      <c r="I483">
        <v>644.099199</v>
      </c>
      <c r="J483">
        <v>0</v>
      </c>
      <c r="K483">
        <v>0</v>
      </c>
      <c r="L483">
        <v>0</v>
      </c>
      <c r="M483">
        <v>1051.1731299999999</v>
      </c>
      <c r="N483">
        <v>0</v>
      </c>
      <c r="O483">
        <v>-131.37088700000001</v>
      </c>
      <c r="P483">
        <v>1280.1212499999999</v>
      </c>
    </row>
    <row r="484" spans="1:16" x14ac:dyDescent="0.25">
      <c r="A484" t="s">
        <v>5</v>
      </c>
      <c r="B484">
        <v>945.06680700000004</v>
      </c>
      <c r="C484">
        <v>818.06380999999999</v>
      </c>
      <c r="D484">
        <v>127.00299699999999</v>
      </c>
      <c r="E484">
        <v>337.54377099999999</v>
      </c>
      <c r="F484">
        <v>132.29342</v>
      </c>
      <c r="G484">
        <v>168.11039600000001</v>
      </c>
      <c r="H484">
        <v>16.937394399999999</v>
      </c>
      <c r="I484">
        <v>290.181826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</row>
    <row r="485" spans="1:16" x14ac:dyDescent="0.25">
      <c r="A485" t="s">
        <v>6</v>
      </c>
      <c r="B485">
        <v>3025.9556299999999</v>
      </c>
      <c r="C485">
        <v>2157.0432000000001</v>
      </c>
      <c r="D485">
        <v>868.91243299999996</v>
      </c>
      <c r="E485">
        <v>467.17105900000001</v>
      </c>
      <c r="F485">
        <v>147.65249900000001</v>
      </c>
      <c r="G485">
        <v>403.97414800000001</v>
      </c>
      <c r="H485">
        <v>144.962018</v>
      </c>
      <c r="I485">
        <v>1862.1959099999999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</row>
    <row r="486" spans="1:16" x14ac:dyDescent="0.25">
      <c r="A486" t="s">
        <v>7</v>
      </c>
      <c r="B486">
        <v>8017.61834</v>
      </c>
      <c r="C486">
        <v>5509.3475500000004</v>
      </c>
      <c r="D486">
        <v>2508.2707999999998</v>
      </c>
      <c r="E486">
        <v>6152.6669199999997</v>
      </c>
      <c r="F486">
        <v>1311.11464</v>
      </c>
      <c r="G486">
        <v>469.87430000000001</v>
      </c>
      <c r="H486">
        <v>83.962481800000006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</row>
    <row r="487" spans="1:16" x14ac:dyDescent="0.25">
      <c r="A487" t="s">
        <v>8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</row>
    <row r="488" spans="1:16" x14ac:dyDescent="0.25">
      <c r="A488" t="s">
        <v>9</v>
      </c>
      <c r="B488">
        <v>1112.2717399999999</v>
      </c>
      <c r="C488">
        <v>1129.5796600000001</v>
      </c>
      <c r="D488">
        <v>-17.307925900000001</v>
      </c>
      <c r="E488">
        <v>195.34823900000001</v>
      </c>
      <c r="F488">
        <v>60.384217499999998</v>
      </c>
      <c r="G488">
        <v>786.71392300000002</v>
      </c>
      <c r="H488">
        <v>64.652991999999998</v>
      </c>
      <c r="I488">
        <v>5.1723660799999998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</row>
    <row r="489" spans="1:16" x14ac:dyDescent="0.25">
      <c r="A489" t="s">
        <v>10</v>
      </c>
      <c r="B489">
        <v>145.18339700000001</v>
      </c>
      <c r="C489">
        <v>0</v>
      </c>
      <c r="D489">
        <v>145.18339700000001</v>
      </c>
      <c r="E489">
        <v>-999.04694300000006</v>
      </c>
      <c r="F489">
        <v>111.178653</v>
      </c>
      <c r="G489">
        <v>143.10332500000001</v>
      </c>
      <c r="H489">
        <v>0</v>
      </c>
      <c r="I489">
        <v>0</v>
      </c>
      <c r="J489">
        <v>0</v>
      </c>
      <c r="K489">
        <v>198.266389</v>
      </c>
      <c r="L489">
        <v>360.02898800000003</v>
      </c>
      <c r="M489">
        <v>14.9174676</v>
      </c>
      <c r="N489">
        <v>0</v>
      </c>
      <c r="O489">
        <v>316.73551600000002</v>
      </c>
      <c r="P489">
        <v>0</v>
      </c>
    </row>
    <row r="490" spans="1:16" x14ac:dyDescent="0.25">
      <c r="A490" t="s">
        <v>11</v>
      </c>
      <c r="B490">
        <v>505.73573199999998</v>
      </c>
      <c r="C490">
        <v>0</v>
      </c>
      <c r="D490">
        <v>505.73573199999998</v>
      </c>
      <c r="E490">
        <v>109.533959</v>
      </c>
      <c r="F490">
        <v>76.736314800000002</v>
      </c>
      <c r="G490">
        <v>184.788251</v>
      </c>
      <c r="H490">
        <v>39.357437900000001</v>
      </c>
      <c r="I490">
        <v>37.416128499999999</v>
      </c>
      <c r="J490">
        <v>0</v>
      </c>
      <c r="K490">
        <v>0</v>
      </c>
      <c r="L490">
        <v>0</v>
      </c>
      <c r="M490">
        <v>57.903640299999999</v>
      </c>
      <c r="N490">
        <v>0</v>
      </c>
      <c r="O490">
        <v>0</v>
      </c>
      <c r="P490">
        <v>0</v>
      </c>
    </row>
    <row r="491" spans="1:16" x14ac:dyDescent="0.25">
      <c r="A491" t="s">
        <v>12</v>
      </c>
      <c r="B491">
        <v>15474.204100000001</v>
      </c>
      <c r="C491">
        <v>4179.5533500000001</v>
      </c>
      <c r="D491">
        <v>11294.650799999999</v>
      </c>
      <c r="E491">
        <v>4097.7525599999999</v>
      </c>
      <c r="F491">
        <v>1864.6958099999999</v>
      </c>
      <c r="G491">
        <v>4401.66561</v>
      </c>
      <c r="H491">
        <v>1043.0611899999999</v>
      </c>
      <c r="I491">
        <v>1803.2590499999999</v>
      </c>
      <c r="J491">
        <v>0</v>
      </c>
      <c r="K491">
        <v>184.17270500000001</v>
      </c>
      <c r="L491">
        <v>666.813176</v>
      </c>
      <c r="M491">
        <v>1242.4559099999999</v>
      </c>
      <c r="N491">
        <v>0</v>
      </c>
      <c r="O491">
        <v>170.32811599999999</v>
      </c>
      <c r="P491">
        <v>0</v>
      </c>
    </row>
    <row r="492" spans="1:16" x14ac:dyDescent="0.25">
      <c r="A492" t="s">
        <v>13</v>
      </c>
      <c r="B492">
        <v>5585.99568</v>
      </c>
      <c r="C492">
        <v>0</v>
      </c>
      <c r="D492">
        <v>5585.99568</v>
      </c>
      <c r="E492">
        <v>3737.3855400000002</v>
      </c>
      <c r="F492">
        <v>1386.1773000000001</v>
      </c>
      <c r="G492">
        <v>0</v>
      </c>
      <c r="H492">
        <v>0</v>
      </c>
      <c r="I492">
        <v>0</v>
      </c>
      <c r="J492">
        <v>0</v>
      </c>
      <c r="K492">
        <v>37.2405446</v>
      </c>
      <c r="L492">
        <v>56.796083400000001</v>
      </c>
      <c r="M492">
        <v>333.88566800000001</v>
      </c>
      <c r="N492">
        <v>0</v>
      </c>
      <c r="O492">
        <v>34.510548499999999</v>
      </c>
      <c r="P492">
        <v>0</v>
      </c>
    </row>
    <row r="493" spans="1:16" x14ac:dyDescent="0.25">
      <c r="A493" t="s">
        <v>14</v>
      </c>
      <c r="B493">
        <v>2356.5387000000001</v>
      </c>
      <c r="C493">
        <v>0</v>
      </c>
      <c r="D493">
        <v>2356.5387000000001</v>
      </c>
      <c r="E493">
        <v>731.74388499999998</v>
      </c>
      <c r="F493">
        <v>136.65000900000001</v>
      </c>
      <c r="G493">
        <v>617.30611699999997</v>
      </c>
      <c r="H493">
        <v>27.635708699999999</v>
      </c>
      <c r="I493" s="74">
        <v>1.1920929000000001E-12</v>
      </c>
      <c r="J493">
        <v>0</v>
      </c>
      <c r="K493">
        <v>1.77905936</v>
      </c>
      <c r="L493">
        <v>199.957267</v>
      </c>
      <c r="M493">
        <v>573.023233</v>
      </c>
      <c r="N493">
        <v>0</v>
      </c>
      <c r="O493">
        <v>68.443421200000003</v>
      </c>
      <c r="P493">
        <v>0</v>
      </c>
    </row>
    <row r="494" spans="1:16" x14ac:dyDescent="0.25">
      <c r="A494" t="s">
        <v>314</v>
      </c>
    </row>
    <row r="495" spans="1:16" x14ac:dyDescent="0.25">
      <c r="A495" t="s">
        <v>360</v>
      </c>
      <c r="B495" t="s">
        <v>18</v>
      </c>
      <c r="C495" t="s">
        <v>19</v>
      </c>
      <c r="D495" t="s">
        <v>20</v>
      </c>
      <c r="E495" t="s">
        <v>21</v>
      </c>
      <c r="F495" t="s">
        <v>22</v>
      </c>
      <c r="G495" t="s">
        <v>23</v>
      </c>
      <c r="H495" t="s">
        <v>361</v>
      </c>
      <c r="I495" t="s">
        <v>25</v>
      </c>
      <c r="J495" t="s">
        <v>362</v>
      </c>
      <c r="K495" t="s">
        <v>5</v>
      </c>
      <c r="L495" t="s">
        <v>6</v>
      </c>
      <c r="M495" t="s">
        <v>7</v>
      </c>
      <c r="N495" t="s">
        <v>8</v>
      </c>
      <c r="O495" t="s">
        <v>9</v>
      </c>
      <c r="P495" t="s">
        <v>363</v>
      </c>
    </row>
    <row r="496" spans="1:16" x14ac:dyDescent="0.25">
      <c r="A496" t="s">
        <v>364</v>
      </c>
      <c r="B496" t="s">
        <v>370</v>
      </c>
      <c r="C496" t="s">
        <v>370</v>
      </c>
      <c r="D496" t="s">
        <v>370</v>
      </c>
      <c r="E496" t="s">
        <v>370</v>
      </c>
      <c r="F496" t="s">
        <v>370</v>
      </c>
      <c r="G496" t="s">
        <v>370</v>
      </c>
      <c r="H496" t="s">
        <v>370</v>
      </c>
      <c r="I496" t="s">
        <v>370</v>
      </c>
      <c r="J496" t="s">
        <v>370</v>
      </c>
      <c r="K496" t="s">
        <v>370</v>
      </c>
      <c r="L496" t="s">
        <v>370</v>
      </c>
      <c r="M496" t="s">
        <v>370</v>
      </c>
      <c r="N496" t="s">
        <v>370</v>
      </c>
      <c r="O496" t="s">
        <v>370</v>
      </c>
      <c r="P496" t="s">
        <v>370</v>
      </c>
    </row>
    <row r="497" spans="1:16" x14ac:dyDescent="0.25">
      <c r="A497" t="s">
        <v>1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</row>
    <row r="498" spans="1:16" x14ac:dyDescent="0.25">
      <c r="A498" t="s">
        <v>2</v>
      </c>
      <c r="B498">
        <v>96.562528599999993</v>
      </c>
      <c r="C498">
        <v>0</v>
      </c>
      <c r="D498">
        <v>96.562528599999993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16.496008199999999</v>
      </c>
      <c r="L498">
        <v>59.725221699999999</v>
      </c>
      <c r="M498">
        <v>0</v>
      </c>
      <c r="N498">
        <v>0</v>
      </c>
      <c r="O498">
        <v>20.341298699999999</v>
      </c>
      <c r="P498">
        <v>0</v>
      </c>
    </row>
    <row r="499" spans="1:16" x14ac:dyDescent="0.25">
      <c r="A499" t="s">
        <v>3</v>
      </c>
      <c r="B499">
        <v>101.903035</v>
      </c>
      <c r="C499">
        <v>0</v>
      </c>
      <c r="D499">
        <v>101.903035</v>
      </c>
      <c r="E499">
        <v>35.948139099999999</v>
      </c>
      <c r="F499">
        <v>0</v>
      </c>
      <c r="G499">
        <v>10.8369178</v>
      </c>
      <c r="H499">
        <v>4.9913092099999998</v>
      </c>
      <c r="I499">
        <v>25.403100299999998</v>
      </c>
      <c r="J499">
        <v>0</v>
      </c>
      <c r="K499">
        <v>4.45838059</v>
      </c>
      <c r="L499">
        <v>16.141951800000001</v>
      </c>
      <c r="M499">
        <v>0</v>
      </c>
      <c r="N499">
        <v>0</v>
      </c>
      <c r="O499">
        <v>4.1232362199999999</v>
      </c>
      <c r="P499">
        <v>0</v>
      </c>
    </row>
    <row r="500" spans="1:16" x14ac:dyDescent="0.25">
      <c r="A500" t="s">
        <v>4</v>
      </c>
      <c r="B500">
        <v>331.92026299999998</v>
      </c>
      <c r="C500">
        <v>0</v>
      </c>
      <c r="D500">
        <v>331.92026299999998</v>
      </c>
      <c r="E500">
        <v>72.989812499999999</v>
      </c>
      <c r="F500">
        <v>51.134545600000003</v>
      </c>
      <c r="G500">
        <v>123.136787</v>
      </c>
      <c r="H500">
        <v>26.226496699999998</v>
      </c>
      <c r="I500">
        <v>24.932872199999998</v>
      </c>
      <c r="J500">
        <v>0</v>
      </c>
      <c r="K500">
        <v>0</v>
      </c>
      <c r="L500">
        <v>0</v>
      </c>
      <c r="M500">
        <v>38.585073399999999</v>
      </c>
      <c r="N500">
        <v>0</v>
      </c>
      <c r="O500">
        <v>-5.0853246700000003</v>
      </c>
      <c r="P500">
        <v>0</v>
      </c>
    </row>
    <row r="501" spans="1:16" x14ac:dyDescent="0.25">
      <c r="A501" t="s">
        <v>5</v>
      </c>
      <c r="B501">
        <v>16.496008199999999</v>
      </c>
      <c r="C501">
        <v>20.9543888</v>
      </c>
      <c r="D501">
        <v>-4.45838059</v>
      </c>
      <c r="E501">
        <v>5.1289309999999997</v>
      </c>
      <c r="F501">
        <v>2.0541268499999998</v>
      </c>
      <c r="G501">
        <v>2.33748259</v>
      </c>
      <c r="H501">
        <v>0.18350330000000001</v>
      </c>
      <c r="I501">
        <v>6.79196445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</row>
    <row r="502" spans="1:16" x14ac:dyDescent="0.25">
      <c r="A502" t="s">
        <v>6</v>
      </c>
      <c r="B502">
        <v>59.725221699999999</v>
      </c>
      <c r="C502">
        <v>75.867173600000001</v>
      </c>
      <c r="D502">
        <v>-16.141951800000001</v>
      </c>
      <c r="E502">
        <v>7.0512632599999998</v>
      </c>
      <c r="F502">
        <v>2.00043858</v>
      </c>
      <c r="G502">
        <v>5.5448890899999999</v>
      </c>
      <c r="H502">
        <v>1.5422746000000001</v>
      </c>
      <c r="I502">
        <v>43.586356199999997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</row>
    <row r="503" spans="1:16" x14ac:dyDescent="0.25">
      <c r="A503" t="s">
        <v>7</v>
      </c>
      <c r="B503">
        <v>95.779423600000001</v>
      </c>
      <c r="C503">
        <v>38.585073399999999</v>
      </c>
      <c r="D503">
        <v>57.194350300000004</v>
      </c>
      <c r="E503">
        <v>74.199581100000003</v>
      </c>
      <c r="F503">
        <v>14.966837</v>
      </c>
      <c r="G503">
        <v>5.7045457099999997</v>
      </c>
      <c r="H503">
        <v>0.90845987699999997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</row>
    <row r="504" spans="1:16" x14ac:dyDescent="0.25">
      <c r="A504" t="s">
        <v>8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</row>
    <row r="505" spans="1:16" x14ac:dyDescent="0.25">
      <c r="A505" t="s">
        <v>9</v>
      </c>
      <c r="B505">
        <v>15.255974</v>
      </c>
      <c r="C505">
        <v>19.379210199999999</v>
      </c>
      <c r="D505">
        <v>-4.1232362199999999</v>
      </c>
      <c r="E505">
        <v>2.8806990799999999</v>
      </c>
      <c r="F505">
        <v>0.81760673500000003</v>
      </c>
      <c r="G505">
        <v>10.7111313</v>
      </c>
      <c r="H505">
        <v>0.72547309800000004</v>
      </c>
      <c r="I505">
        <v>0.12106384100000001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</row>
    <row r="506" spans="1:16" x14ac:dyDescent="0.25">
      <c r="A506" t="s">
        <v>10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</row>
    <row r="507" spans="1:16" x14ac:dyDescent="0.25">
      <c r="A507" t="s">
        <v>11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</row>
    <row r="508" spans="1:16" x14ac:dyDescent="0.25">
      <c r="A508" t="s">
        <v>12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</row>
    <row r="509" spans="1:16" x14ac:dyDescent="0.25">
      <c r="A509" t="s">
        <v>13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</row>
    <row r="510" spans="1:16" x14ac:dyDescent="0.25">
      <c r="A510" t="s">
        <v>14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</row>
    <row r="511" spans="1:16" x14ac:dyDescent="0.25">
      <c r="A511" t="s">
        <v>315</v>
      </c>
    </row>
    <row r="512" spans="1:16" x14ac:dyDescent="0.25">
      <c r="A512" t="s">
        <v>360</v>
      </c>
      <c r="B512" t="s">
        <v>18</v>
      </c>
      <c r="C512" t="s">
        <v>19</v>
      </c>
      <c r="D512" t="s">
        <v>20</v>
      </c>
      <c r="E512" t="s">
        <v>21</v>
      </c>
      <c r="F512" t="s">
        <v>22</v>
      </c>
      <c r="G512" t="s">
        <v>23</v>
      </c>
      <c r="H512" t="s">
        <v>361</v>
      </c>
      <c r="I512" t="s">
        <v>25</v>
      </c>
      <c r="J512" t="s">
        <v>362</v>
      </c>
      <c r="K512" t="s">
        <v>5</v>
      </c>
      <c r="L512" t="s">
        <v>6</v>
      </c>
      <c r="M512" t="s">
        <v>7</v>
      </c>
      <c r="N512" t="s">
        <v>8</v>
      </c>
      <c r="O512" t="s">
        <v>9</v>
      </c>
      <c r="P512" t="s">
        <v>363</v>
      </c>
    </row>
    <row r="513" spans="1:16" x14ac:dyDescent="0.25">
      <c r="A513" t="s">
        <v>364</v>
      </c>
      <c r="B513" t="s">
        <v>365</v>
      </c>
      <c r="C513" t="s">
        <v>365</v>
      </c>
      <c r="D513" t="s">
        <v>365</v>
      </c>
      <c r="E513" t="s">
        <v>365</v>
      </c>
      <c r="F513" t="s">
        <v>365</v>
      </c>
      <c r="G513" t="s">
        <v>365</v>
      </c>
      <c r="H513" t="s">
        <v>365</v>
      </c>
      <c r="I513" t="s">
        <v>365</v>
      </c>
      <c r="J513" t="s">
        <v>365</v>
      </c>
      <c r="K513" t="s">
        <v>365</v>
      </c>
      <c r="L513" t="s">
        <v>365</v>
      </c>
      <c r="M513" t="s">
        <v>365</v>
      </c>
      <c r="N513" t="s">
        <v>365</v>
      </c>
      <c r="O513" t="s">
        <v>365</v>
      </c>
      <c r="P513" t="s">
        <v>365</v>
      </c>
    </row>
    <row r="514" spans="1:16" x14ac:dyDescent="0.25">
      <c r="A514" t="s">
        <v>1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</row>
    <row r="515" spans="1:16" x14ac:dyDescent="0.25">
      <c r="A515" t="s">
        <v>2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</row>
    <row r="516" spans="1:16" x14ac:dyDescent="0.25">
      <c r="A516" t="s">
        <v>3</v>
      </c>
      <c r="B516">
        <v>26336.189399999999</v>
      </c>
      <c r="C516">
        <v>0</v>
      </c>
      <c r="D516">
        <v>26336.189399999999</v>
      </c>
      <c r="E516">
        <v>15931.857599999999</v>
      </c>
      <c r="F516">
        <v>0</v>
      </c>
      <c r="G516">
        <v>6215.9005399999996</v>
      </c>
      <c r="H516">
        <v>0</v>
      </c>
      <c r="I516">
        <v>3926.2105200000001</v>
      </c>
      <c r="J516">
        <v>0</v>
      </c>
      <c r="K516">
        <v>262.22080999999997</v>
      </c>
      <c r="L516">
        <v>0</v>
      </c>
      <c r="M516">
        <v>0</v>
      </c>
      <c r="N516">
        <v>0</v>
      </c>
      <c r="O516">
        <v>0</v>
      </c>
      <c r="P516">
        <v>0</v>
      </c>
    </row>
    <row r="517" spans="1:16" x14ac:dyDescent="0.25">
      <c r="A517" t="s">
        <v>4</v>
      </c>
      <c r="B517">
        <v>29035.4663</v>
      </c>
      <c r="C517">
        <v>0</v>
      </c>
      <c r="D517">
        <v>29035.4663</v>
      </c>
      <c r="E517">
        <v>10263.648999999999</v>
      </c>
      <c r="F517">
        <v>0</v>
      </c>
      <c r="G517">
        <v>15625.6351</v>
      </c>
      <c r="H517">
        <v>0</v>
      </c>
      <c r="I517">
        <v>3146.1821799999998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</row>
    <row r="518" spans="1:16" x14ac:dyDescent="0.25">
      <c r="A518" t="s">
        <v>5</v>
      </c>
      <c r="B518">
        <v>262.22080999999997</v>
      </c>
      <c r="C518">
        <v>262.22080999999997</v>
      </c>
      <c r="D518">
        <v>0</v>
      </c>
      <c r="E518">
        <v>128.847286</v>
      </c>
      <c r="F518">
        <v>0</v>
      </c>
      <c r="G518">
        <v>58.802023900000002</v>
      </c>
      <c r="H518">
        <v>0</v>
      </c>
      <c r="I518">
        <v>74.571500599999993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</row>
    <row r="519" spans="1:16" x14ac:dyDescent="0.25">
      <c r="A519" t="s">
        <v>6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</row>
    <row r="520" spans="1:16" x14ac:dyDescent="0.25">
      <c r="A520" t="s">
        <v>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</row>
    <row r="521" spans="1:16" x14ac:dyDescent="0.25">
      <c r="A521" t="s">
        <v>8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</row>
    <row r="522" spans="1:16" x14ac:dyDescent="0.25">
      <c r="A522" t="s">
        <v>9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</row>
    <row r="523" spans="1:16" x14ac:dyDescent="0.25">
      <c r="A523" t="s">
        <v>10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</row>
    <row r="524" spans="1:16" x14ac:dyDescent="0.25">
      <c r="A524" t="s">
        <v>11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</row>
    <row r="525" spans="1:16" x14ac:dyDescent="0.25">
      <c r="A525" t="s">
        <v>12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</row>
    <row r="526" spans="1:16" x14ac:dyDescent="0.25">
      <c r="A526" t="s">
        <v>13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</row>
    <row r="527" spans="1:16" x14ac:dyDescent="0.25">
      <c r="A527" t="s">
        <v>14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</row>
    <row r="528" spans="1:16" x14ac:dyDescent="0.25">
      <c r="A528" t="s">
        <v>316</v>
      </c>
    </row>
    <row r="529" spans="1:16" x14ac:dyDescent="0.25">
      <c r="A529" t="s">
        <v>360</v>
      </c>
      <c r="B529" t="s">
        <v>366</v>
      </c>
      <c r="C529" t="s">
        <v>367</v>
      </c>
      <c r="D529" t="s">
        <v>368</v>
      </c>
      <c r="E529" t="s">
        <v>21</v>
      </c>
      <c r="F529" t="s">
        <v>22</v>
      </c>
      <c r="G529" t="s">
        <v>23</v>
      </c>
      <c r="H529" t="s">
        <v>361</v>
      </c>
      <c r="I529" t="s">
        <v>25</v>
      </c>
      <c r="J529" t="s">
        <v>362</v>
      </c>
      <c r="K529" t="s">
        <v>5</v>
      </c>
      <c r="L529" t="s">
        <v>6</v>
      </c>
      <c r="M529" t="s">
        <v>7</v>
      </c>
      <c r="N529" t="s">
        <v>8</v>
      </c>
      <c r="O529" t="s">
        <v>9</v>
      </c>
      <c r="P529" t="s">
        <v>363</v>
      </c>
    </row>
    <row r="530" spans="1:16" x14ac:dyDescent="0.25">
      <c r="A530" t="s">
        <v>364</v>
      </c>
      <c r="B530" t="s">
        <v>369</v>
      </c>
      <c r="C530" t="s">
        <v>369</v>
      </c>
      <c r="D530" t="s">
        <v>369</v>
      </c>
      <c r="E530" t="s">
        <v>369</v>
      </c>
      <c r="F530" t="s">
        <v>369</v>
      </c>
      <c r="G530" t="s">
        <v>369</v>
      </c>
      <c r="H530" t="s">
        <v>369</v>
      </c>
      <c r="I530" t="s">
        <v>369</v>
      </c>
      <c r="J530" t="s">
        <v>369</v>
      </c>
      <c r="K530" t="s">
        <v>369</v>
      </c>
      <c r="L530" t="s">
        <v>369</v>
      </c>
      <c r="M530" t="s">
        <v>369</v>
      </c>
      <c r="N530" t="s">
        <v>369</v>
      </c>
      <c r="O530" t="s">
        <v>369</v>
      </c>
      <c r="P530" t="s">
        <v>369</v>
      </c>
    </row>
    <row r="531" spans="1:16" x14ac:dyDescent="0.25">
      <c r="A531" t="s">
        <v>1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</row>
    <row r="532" spans="1:16" x14ac:dyDescent="0.25">
      <c r="A532" t="s">
        <v>2</v>
      </c>
      <c r="B532">
        <v>109.19140400000001</v>
      </c>
      <c r="C532">
        <v>0</v>
      </c>
      <c r="D532">
        <v>109.19140400000001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109.19140400000001</v>
      </c>
      <c r="L532">
        <v>0</v>
      </c>
      <c r="M532">
        <v>0</v>
      </c>
      <c r="N532">
        <v>0</v>
      </c>
      <c r="O532">
        <v>0</v>
      </c>
      <c r="P532">
        <v>0</v>
      </c>
    </row>
    <row r="533" spans="1:16" x14ac:dyDescent="0.25">
      <c r="A533" t="s">
        <v>3</v>
      </c>
      <c r="B533">
        <v>8016.9908699999996</v>
      </c>
      <c r="C533">
        <v>0</v>
      </c>
      <c r="D533">
        <v>8016.9908699999996</v>
      </c>
      <c r="E533">
        <v>5115.9187099999999</v>
      </c>
      <c r="F533">
        <v>0</v>
      </c>
      <c r="G533">
        <v>1971.1320800000001</v>
      </c>
      <c r="H533">
        <v>0</v>
      </c>
      <c r="I533">
        <v>868.46659399999999</v>
      </c>
      <c r="J533">
        <v>0</v>
      </c>
      <c r="K533">
        <v>61.473485400000001</v>
      </c>
      <c r="L533">
        <v>0</v>
      </c>
      <c r="M533">
        <v>0</v>
      </c>
      <c r="N533">
        <v>0</v>
      </c>
      <c r="O533">
        <v>0</v>
      </c>
      <c r="P533" s="74">
        <v>-1.05719082E-11</v>
      </c>
    </row>
    <row r="534" spans="1:16" x14ac:dyDescent="0.25">
      <c r="A534" t="s">
        <v>4</v>
      </c>
      <c r="B534">
        <v>6820.9857899999997</v>
      </c>
      <c r="C534">
        <v>0</v>
      </c>
      <c r="D534">
        <v>6820.9857899999997</v>
      </c>
      <c r="E534">
        <v>3379.0539399999998</v>
      </c>
      <c r="F534">
        <v>0</v>
      </c>
      <c r="G534">
        <v>3109.4935500000001</v>
      </c>
      <c r="H534">
        <v>0</v>
      </c>
      <c r="I534">
        <v>332.43829599999998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 s="74">
        <v>-1.8190963600000001E-11</v>
      </c>
    </row>
    <row r="535" spans="1:16" x14ac:dyDescent="0.25">
      <c r="A535" t="s">
        <v>5</v>
      </c>
      <c r="B535">
        <v>445.03889600000002</v>
      </c>
      <c r="C535">
        <v>454.90302300000002</v>
      </c>
      <c r="D535">
        <v>-9.8641263099999996</v>
      </c>
      <c r="E535">
        <v>249.186578</v>
      </c>
      <c r="F535">
        <v>0</v>
      </c>
      <c r="G535">
        <v>131.969516</v>
      </c>
      <c r="H535">
        <v>0</v>
      </c>
      <c r="I535">
        <v>63.882801999999998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</row>
    <row r="536" spans="1:16" x14ac:dyDescent="0.25">
      <c r="A536" t="s">
        <v>6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</row>
    <row r="537" spans="1:16" x14ac:dyDescent="0.25">
      <c r="A537" t="s">
        <v>7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</row>
    <row r="538" spans="1:16" x14ac:dyDescent="0.25">
      <c r="A538" t="s">
        <v>8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</row>
    <row r="539" spans="1:16" x14ac:dyDescent="0.25">
      <c r="A539" t="s">
        <v>9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</row>
    <row r="540" spans="1:16" x14ac:dyDescent="0.25">
      <c r="A540" t="s">
        <v>10</v>
      </c>
      <c r="B540">
        <v>228.424845</v>
      </c>
      <c r="C540">
        <v>0</v>
      </c>
      <c r="D540">
        <v>228.424845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228.424845</v>
      </c>
      <c r="L540">
        <v>0</v>
      </c>
      <c r="M540">
        <v>0</v>
      </c>
      <c r="N540">
        <v>0</v>
      </c>
      <c r="O540">
        <v>0</v>
      </c>
      <c r="P540">
        <v>0</v>
      </c>
    </row>
    <row r="541" spans="1:16" x14ac:dyDescent="0.25">
      <c r="A541" t="s">
        <v>11</v>
      </c>
      <c r="B541">
        <v>107.469193</v>
      </c>
      <c r="C541">
        <v>0</v>
      </c>
      <c r="D541">
        <v>107.469193</v>
      </c>
      <c r="E541">
        <v>37.988922600000002</v>
      </c>
      <c r="F541">
        <v>0</v>
      </c>
      <c r="G541">
        <v>57.835282599999999</v>
      </c>
      <c r="H541">
        <v>0</v>
      </c>
      <c r="I541">
        <v>11.644988100000001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</row>
    <row r="542" spans="1:16" x14ac:dyDescent="0.25">
      <c r="A542" t="s">
        <v>12</v>
      </c>
      <c r="B542">
        <v>5484.8640699999996</v>
      </c>
      <c r="C542" s="74">
        <v>-2.87628718E-11</v>
      </c>
      <c r="D542">
        <v>5484.8640699999996</v>
      </c>
      <c r="E542">
        <v>3139.8345300000001</v>
      </c>
      <c r="F542">
        <v>0</v>
      </c>
      <c r="G542">
        <v>1492.51161</v>
      </c>
      <c r="H542">
        <v>0</v>
      </c>
      <c r="I542">
        <v>829.42220099999997</v>
      </c>
      <c r="J542">
        <v>0</v>
      </c>
      <c r="K542">
        <v>23.095728000000001</v>
      </c>
      <c r="L542">
        <v>0</v>
      </c>
      <c r="M542">
        <v>0</v>
      </c>
      <c r="N542">
        <v>0</v>
      </c>
      <c r="O542">
        <v>0</v>
      </c>
      <c r="P542">
        <v>0</v>
      </c>
    </row>
    <row r="543" spans="1:16" x14ac:dyDescent="0.25">
      <c r="A543" t="s">
        <v>13</v>
      </c>
      <c r="B543">
        <v>2297.8942699999998</v>
      </c>
      <c r="C543">
        <v>0</v>
      </c>
      <c r="D543">
        <v>2297.8942699999998</v>
      </c>
      <c r="E543">
        <v>2265.1767100000002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32.717560599999999</v>
      </c>
      <c r="L543">
        <v>0</v>
      </c>
      <c r="M543">
        <v>0</v>
      </c>
      <c r="N543">
        <v>0</v>
      </c>
      <c r="O543">
        <v>0</v>
      </c>
      <c r="P543">
        <v>0</v>
      </c>
    </row>
    <row r="544" spans="1:16" x14ac:dyDescent="0.25">
      <c r="A544" t="s">
        <v>14</v>
      </c>
      <c r="B544" s="74">
        <v>-6.4067840600000005E-11</v>
      </c>
      <c r="C544">
        <v>0</v>
      </c>
      <c r="D544" s="74">
        <v>-6.4067840600000005E-11</v>
      </c>
      <c r="E544" s="74">
        <v>-2.4967193600000001E-11</v>
      </c>
      <c r="F544">
        <v>0</v>
      </c>
      <c r="G544" s="74">
        <v>-3.8146972699999999E-11</v>
      </c>
      <c r="H544">
        <v>0</v>
      </c>
      <c r="I544" s="74">
        <v>-9.5367431600000007E-13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25">
      <c r="A545" t="s">
        <v>317</v>
      </c>
    </row>
    <row r="546" spans="1:16" x14ac:dyDescent="0.25">
      <c r="A546" t="s">
        <v>360</v>
      </c>
      <c r="B546" t="s">
        <v>18</v>
      </c>
      <c r="C546" t="s">
        <v>19</v>
      </c>
      <c r="D546" t="s">
        <v>20</v>
      </c>
      <c r="E546" t="s">
        <v>21</v>
      </c>
      <c r="F546" t="s">
        <v>22</v>
      </c>
      <c r="G546" t="s">
        <v>23</v>
      </c>
      <c r="H546" t="s">
        <v>361</v>
      </c>
      <c r="I546" t="s">
        <v>25</v>
      </c>
      <c r="J546" t="s">
        <v>362</v>
      </c>
      <c r="K546" t="s">
        <v>5</v>
      </c>
      <c r="L546" t="s">
        <v>6</v>
      </c>
      <c r="M546" t="s">
        <v>7</v>
      </c>
      <c r="N546" t="s">
        <v>8</v>
      </c>
      <c r="O546" t="s">
        <v>9</v>
      </c>
      <c r="P546" t="s">
        <v>363</v>
      </c>
    </row>
    <row r="547" spans="1:16" x14ac:dyDescent="0.25">
      <c r="A547" t="s">
        <v>364</v>
      </c>
      <c r="B547" t="s">
        <v>370</v>
      </c>
      <c r="C547" t="s">
        <v>370</v>
      </c>
      <c r="D547" t="s">
        <v>370</v>
      </c>
      <c r="E547" t="s">
        <v>370</v>
      </c>
      <c r="F547" t="s">
        <v>370</v>
      </c>
      <c r="G547" t="s">
        <v>370</v>
      </c>
      <c r="H547" t="s">
        <v>370</v>
      </c>
      <c r="I547" t="s">
        <v>370</v>
      </c>
      <c r="J547" t="s">
        <v>370</v>
      </c>
      <c r="K547" t="s">
        <v>370</v>
      </c>
      <c r="L547" t="s">
        <v>370</v>
      </c>
      <c r="M547" t="s">
        <v>370</v>
      </c>
      <c r="N547" t="s">
        <v>370</v>
      </c>
      <c r="O547" t="s">
        <v>370</v>
      </c>
      <c r="P547" t="s">
        <v>370</v>
      </c>
    </row>
    <row r="548" spans="1:16" x14ac:dyDescent="0.25">
      <c r="A548" t="s">
        <v>1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</row>
    <row r="549" spans="1:16" x14ac:dyDescent="0.25">
      <c r="A549" t="s">
        <v>2</v>
      </c>
      <c r="B549">
        <v>19.1681448</v>
      </c>
      <c r="C549">
        <v>0</v>
      </c>
      <c r="D549">
        <v>19.1681448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19.1681448</v>
      </c>
      <c r="L549">
        <v>0</v>
      </c>
      <c r="M549">
        <v>0</v>
      </c>
      <c r="N549">
        <v>0</v>
      </c>
      <c r="O549">
        <v>0</v>
      </c>
      <c r="P549">
        <v>0</v>
      </c>
    </row>
    <row r="550" spans="1:16" x14ac:dyDescent="0.25">
      <c r="A550" t="s">
        <v>3</v>
      </c>
      <c r="B550">
        <v>520.31235700000002</v>
      </c>
      <c r="C550">
        <v>0</v>
      </c>
      <c r="D550">
        <v>520.31235700000002</v>
      </c>
      <c r="E550">
        <v>314.75860899999998</v>
      </c>
      <c r="F550">
        <v>0</v>
      </c>
      <c r="G550">
        <v>122.804777</v>
      </c>
      <c r="H550">
        <v>0</v>
      </c>
      <c r="I550">
        <v>77.568391300000002</v>
      </c>
      <c r="J550">
        <v>0</v>
      </c>
      <c r="K550">
        <v>5.1805796800000001</v>
      </c>
      <c r="L550">
        <v>0</v>
      </c>
      <c r="M550">
        <v>0</v>
      </c>
      <c r="N550">
        <v>0</v>
      </c>
      <c r="O550">
        <v>0</v>
      </c>
      <c r="P550">
        <v>0</v>
      </c>
    </row>
    <row r="551" spans="1:16" x14ac:dyDescent="0.25">
      <c r="A551" t="s">
        <v>4</v>
      </c>
      <c r="B551">
        <v>230.100334</v>
      </c>
      <c r="C551">
        <v>0</v>
      </c>
      <c r="D551">
        <v>230.100334</v>
      </c>
      <c r="E551">
        <v>81.337390900000003</v>
      </c>
      <c r="F551">
        <v>0</v>
      </c>
      <c r="G551">
        <v>123.830071</v>
      </c>
      <c r="H551">
        <v>0</v>
      </c>
      <c r="I551">
        <v>24.932872199999998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</row>
    <row r="552" spans="1:16" x14ac:dyDescent="0.25">
      <c r="A552" t="s">
        <v>5</v>
      </c>
      <c r="B552">
        <v>19.1681448</v>
      </c>
      <c r="C552">
        <v>24.348724499999999</v>
      </c>
      <c r="D552">
        <v>-5.1805796800000001</v>
      </c>
      <c r="E552">
        <v>9.4186400599999995</v>
      </c>
      <c r="F552">
        <v>0</v>
      </c>
      <c r="G552">
        <v>4.2983839000000001</v>
      </c>
      <c r="H552">
        <v>0</v>
      </c>
      <c r="I552">
        <v>5.4511208399999997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</row>
    <row r="553" spans="1:16" x14ac:dyDescent="0.25">
      <c r="A553" t="s">
        <v>6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</row>
    <row r="554" spans="1:16" x14ac:dyDescent="0.25">
      <c r="A554" t="s">
        <v>7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</row>
    <row r="555" spans="1:16" x14ac:dyDescent="0.25">
      <c r="A555" t="s">
        <v>8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</row>
    <row r="556" spans="1:16" x14ac:dyDescent="0.25">
      <c r="A556" t="s">
        <v>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</row>
    <row r="557" spans="1:16" x14ac:dyDescent="0.25">
      <c r="A557" t="s">
        <v>10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</row>
    <row r="558" spans="1:16" x14ac:dyDescent="0.25">
      <c r="A558" t="s">
        <v>11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</row>
    <row r="559" spans="1:16" x14ac:dyDescent="0.25">
      <c r="A559" t="s">
        <v>12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</row>
    <row r="560" spans="1:16" x14ac:dyDescent="0.25">
      <c r="A560" t="s">
        <v>13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</row>
    <row r="561" spans="1:16" x14ac:dyDescent="0.25">
      <c r="A561" t="s">
        <v>14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</row>
    <row r="562" spans="1:16" x14ac:dyDescent="0.25">
      <c r="A562" t="s">
        <v>318</v>
      </c>
    </row>
    <row r="563" spans="1:16" x14ac:dyDescent="0.25">
      <c r="A563" t="s">
        <v>360</v>
      </c>
      <c r="B563" t="s">
        <v>18</v>
      </c>
      <c r="C563" t="s">
        <v>19</v>
      </c>
      <c r="D563" t="s">
        <v>20</v>
      </c>
      <c r="E563" t="s">
        <v>21</v>
      </c>
      <c r="F563" t="s">
        <v>22</v>
      </c>
      <c r="G563" t="s">
        <v>23</v>
      </c>
      <c r="H563" t="s">
        <v>361</v>
      </c>
      <c r="I563" t="s">
        <v>25</v>
      </c>
      <c r="J563" t="s">
        <v>362</v>
      </c>
      <c r="K563" t="s">
        <v>5</v>
      </c>
      <c r="L563" t="s">
        <v>6</v>
      </c>
      <c r="M563" t="s">
        <v>7</v>
      </c>
      <c r="N563" t="s">
        <v>8</v>
      </c>
      <c r="O563" t="s">
        <v>9</v>
      </c>
      <c r="P563" t="s">
        <v>363</v>
      </c>
    </row>
    <row r="564" spans="1:16" x14ac:dyDescent="0.25">
      <c r="A564" t="s">
        <v>364</v>
      </c>
      <c r="B564" t="s">
        <v>365</v>
      </c>
      <c r="C564" t="s">
        <v>365</v>
      </c>
      <c r="D564" t="s">
        <v>365</v>
      </c>
      <c r="E564" t="s">
        <v>365</v>
      </c>
      <c r="F564" t="s">
        <v>365</v>
      </c>
      <c r="G564" t="s">
        <v>365</v>
      </c>
      <c r="H564" t="s">
        <v>365</v>
      </c>
      <c r="I564" t="s">
        <v>365</v>
      </c>
      <c r="J564" t="s">
        <v>365</v>
      </c>
      <c r="K564" t="s">
        <v>365</v>
      </c>
      <c r="L564" t="s">
        <v>365</v>
      </c>
      <c r="M564" t="s">
        <v>365</v>
      </c>
      <c r="N564" t="s">
        <v>365</v>
      </c>
      <c r="O564" t="s">
        <v>365</v>
      </c>
      <c r="P564" t="s">
        <v>365</v>
      </c>
    </row>
    <row r="565" spans="1:16" x14ac:dyDescent="0.25">
      <c r="A565" t="s">
        <v>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</row>
    <row r="566" spans="1:16" x14ac:dyDescent="0.25">
      <c r="A566" t="s">
        <v>2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</row>
    <row r="567" spans="1:16" x14ac:dyDescent="0.25">
      <c r="A567" t="s">
        <v>3</v>
      </c>
      <c r="B567">
        <v>18795.587800000001</v>
      </c>
      <c r="C567">
        <v>0</v>
      </c>
      <c r="D567">
        <v>18795.587800000001</v>
      </c>
      <c r="E567">
        <v>12236.122100000001</v>
      </c>
      <c r="F567">
        <v>254.64516</v>
      </c>
      <c r="G567">
        <v>2659.6857599999998</v>
      </c>
      <c r="H567">
        <v>55.951300699999997</v>
      </c>
      <c r="I567">
        <v>2416.0301800000002</v>
      </c>
      <c r="J567">
        <v>0</v>
      </c>
      <c r="K567">
        <v>262.73902099999998</v>
      </c>
      <c r="L567">
        <v>488.68324200000001</v>
      </c>
      <c r="M567">
        <v>0</v>
      </c>
      <c r="N567">
        <v>0</v>
      </c>
      <c r="O567">
        <v>421.73097300000001</v>
      </c>
      <c r="P567">
        <v>0</v>
      </c>
    </row>
    <row r="568" spans="1:16" x14ac:dyDescent="0.25">
      <c r="A568" t="s">
        <v>4</v>
      </c>
      <c r="B568">
        <v>13698.937099999999</v>
      </c>
      <c r="C568">
        <v>0</v>
      </c>
      <c r="D568">
        <v>13698.937099999999</v>
      </c>
      <c r="E568">
        <v>4506.7850399999998</v>
      </c>
      <c r="F568">
        <v>894.75201700000002</v>
      </c>
      <c r="G568">
        <v>7036.6932699999998</v>
      </c>
      <c r="H568">
        <v>223.60258999999999</v>
      </c>
      <c r="I568">
        <v>1427.7532200000001</v>
      </c>
      <c r="J568">
        <v>0</v>
      </c>
      <c r="K568">
        <v>0</v>
      </c>
      <c r="L568">
        <v>0</v>
      </c>
      <c r="M568">
        <v>197.79886400000001</v>
      </c>
      <c r="N568">
        <v>0</v>
      </c>
      <c r="O568">
        <v>-588.44788700000004</v>
      </c>
      <c r="P568">
        <v>0</v>
      </c>
    </row>
    <row r="569" spans="1:16" x14ac:dyDescent="0.25">
      <c r="A569" t="s">
        <v>5</v>
      </c>
      <c r="B569">
        <v>262.73902099999998</v>
      </c>
      <c r="C569">
        <v>262.73902099999998</v>
      </c>
      <c r="D569" s="74">
        <v>5.68434189E-14</v>
      </c>
      <c r="E569">
        <v>119.504265</v>
      </c>
      <c r="F569">
        <v>18.4021589</v>
      </c>
      <c r="G569">
        <v>50.344370900000001</v>
      </c>
      <c r="H569">
        <v>0.82100336799999996</v>
      </c>
      <c r="I569">
        <v>73.667222300000006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</row>
    <row r="570" spans="1:16" x14ac:dyDescent="0.25">
      <c r="A570" t="s">
        <v>6</v>
      </c>
      <c r="B570">
        <v>488.68324200000001</v>
      </c>
      <c r="C570">
        <v>488.68324200000001</v>
      </c>
      <c r="D570">
        <v>0</v>
      </c>
      <c r="E570">
        <v>30.119666299999999</v>
      </c>
      <c r="F570">
        <v>0.59471091099999995</v>
      </c>
      <c r="G570">
        <v>91.119374300000004</v>
      </c>
      <c r="H570">
        <v>0.34779323600000001</v>
      </c>
      <c r="I570">
        <v>366.50169699999998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</row>
    <row r="571" spans="1:16" x14ac:dyDescent="0.25">
      <c r="A571" t="s">
        <v>7</v>
      </c>
      <c r="B571">
        <v>197.79886400000001</v>
      </c>
      <c r="C571">
        <v>197.79886400000001</v>
      </c>
      <c r="D571" s="74">
        <v>-2.8421709399999999E-14</v>
      </c>
      <c r="E571">
        <v>1.27863766</v>
      </c>
      <c r="F571">
        <v>87.218976400000003</v>
      </c>
      <c r="G571">
        <v>109.30125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</row>
    <row r="572" spans="1:16" x14ac:dyDescent="0.25">
      <c r="A572" t="s">
        <v>8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</row>
    <row r="573" spans="1:16" x14ac:dyDescent="0.25">
      <c r="A573" t="s">
        <v>9</v>
      </c>
      <c r="B573">
        <v>-166.716915</v>
      </c>
      <c r="C573">
        <v>-166.716915</v>
      </c>
      <c r="D573">
        <v>0</v>
      </c>
      <c r="E573">
        <v>-38.831023999999999</v>
      </c>
      <c r="F573">
        <v>-0.90095401200000003</v>
      </c>
      <c r="G573">
        <v>-111.77536000000001</v>
      </c>
      <c r="H573">
        <v>-0.77490185700000003</v>
      </c>
      <c r="I573">
        <v>-14.434674899999999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</row>
    <row r="574" spans="1:16" x14ac:dyDescent="0.25">
      <c r="A574" t="s">
        <v>10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</row>
    <row r="575" spans="1:16" x14ac:dyDescent="0.25">
      <c r="A575" t="s">
        <v>11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</row>
    <row r="576" spans="1:16" x14ac:dyDescent="0.25">
      <c r="A576" t="s">
        <v>12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</row>
    <row r="577" spans="1:16" x14ac:dyDescent="0.25">
      <c r="A577" t="s">
        <v>13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</row>
    <row r="578" spans="1:16" x14ac:dyDescent="0.25">
      <c r="A578" t="s">
        <v>14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</row>
    <row r="579" spans="1:16" x14ac:dyDescent="0.25">
      <c r="A579" t="s">
        <v>319</v>
      </c>
    </row>
    <row r="580" spans="1:16" x14ac:dyDescent="0.25">
      <c r="A580" t="s">
        <v>360</v>
      </c>
      <c r="B580" t="s">
        <v>366</v>
      </c>
      <c r="C580" t="s">
        <v>367</v>
      </c>
      <c r="D580" t="s">
        <v>368</v>
      </c>
      <c r="E580" t="s">
        <v>21</v>
      </c>
      <c r="F580" t="s">
        <v>22</v>
      </c>
      <c r="G580" t="s">
        <v>23</v>
      </c>
      <c r="H580" t="s">
        <v>361</v>
      </c>
      <c r="I580" t="s">
        <v>25</v>
      </c>
      <c r="J580" t="s">
        <v>362</v>
      </c>
      <c r="K580" t="s">
        <v>5</v>
      </c>
      <c r="L580" t="s">
        <v>6</v>
      </c>
      <c r="M580" t="s">
        <v>7</v>
      </c>
      <c r="N580" t="s">
        <v>8</v>
      </c>
      <c r="O580" t="s">
        <v>9</v>
      </c>
      <c r="P580" t="s">
        <v>363</v>
      </c>
    </row>
    <row r="581" spans="1:16" x14ac:dyDescent="0.25">
      <c r="A581" t="s">
        <v>364</v>
      </c>
      <c r="B581" t="s">
        <v>369</v>
      </c>
      <c r="C581" t="s">
        <v>369</v>
      </c>
      <c r="D581" t="s">
        <v>369</v>
      </c>
      <c r="E581" t="s">
        <v>369</v>
      </c>
      <c r="F581" t="s">
        <v>369</v>
      </c>
      <c r="G581" t="s">
        <v>369</v>
      </c>
      <c r="H581" t="s">
        <v>369</v>
      </c>
      <c r="I581" t="s">
        <v>369</v>
      </c>
      <c r="J581" t="s">
        <v>369</v>
      </c>
      <c r="K581" t="s">
        <v>369</v>
      </c>
      <c r="L581" t="s">
        <v>369</v>
      </c>
      <c r="M581" t="s">
        <v>369</v>
      </c>
      <c r="N581" t="s">
        <v>369</v>
      </c>
      <c r="O581" t="s">
        <v>369</v>
      </c>
      <c r="P581" t="s">
        <v>369</v>
      </c>
    </row>
    <row r="582" spans="1:16" x14ac:dyDescent="0.25">
      <c r="A582" t="s">
        <v>1</v>
      </c>
      <c r="B582">
        <v>2050.4335999999998</v>
      </c>
      <c r="C582">
        <v>0</v>
      </c>
      <c r="D582">
        <v>2050.4335999999998</v>
      </c>
      <c r="E582">
        <v>897.65401599999996</v>
      </c>
      <c r="F582">
        <v>0</v>
      </c>
      <c r="G582">
        <v>241.503998</v>
      </c>
      <c r="H582">
        <v>0</v>
      </c>
      <c r="I582">
        <v>0</v>
      </c>
      <c r="J582">
        <v>0</v>
      </c>
      <c r="K582">
        <v>0</v>
      </c>
      <c r="L582">
        <v>347.30952300000001</v>
      </c>
      <c r="M582">
        <v>216.827179</v>
      </c>
      <c r="N582">
        <v>0</v>
      </c>
      <c r="O582">
        <v>347.13888900000001</v>
      </c>
      <c r="P582">
        <v>0</v>
      </c>
    </row>
    <row r="583" spans="1:16" x14ac:dyDescent="0.25">
      <c r="A583" t="s">
        <v>2</v>
      </c>
      <c r="B583">
        <v>565.71403999999995</v>
      </c>
      <c r="C583">
        <v>0</v>
      </c>
      <c r="D583">
        <v>565.71403999999995</v>
      </c>
      <c r="E583">
        <v>0</v>
      </c>
      <c r="F583">
        <v>179.490251</v>
      </c>
      <c r="G583">
        <v>70.224254999999999</v>
      </c>
      <c r="H583">
        <v>0</v>
      </c>
      <c r="I583">
        <v>0</v>
      </c>
      <c r="J583">
        <v>0</v>
      </c>
      <c r="K583">
        <v>210.66590199999999</v>
      </c>
      <c r="L583">
        <v>3.8869220799999998E-3</v>
      </c>
      <c r="M583">
        <v>0</v>
      </c>
      <c r="N583">
        <v>0</v>
      </c>
      <c r="O583">
        <v>105.329746</v>
      </c>
      <c r="P583">
        <v>0</v>
      </c>
    </row>
    <row r="584" spans="1:16" x14ac:dyDescent="0.25">
      <c r="A584" t="s">
        <v>3</v>
      </c>
      <c r="B584">
        <v>6438.7445100000004</v>
      </c>
      <c r="C584">
        <v>0</v>
      </c>
      <c r="D584">
        <v>6438.7445100000004</v>
      </c>
      <c r="E584">
        <v>3843.7289099999998</v>
      </c>
      <c r="F584">
        <v>99.626952200000005</v>
      </c>
      <c r="G584">
        <v>854.61282200000005</v>
      </c>
      <c r="H584">
        <v>28.092877300000001</v>
      </c>
      <c r="I584">
        <v>470.37041599999998</v>
      </c>
      <c r="J584">
        <v>0</v>
      </c>
      <c r="K584">
        <v>54.629800899999999</v>
      </c>
      <c r="L584">
        <v>101.609073</v>
      </c>
      <c r="M584">
        <v>0</v>
      </c>
      <c r="N584">
        <v>0</v>
      </c>
      <c r="O584">
        <v>87.688075499999997</v>
      </c>
      <c r="P584">
        <v>898.38558699999999</v>
      </c>
    </row>
    <row r="585" spans="1:16" x14ac:dyDescent="0.25">
      <c r="A585" t="s">
        <v>4</v>
      </c>
      <c r="B585">
        <v>8293.9117299999998</v>
      </c>
      <c r="C585">
        <v>0</v>
      </c>
      <c r="D585">
        <v>8293.9117299999998</v>
      </c>
      <c r="E585">
        <v>3497.5574200000001</v>
      </c>
      <c r="F585">
        <v>555.83802600000001</v>
      </c>
      <c r="G585">
        <v>3299.9714800000002</v>
      </c>
      <c r="H585">
        <v>104.457497</v>
      </c>
      <c r="I585">
        <v>436.325264</v>
      </c>
      <c r="J585">
        <v>0</v>
      </c>
      <c r="K585">
        <v>0</v>
      </c>
      <c r="L585">
        <v>0</v>
      </c>
      <c r="M585">
        <v>82.415822500000004</v>
      </c>
      <c r="N585">
        <v>0</v>
      </c>
      <c r="O585">
        <v>-179.83127300000001</v>
      </c>
      <c r="P585">
        <v>497.17749099999997</v>
      </c>
    </row>
    <row r="586" spans="1:16" x14ac:dyDescent="0.25">
      <c r="A586" t="s">
        <v>5</v>
      </c>
      <c r="B586">
        <v>657.18968600000005</v>
      </c>
      <c r="C586">
        <v>607.24543200000005</v>
      </c>
      <c r="D586">
        <v>49.9442545</v>
      </c>
      <c r="E586">
        <v>327.65530899999999</v>
      </c>
      <c r="F586">
        <v>52.526325900000003</v>
      </c>
      <c r="G586">
        <v>156.39672300000001</v>
      </c>
      <c r="H586">
        <v>4.2992779900000002</v>
      </c>
      <c r="I586">
        <v>116.31205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</row>
    <row r="587" spans="1:16" x14ac:dyDescent="0.25">
      <c r="A587" t="s">
        <v>6</v>
      </c>
      <c r="B587">
        <v>939.82900299999994</v>
      </c>
      <c r="C587">
        <v>888.79244500000004</v>
      </c>
      <c r="D587">
        <v>51.036557600000002</v>
      </c>
      <c r="E587">
        <v>85.697773499999997</v>
      </c>
      <c r="F587">
        <v>2.3605002399999999</v>
      </c>
      <c r="G587">
        <v>271.27751499999999</v>
      </c>
      <c r="H587">
        <v>1.8292908400000001</v>
      </c>
      <c r="I587">
        <v>578.66392299999995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</row>
    <row r="588" spans="1:16" x14ac:dyDescent="0.25">
      <c r="A588" t="s">
        <v>7</v>
      </c>
      <c r="B588">
        <v>547.11876400000006</v>
      </c>
      <c r="C588">
        <v>412.70573400000001</v>
      </c>
      <c r="D588">
        <v>134.41302999999999</v>
      </c>
      <c r="E588">
        <v>3.7709580699999998</v>
      </c>
      <c r="F588">
        <v>270.83884799999998</v>
      </c>
      <c r="G588">
        <v>272.50895700000001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25">
      <c r="A589" t="s">
        <v>8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</row>
    <row r="590" spans="1:16" x14ac:dyDescent="0.25">
      <c r="A590" t="s">
        <v>9</v>
      </c>
      <c r="B590">
        <v>1237.30692</v>
      </c>
      <c r="C590">
        <v>1087.5581299999999</v>
      </c>
      <c r="D590">
        <v>149.74878699999999</v>
      </c>
      <c r="E590">
        <v>279.11596600000001</v>
      </c>
      <c r="F590">
        <v>8.8603326899999999</v>
      </c>
      <c r="G590">
        <v>880.96054300000003</v>
      </c>
      <c r="H590">
        <v>10.718226100000001</v>
      </c>
      <c r="I590">
        <v>57.651851299999997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</row>
    <row r="591" spans="1:16" x14ac:dyDescent="0.25">
      <c r="A591" t="s">
        <v>10</v>
      </c>
      <c r="B591">
        <v>904.983296</v>
      </c>
      <c r="C591">
        <v>0</v>
      </c>
      <c r="D591">
        <v>904.983296</v>
      </c>
      <c r="E591">
        <v>-1.0297499999999999</v>
      </c>
      <c r="F591">
        <v>48.067995199999999</v>
      </c>
      <c r="G591">
        <v>39.039023700000001</v>
      </c>
      <c r="H591">
        <v>0</v>
      </c>
      <c r="I591">
        <v>0</v>
      </c>
      <c r="J591">
        <v>0</v>
      </c>
      <c r="K591">
        <v>212.55924200000001</v>
      </c>
      <c r="L591">
        <v>156.16920200000001</v>
      </c>
      <c r="M591">
        <v>2.4569907799999999</v>
      </c>
      <c r="N591">
        <v>0</v>
      </c>
      <c r="O591">
        <v>447.72059200000001</v>
      </c>
      <c r="P591">
        <v>0</v>
      </c>
    </row>
    <row r="592" spans="1:16" x14ac:dyDescent="0.25">
      <c r="A592" t="s">
        <v>11</v>
      </c>
      <c r="B592">
        <v>52.882007299999998</v>
      </c>
      <c r="C592">
        <v>0</v>
      </c>
      <c r="D592">
        <v>52.882007299999998</v>
      </c>
      <c r="E592">
        <v>16.680997900000001</v>
      </c>
      <c r="F592">
        <v>3.3117524700000001</v>
      </c>
      <c r="G592">
        <v>26.044966599999999</v>
      </c>
      <c r="H592">
        <v>0.82762197500000001</v>
      </c>
      <c r="I592">
        <v>5.2845539099999996</v>
      </c>
      <c r="J592">
        <v>0</v>
      </c>
      <c r="K592">
        <v>0</v>
      </c>
      <c r="L592">
        <v>0</v>
      </c>
      <c r="M592">
        <v>0.73211444699999995</v>
      </c>
      <c r="N592">
        <v>0</v>
      </c>
      <c r="O592">
        <v>0</v>
      </c>
      <c r="P592">
        <v>0</v>
      </c>
    </row>
    <row r="593" spans="1:16" x14ac:dyDescent="0.25">
      <c r="A593" t="s">
        <v>12</v>
      </c>
      <c r="B593">
        <v>12591.4566</v>
      </c>
      <c r="C593">
        <v>1395.5630799999999</v>
      </c>
      <c r="D593">
        <v>11195.8935</v>
      </c>
      <c r="E593">
        <v>6441.7848000000004</v>
      </c>
      <c r="F593">
        <v>564.38940400000001</v>
      </c>
      <c r="G593">
        <v>3598.6375400000002</v>
      </c>
      <c r="H593">
        <v>128.47230099999999</v>
      </c>
      <c r="I593">
        <v>1386.4416900000001</v>
      </c>
      <c r="J593">
        <v>0</v>
      </c>
      <c r="K593">
        <v>94.752522499999998</v>
      </c>
      <c r="L593">
        <v>176.235604</v>
      </c>
      <c r="M593">
        <v>48.652384400000003</v>
      </c>
      <c r="N593">
        <v>0</v>
      </c>
      <c r="O593">
        <v>152.09036499999999</v>
      </c>
      <c r="P593">
        <v>0</v>
      </c>
    </row>
    <row r="594" spans="1:16" x14ac:dyDescent="0.25">
      <c r="A594" t="s">
        <v>13</v>
      </c>
      <c r="B594">
        <v>3648.4814500000002</v>
      </c>
      <c r="C594">
        <v>0</v>
      </c>
      <c r="D594">
        <v>3648.4814500000002</v>
      </c>
      <c r="E594">
        <v>3165.3416400000001</v>
      </c>
      <c r="F594">
        <v>385.77514500000001</v>
      </c>
      <c r="G594">
        <v>0</v>
      </c>
      <c r="H594">
        <v>0</v>
      </c>
      <c r="I594">
        <v>0</v>
      </c>
      <c r="J594">
        <v>0</v>
      </c>
      <c r="K594">
        <v>34.637964400000001</v>
      </c>
      <c r="L594">
        <v>9.7006536699999995</v>
      </c>
      <c r="M594">
        <v>15.314496399999999</v>
      </c>
      <c r="N594">
        <v>0</v>
      </c>
      <c r="O594">
        <v>37.711550899999999</v>
      </c>
      <c r="P594">
        <v>0</v>
      </c>
    </row>
    <row r="595" spans="1:16" x14ac:dyDescent="0.25">
      <c r="A595" t="s">
        <v>14</v>
      </c>
      <c r="B595">
        <v>659.99687200000005</v>
      </c>
      <c r="C595">
        <v>0</v>
      </c>
      <c r="D595">
        <v>659.99687200000005</v>
      </c>
      <c r="E595">
        <v>196.02532500000001</v>
      </c>
      <c r="F595">
        <v>47.303708200000003</v>
      </c>
      <c r="G595">
        <v>178.84465</v>
      </c>
      <c r="H595">
        <v>4.0417505199999999</v>
      </c>
      <c r="I595" s="74">
        <v>2.5033950799999998E-12</v>
      </c>
      <c r="J595">
        <v>0</v>
      </c>
      <c r="K595">
        <v>0</v>
      </c>
      <c r="L595">
        <v>97.764503700000006</v>
      </c>
      <c r="M595">
        <v>46.306747000000001</v>
      </c>
      <c r="N595">
        <v>0</v>
      </c>
      <c r="O595">
        <v>89.710187099999999</v>
      </c>
      <c r="P595">
        <v>0</v>
      </c>
    </row>
    <row r="596" spans="1:16" x14ac:dyDescent="0.25">
      <c r="A596" t="s">
        <v>320</v>
      </c>
    </row>
    <row r="597" spans="1:16" x14ac:dyDescent="0.25">
      <c r="A597" t="s">
        <v>360</v>
      </c>
      <c r="B597" t="s">
        <v>18</v>
      </c>
      <c r="C597" t="s">
        <v>19</v>
      </c>
      <c r="D597" t="s">
        <v>20</v>
      </c>
      <c r="E597" t="s">
        <v>21</v>
      </c>
      <c r="F597" t="s">
        <v>22</v>
      </c>
      <c r="G597" t="s">
        <v>23</v>
      </c>
      <c r="H597" t="s">
        <v>361</v>
      </c>
      <c r="I597" t="s">
        <v>25</v>
      </c>
      <c r="J597" t="s">
        <v>362</v>
      </c>
      <c r="K597" t="s">
        <v>5</v>
      </c>
      <c r="L597" t="s">
        <v>6</v>
      </c>
      <c r="M597" t="s">
        <v>7</v>
      </c>
      <c r="N597" t="s">
        <v>8</v>
      </c>
      <c r="O597" t="s">
        <v>9</v>
      </c>
      <c r="P597" t="s">
        <v>363</v>
      </c>
    </row>
    <row r="598" spans="1:16" x14ac:dyDescent="0.25">
      <c r="A598" t="s">
        <v>364</v>
      </c>
      <c r="B598" t="s">
        <v>370</v>
      </c>
      <c r="C598" t="s">
        <v>370</v>
      </c>
      <c r="D598" t="s">
        <v>370</v>
      </c>
      <c r="E598" t="s">
        <v>370</v>
      </c>
      <c r="F598" t="s">
        <v>370</v>
      </c>
      <c r="G598" t="s">
        <v>370</v>
      </c>
      <c r="H598" t="s">
        <v>370</v>
      </c>
      <c r="I598" t="s">
        <v>370</v>
      </c>
      <c r="J598" t="s">
        <v>370</v>
      </c>
      <c r="K598" t="s">
        <v>370</v>
      </c>
      <c r="L598" t="s">
        <v>370</v>
      </c>
      <c r="M598" t="s">
        <v>370</v>
      </c>
      <c r="N598" t="s">
        <v>370</v>
      </c>
      <c r="O598" t="s">
        <v>370</v>
      </c>
      <c r="P598" t="s">
        <v>370</v>
      </c>
    </row>
    <row r="599" spans="1:16" x14ac:dyDescent="0.25">
      <c r="A599" t="s">
        <v>1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</row>
    <row r="600" spans="1:16" x14ac:dyDescent="0.25">
      <c r="A600" t="s">
        <v>2</v>
      </c>
      <c r="B600">
        <v>96.032695500000003</v>
      </c>
      <c r="C600">
        <v>0</v>
      </c>
      <c r="D600">
        <v>96.032695500000003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19.2060256</v>
      </c>
      <c r="L600">
        <v>35.722378900000002</v>
      </c>
      <c r="M600">
        <v>0</v>
      </c>
      <c r="N600">
        <v>0</v>
      </c>
      <c r="O600">
        <v>41.104290900000002</v>
      </c>
      <c r="P600">
        <v>0</v>
      </c>
    </row>
    <row r="601" spans="1:16" x14ac:dyDescent="0.25">
      <c r="A601" t="s">
        <v>3</v>
      </c>
      <c r="B601">
        <v>371.336051</v>
      </c>
      <c r="C601">
        <v>0</v>
      </c>
      <c r="D601">
        <v>371.336051</v>
      </c>
      <c r="E601">
        <v>241.74361200000001</v>
      </c>
      <c r="F601">
        <v>5.0309109300000001</v>
      </c>
      <c r="G601">
        <v>52.5462262</v>
      </c>
      <c r="H601">
        <v>1.1054049100000001</v>
      </c>
      <c r="I601">
        <v>47.732431499999997</v>
      </c>
      <c r="J601">
        <v>0</v>
      </c>
      <c r="K601">
        <v>5.19081773</v>
      </c>
      <c r="L601">
        <v>9.6546970099999996</v>
      </c>
      <c r="M601">
        <v>0</v>
      </c>
      <c r="N601">
        <v>0</v>
      </c>
      <c r="O601">
        <v>8.33195087</v>
      </c>
      <c r="P601">
        <v>0</v>
      </c>
    </row>
    <row r="602" spans="1:16" x14ac:dyDescent="0.25">
      <c r="A602" t="s">
        <v>4</v>
      </c>
      <c r="B602">
        <v>239.22470799999999</v>
      </c>
      <c r="C602">
        <v>0</v>
      </c>
      <c r="D602">
        <v>239.22470799999999</v>
      </c>
      <c r="E602">
        <v>78.702042800000001</v>
      </c>
      <c r="F602">
        <v>15.6250655</v>
      </c>
      <c r="G602">
        <v>122.881862</v>
      </c>
      <c r="H602">
        <v>3.9047748000000002</v>
      </c>
      <c r="I602">
        <v>24.932872199999998</v>
      </c>
      <c r="J602">
        <v>0</v>
      </c>
      <c r="K602">
        <v>0</v>
      </c>
      <c r="L602">
        <v>0</v>
      </c>
      <c r="M602">
        <v>3.45416401</v>
      </c>
      <c r="N602">
        <v>0</v>
      </c>
      <c r="O602">
        <v>-10.2760727</v>
      </c>
      <c r="P602">
        <v>0</v>
      </c>
    </row>
    <row r="603" spans="1:16" x14ac:dyDescent="0.25">
      <c r="A603" t="s">
        <v>5</v>
      </c>
      <c r="B603">
        <v>19.2060256</v>
      </c>
      <c r="C603">
        <v>24.3968433</v>
      </c>
      <c r="D603">
        <v>-5.19081773</v>
      </c>
      <c r="E603">
        <v>8.7356722700000002</v>
      </c>
      <c r="F603">
        <v>1.34518403</v>
      </c>
      <c r="G603">
        <v>3.6801358</v>
      </c>
      <c r="H603">
        <v>6.0014731199999997E-2</v>
      </c>
      <c r="I603">
        <v>5.3850187700000003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</row>
    <row r="604" spans="1:16" x14ac:dyDescent="0.25">
      <c r="A604" t="s">
        <v>6</v>
      </c>
      <c r="B604">
        <v>35.722378900000002</v>
      </c>
      <c r="C604">
        <v>45.377075900000001</v>
      </c>
      <c r="D604">
        <v>-9.6546970099999996</v>
      </c>
      <c r="E604">
        <v>2.2017250399999999</v>
      </c>
      <c r="F604">
        <v>4.3472922099999999E-2</v>
      </c>
      <c r="G604">
        <v>6.6607580100000003</v>
      </c>
      <c r="H604">
        <v>2.5423424999999999E-2</v>
      </c>
      <c r="I604">
        <v>26.790999500000002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</row>
    <row r="605" spans="1:16" x14ac:dyDescent="0.25">
      <c r="A605" t="s">
        <v>7</v>
      </c>
      <c r="B605">
        <v>9.1557691000000005</v>
      </c>
      <c r="C605">
        <v>3.45416401</v>
      </c>
      <c r="D605">
        <v>5.7016050900000002</v>
      </c>
      <c r="E605">
        <v>5.9185937500000001E-2</v>
      </c>
      <c r="F605">
        <v>4.0372163600000004</v>
      </c>
      <c r="G605">
        <v>5.0593668100000002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</row>
    <row r="606" spans="1:16" x14ac:dyDescent="0.25">
      <c r="A606" t="s">
        <v>8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</row>
    <row r="607" spans="1:16" x14ac:dyDescent="0.25">
      <c r="A607" t="s">
        <v>9</v>
      </c>
      <c r="B607">
        <v>30.828218199999998</v>
      </c>
      <c r="C607">
        <v>39.160169099999997</v>
      </c>
      <c r="D607">
        <v>-8.33195087</v>
      </c>
      <c r="E607">
        <v>7.1803828999999997</v>
      </c>
      <c r="F607">
        <v>0.16659861400000001</v>
      </c>
      <c r="G607">
        <v>20.668779700000002</v>
      </c>
      <c r="H607">
        <v>0.14328986099999999</v>
      </c>
      <c r="I607">
        <v>2.6691671299999999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</row>
    <row r="608" spans="1:16" x14ac:dyDescent="0.25">
      <c r="A608" t="s">
        <v>10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</row>
    <row r="609" spans="1:16" x14ac:dyDescent="0.25">
      <c r="A609" t="s">
        <v>11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</row>
    <row r="610" spans="1:16" x14ac:dyDescent="0.25">
      <c r="A610" t="s">
        <v>12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25">
      <c r="A611" t="s">
        <v>13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</row>
    <row r="612" spans="1:16" x14ac:dyDescent="0.25">
      <c r="A612" t="s">
        <v>14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</row>
    <row r="613" spans="1:16" x14ac:dyDescent="0.25">
      <c r="A613" t="s">
        <v>321</v>
      </c>
    </row>
    <row r="614" spans="1:16" x14ac:dyDescent="0.25">
      <c r="A614" t="s">
        <v>360</v>
      </c>
      <c r="B614" t="s">
        <v>18</v>
      </c>
      <c r="C614" t="s">
        <v>19</v>
      </c>
      <c r="D614" t="s">
        <v>20</v>
      </c>
      <c r="E614" t="s">
        <v>21</v>
      </c>
      <c r="F614" t="s">
        <v>22</v>
      </c>
      <c r="G614" t="s">
        <v>23</v>
      </c>
      <c r="H614" t="s">
        <v>361</v>
      </c>
      <c r="I614" t="s">
        <v>25</v>
      </c>
      <c r="J614" t="s">
        <v>362</v>
      </c>
      <c r="K614" t="s">
        <v>5</v>
      </c>
      <c r="L614" t="s">
        <v>6</v>
      </c>
      <c r="M614" t="s">
        <v>7</v>
      </c>
      <c r="N614" t="s">
        <v>8</v>
      </c>
      <c r="O614" t="s">
        <v>9</v>
      </c>
      <c r="P614" t="s">
        <v>363</v>
      </c>
    </row>
    <row r="615" spans="1:16" x14ac:dyDescent="0.25">
      <c r="A615" t="s">
        <v>364</v>
      </c>
      <c r="B615" t="s">
        <v>365</v>
      </c>
      <c r="C615" t="s">
        <v>365</v>
      </c>
      <c r="D615" t="s">
        <v>365</v>
      </c>
      <c r="E615" t="s">
        <v>365</v>
      </c>
      <c r="F615" t="s">
        <v>365</v>
      </c>
      <c r="G615" t="s">
        <v>365</v>
      </c>
      <c r="H615" t="s">
        <v>365</v>
      </c>
      <c r="I615" t="s">
        <v>365</v>
      </c>
      <c r="J615" t="s">
        <v>365</v>
      </c>
      <c r="K615" t="s">
        <v>365</v>
      </c>
      <c r="L615" t="s">
        <v>365</v>
      </c>
      <c r="M615" t="s">
        <v>365</v>
      </c>
      <c r="N615" t="s">
        <v>365</v>
      </c>
      <c r="O615" t="s">
        <v>365</v>
      </c>
      <c r="P615" t="s">
        <v>365</v>
      </c>
    </row>
    <row r="616" spans="1:16" x14ac:dyDescent="0.25">
      <c r="A616" t="s">
        <v>1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</row>
    <row r="617" spans="1:16" x14ac:dyDescent="0.25">
      <c r="A617" t="s">
        <v>2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</row>
    <row r="618" spans="1:16" x14ac:dyDescent="0.25">
      <c r="A618" t="s">
        <v>3</v>
      </c>
      <c r="B618">
        <v>14901.5905</v>
      </c>
      <c r="C618">
        <v>0</v>
      </c>
      <c r="D618">
        <v>14901.5905</v>
      </c>
      <c r="E618">
        <v>9896.1234499999991</v>
      </c>
      <c r="F618">
        <v>115.09656200000001</v>
      </c>
      <c r="G618">
        <v>1743.55369</v>
      </c>
      <c r="H618">
        <v>183.24503899999999</v>
      </c>
      <c r="I618">
        <v>1470.70469</v>
      </c>
      <c r="J618">
        <v>0</v>
      </c>
      <c r="K618">
        <v>246.59190699999999</v>
      </c>
      <c r="L618">
        <v>877.27814599999999</v>
      </c>
      <c r="M618">
        <v>0</v>
      </c>
      <c r="N618">
        <v>0</v>
      </c>
      <c r="O618">
        <v>368.99701700000003</v>
      </c>
      <c r="P618">
        <v>0</v>
      </c>
    </row>
    <row r="619" spans="1:16" x14ac:dyDescent="0.25">
      <c r="A619" t="s">
        <v>4</v>
      </c>
      <c r="B619">
        <v>4504.8420400000005</v>
      </c>
      <c r="C619">
        <v>0</v>
      </c>
      <c r="D619">
        <v>4504.8420400000005</v>
      </c>
      <c r="E619">
        <v>1284.31737</v>
      </c>
      <c r="F619">
        <v>536.82664999999997</v>
      </c>
      <c r="G619">
        <v>2079.56504</v>
      </c>
      <c r="H619">
        <v>220.458877</v>
      </c>
      <c r="I619">
        <v>420.74221799999998</v>
      </c>
      <c r="J619">
        <v>0</v>
      </c>
      <c r="K619">
        <v>0</v>
      </c>
      <c r="L619">
        <v>0</v>
      </c>
      <c r="M619">
        <v>114.65729399999999</v>
      </c>
      <c r="N619">
        <v>0</v>
      </c>
      <c r="O619">
        <v>-151.72540599999999</v>
      </c>
      <c r="P619">
        <v>0</v>
      </c>
    </row>
    <row r="620" spans="1:16" x14ac:dyDescent="0.25">
      <c r="A620" t="s">
        <v>5</v>
      </c>
      <c r="B620">
        <v>246.59190699999999</v>
      </c>
      <c r="C620">
        <v>246.59190699999999</v>
      </c>
      <c r="D620">
        <v>0</v>
      </c>
      <c r="E620">
        <v>107.73168099999999</v>
      </c>
      <c r="F620">
        <v>23.6653628</v>
      </c>
      <c r="G620">
        <v>42.027750900000001</v>
      </c>
      <c r="H620">
        <v>1.6108779200000001</v>
      </c>
      <c r="I620">
        <v>71.556234900000007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</row>
    <row r="621" spans="1:16" x14ac:dyDescent="0.25">
      <c r="A621" t="s">
        <v>6</v>
      </c>
      <c r="B621">
        <v>877.27814599999999</v>
      </c>
      <c r="C621">
        <v>877.27814599999999</v>
      </c>
      <c r="D621">
        <v>0</v>
      </c>
      <c r="E621">
        <v>159.91138100000001</v>
      </c>
      <c r="F621">
        <v>3.9421009200000001</v>
      </c>
      <c r="G621">
        <v>109.62257099999999</v>
      </c>
      <c r="H621">
        <v>6.1923445299999997</v>
      </c>
      <c r="I621">
        <v>597.60974899999997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</row>
    <row r="622" spans="1:16" x14ac:dyDescent="0.25">
      <c r="A622" t="s">
        <v>7</v>
      </c>
      <c r="B622">
        <v>114.65729399999999</v>
      </c>
      <c r="C622">
        <v>114.65729399999999</v>
      </c>
      <c r="D622">
        <v>0</v>
      </c>
      <c r="E622">
        <v>49.531728399999999</v>
      </c>
      <c r="F622">
        <v>27.643190199999999</v>
      </c>
      <c r="G622">
        <v>37.474733100000002</v>
      </c>
      <c r="H622">
        <v>7.6420532100000002E-3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</row>
    <row r="623" spans="1:16" x14ac:dyDescent="0.25">
      <c r="A623" t="s">
        <v>8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</row>
    <row r="624" spans="1:16" x14ac:dyDescent="0.25">
      <c r="A624" t="s">
        <v>9</v>
      </c>
      <c r="B624">
        <v>217.27161100000001</v>
      </c>
      <c r="C624">
        <v>217.27161100000001</v>
      </c>
      <c r="D624" s="74">
        <v>2.8421709399999999E-14</v>
      </c>
      <c r="E624">
        <v>49.820130499999998</v>
      </c>
      <c r="F624">
        <v>4.8711929400000002</v>
      </c>
      <c r="G624">
        <v>139.14055099999999</v>
      </c>
      <c r="H624">
        <v>2.5549344</v>
      </c>
      <c r="I624">
        <v>20.884802400000002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</row>
    <row r="625" spans="1:16" x14ac:dyDescent="0.25">
      <c r="A625" t="s">
        <v>10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</row>
    <row r="626" spans="1:16" x14ac:dyDescent="0.25">
      <c r="A626" t="s">
        <v>11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</row>
    <row r="627" spans="1:16" x14ac:dyDescent="0.25">
      <c r="A627" t="s">
        <v>12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</row>
    <row r="628" spans="1:16" x14ac:dyDescent="0.25">
      <c r="A628" t="s">
        <v>13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</row>
    <row r="629" spans="1:16" x14ac:dyDescent="0.25">
      <c r="A629" t="s">
        <v>14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</row>
    <row r="630" spans="1:16" x14ac:dyDescent="0.25">
      <c r="A630" t="s">
        <v>322</v>
      </c>
    </row>
    <row r="631" spans="1:16" x14ac:dyDescent="0.25">
      <c r="A631" t="s">
        <v>360</v>
      </c>
      <c r="B631" t="s">
        <v>366</v>
      </c>
      <c r="C631" t="s">
        <v>367</v>
      </c>
      <c r="D631" t="s">
        <v>368</v>
      </c>
      <c r="E631" t="s">
        <v>21</v>
      </c>
      <c r="F631" t="s">
        <v>22</v>
      </c>
      <c r="G631" t="s">
        <v>23</v>
      </c>
      <c r="H631" t="s">
        <v>361</v>
      </c>
      <c r="I631" t="s">
        <v>25</v>
      </c>
      <c r="J631" t="s">
        <v>362</v>
      </c>
      <c r="K631" t="s">
        <v>5</v>
      </c>
      <c r="L631" t="s">
        <v>6</v>
      </c>
      <c r="M631" t="s">
        <v>7</v>
      </c>
      <c r="N631" t="s">
        <v>8</v>
      </c>
      <c r="O631" t="s">
        <v>9</v>
      </c>
      <c r="P631" t="s">
        <v>363</v>
      </c>
    </row>
    <row r="632" spans="1:16" x14ac:dyDescent="0.25">
      <c r="A632" t="s">
        <v>364</v>
      </c>
      <c r="B632" t="s">
        <v>369</v>
      </c>
      <c r="C632" t="s">
        <v>369</v>
      </c>
      <c r="D632" t="s">
        <v>369</v>
      </c>
      <c r="E632" t="s">
        <v>369</v>
      </c>
      <c r="F632" t="s">
        <v>369</v>
      </c>
      <c r="G632" t="s">
        <v>369</v>
      </c>
      <c r="H632" t="s">
        <v>369</v>
      </c>
      <c r="I632" t="s">
        <v>369</v>
      </c>
      <c r="J632" t="s">
        <v>369</v>
      </c>
      <c r="K632" t="s">
        <v>369</v>
      </c>
      <c r="L632" t="s">
        <v>369</v>
      </c>
      <c r="M632" t="s">
        <v>369</v>
      </c>
      <c r="N632" t="s">
        <v>369</v>
      </c>
      <c r="O632" t="s">
        <v>369</v>
      </c>
      <c r="P632" t="s">
        <v>369</v>
      </c>
    </row>
    <row r="633" spans="1:16" x14ac:dyDescent="0.25">
      <c r="A633" t="s">
        <v>1</v>
      </c>
      <c r="B633">
        <v>3391.9261200000001</v>
      </c>
      <c r="C633">
        <v>0</v>
      </c>
      <c r="D633">
        <v>3391.9261200000001</v>
      </c>
      <c r="E633">
        <v>1438.1352199999999</v>
      </c>
      <c r="F633">
        <v>0</v>
      </c>
      <c r="G633">
        <v>457.257295</v>
      </c>
      <c r="H633">
        <v>0</v>
      </c>
      <c r="I633">
        <v>0</v>
      </c>
      <c r="J633">
        <v>0</v>
      </c>
      <c r="K633">
        <v>0</v>
      </c>
      <c r="L633">
        <v>731.24084100000005</v>
      </c>
      <c r="M633">
        <v>418.15388100000001</v>
      </c>
      <c r="N633">
        <v>0</v>
      </c>
      <c r="O633">
        <v>347.13888900000001</v>
      </c>
      <c r="P633">
        <v>0</v>
      </c>
    </row>
    <row r="634" spans="1:16" x14ac:dyDescent="0.25">
      <c r="A634" t="s">
        <v>2</v>
      </c>
      <c r="B634">
        <v>878.93038300000001</v>
      </c>
      <c r="C634">
        <v>0</v>
      </c>
      <c r="D634">
        <v>878.93038300000001</v>
      </c>
      <c r="E634">
        <v>0</v>
      </c>
      <c r="F634">
        <v>428.214247</v>
      </c>
      <c r="G634">
        <v>124.83184</v>
      </c>
      <c r="H634">
        <v>0</v>
      </c>
      <c r="I634">
        <v>0</v>
      </c>
      <c r="J634">
        <v>0</v>
      </c>
      <c r="K634">
        <v>283.667463</v>
      </c>
      <c r="L634">
        <v>8.4482108999999993E-3</v>
      </c>
      <c r="M634">
        <v>0</v>
      </c>
      <c r="N634">
        <v>0</v>
      </c>
      <c r="O634">
        <v>42.208384600000002</v>
      </c>
      <c r="P634">
        <v>0</v>
      </c>
    </row>
    <row r="635" spans="1:16" x14ac:dyDescent="0.25">
      <c r="A635" t="s">
        <v>3</v>
      </c>
      <c r="B635">
        <v>5288.7614400000002</v>
      </c>
      <c r="C635">
        <v>0</v>
      </c>
      <c r="D635">
        <v>5288.7614400000002</v>
      </c>
      <c r="E635">
        <v>2765.3647599999999</v>
      </c>
      <c r="F635">
        <v>46.271932</v>
      </c>
      <c r="G635">
        <v>528.10360700000001</v>
      </c>
      <c r="H635">
        <v>87.147064599999993</v>
      </c>
      <c r="I635">
        <v>226.33197799999999</v>
      </c>
      <c r="J635">
        <v>0</v>
      </c>
      <c r="K635">
        <v>41.213016400000001</v>
      </c>
      <c r="L635">
        <v>146.619891</v>
      </c>
      <c r="M635">
        <v>0</v>
      </c>
      <c r="N635">
        <v>0</v>
      </c>
      <c r="O635">
        <v>61.670637499999998</v>
      </c>
      <c r="P635">
        <v>1386.03855</v>
      </c>
    </row>
    <row r="636" spans="1:16" x14ac:dyDescent="0.25">
      <c r="A636" t="s">
        <v>4</v>
      </c>
      <c r="B636">
        <v>10630.5903</v>
      </c>
      <c r="C636">
        <v>0</v>
      </c>
      <c r="D636">
        <v>10630.5903</v>
      </c>
      <c r="E636">
        <v>3663.9733000000001</v>
      </c>
      <c r="F636">
        <v>1257.82419</v>
      </c>
      <c r="G636">
        <v>3910.4693400000001</v>
      </c>
      <c r="H636">
        <v>434.14518500000003</v>
      </c>
      <c r="I636">
        <v>574.84122000000002</v>
      </c>
      <c r="J636">
        <v>0</v>
      </c>
      <c r="K636">
        <v>0</v>
      </c>
      <c r="L636">
        <v>0</v>
      </c>
      <c r="M636">
        <v>180.27522300000001</v>
      </c>
      <c r="N636">
        <v>0</v>
      </c>
      <c r="O636">
        <v>-207.29561699999999</v>
      </c>
      <c r="P636">
        <v>816.35745899999995</v>
      </c>
    </row>
    <row r="637" spans="1:16" x14ac:dyDescent="0.25">
      <c r="A637" t="s">
        <v>5</v>
      </c>
      <c r="B637">
        <v>781.73276899999996</v>
      </c>
      <c r="C637">
        <v>704.427142</v>
      </c>
      <c r="D637">
        <v>77.3056275</v>
      </c>
      <c r="E637">
        <v>369.46682499999997</v>
      </c>
      <c r="F637">
        <v>83.085533999999996</v>
      </c>
      <c r="G637">
        <v>164.25625500000001</v>
      </c>
      <c r="H637">
        <v>9.1620581199999993</v>
      </c>
      <c r="I637">
        <v>155.76209700000001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</row>
    <row r="638" spans="1:16" x14ac:dyDescent="0.25">
      <c r="A638" t="s">
        <v>6</v>
      </c>
      <c r="B638">
        <v>2329.9650000000001</v>
      </c>
      <c r="C638">
        <v>1977.11535</v>
      </c>
      <c r="D638">
        <v>352.84965</v>
      </c>
      <c r="E638">
        <v>550.83323900000005</v>
      </c>
      <c r="F638">
        <v>17.8682005</v>
      </c>
      <c r="G638">
        <v>424.58912299999997</v>
      </c>
      <c r="H638">
        <v>35.810194500000001</v>
      </c>
      <c r="I638">
        <v>1300.8642500000001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25">
      <c r="A639" t="s">
        <v>7</v>
      </c>
      <c r="B639">
        <v>1190.03395</v>
      </c>
      <c r="C639">
        <v>928.72023300000001</v>
      </c>
      <c r="D639">
        <v>261.313717</v>
      </c>
      <c r="E639">
        <v>506.15182199999998</v>
      </c>
      <c r="F639">
        <v>314.43718999999999</v>
      </c>
      <c r="G639">
        <v>369.35815700000001</v>
      </c>
      <c r="H639">
        <v>8.6780424600000003E-2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25">
      <c r="A640" t="s">
        <v>8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</row>
    <row r="641" spans="1:16" x14ac:dyDescent="0.25">
      <c r="A641" t="s">
        <v>9</v>
      </c>
      <c r="B641">
        <v>1362.31709</v>
      </c>
      <c r="C641">
        <v>1041.44271</v>
      </c>
      <c r="D641">
        <v>320.87438200000003</v>
      </c>
      <c r="E641">
        <v>300.57363900000001</v>
      </c>
      <c r="F641">
        <v>35.517871100000001</v>
      </c>
      <c r="G641">
        <v>922.86596199999997</v>
      </c>
      <c r="H641">
        <v>26.151218400000001</v>
      </c>
      <c r="I641">
        <v>77.208398700000004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</row>
    <row r="642" spans="1:16" x14ac:dyDescent="0.25">
      <c r="A642" t="s">
        <v>10</v>
      </c>
      <c r="B642">
        <v>1163.7723800000001</v>
      </c>
      <c r="C642">
        <v>0</v>
      </c>
      <c r="D642">
        <v>1163.7723800000001</v>
      </c>
      <c r="E642">
        <v>-113.18525</v>
      </c>
      <c r="F642">
        <v>183.09931599999999</v>
      </c>
      <c r="G642">
        <v>69.3964383</v>
      </c>
      <c r="H642">
        <v>0</v>
      </c>
      <c r="I642">
        <v>0</v>
      </c>
      <c r="J642">
        <v>0</v>
      </c>
      <c r="K642">
        <v>204.041257</v>
      </c>
      <c r="L642">
        <v>357.372411</v>
      </c>
      <c r="M642">
        <v>3.7919803000000001</v>
      </c>
      <c r="N642">
        <v>0</v>
      </c>
      <c r="O642">
        <v>459.25623000000002</v>
      </c>
      <c r="P642">
        <v>0</v>
      </c>
    </row>
    <row r="643" spans="1:16" x14ac:dyDescent="0.25">
      <c r="A643" t="s">
        <v>11</v>
      </c>
      <c r="B643">
        <v>172.35388699999999</v>
      </c>
      <c r="C643">
        <v>0</v>
      </c>
      <c r="D643">
        <v>172.35388699999999</v>
      </c>
      <c r="E643">
        <v>47.536537000000003</v>
      </c>
      <c r="F643">
        <v>19.869605799999999</v>
      </c>
      <c r="G643">
        <v>76.971099499999994</v>
      </c>
      <c r="H643">
        <v>8.1598612700000004</v>
      </c>
      <c r="I643">
        <v>15.5729639</v>
      </c>
      <c r="J643">
        <v>0</v>
      </c>
      <c r="K643">
        <v>0</v>
      </c>
      <c r="L643">
        <v>0</v>
      </c>
      <c r="M643">
        <v>4.2438191700000001</v>
      </c>
      <c r="N643">
        <v>0</v>
      </c>
      <c r="O643">
        <v>0</v>
      </c>
      <c r="P643">
        <v>0</v>
      </c>
    </row>
    <row r="644" spans="1:16" x14ac:dyDescent="0.25">
      <c r="A644" t="s">
        <v>12</v>
      </c>
      <c r="B644">
        <v>16780.4846</v>
      </c>
      <c r="C644">
        <v>2202.3960099999999</v>
      </c>
      <c r="D644">
        <v>14578.088599999999</v>
      </c>
      <c r="E644">
        <v>8126.5796499999997</v>
      </c>
      <c r="F644">
        <v>1212.95355</v>
      </c>
      <c r="G644">
        <v>4365.9683599999998</v>
      </c>
      <c r="H644">
        <v>489.14453800000001</v>
      </c>
      <c r="I644">
        <v>1564.6053300000001</v>
      </c>
      <c r="J644">
        <v>0</v>
      </c>
      <c r="K644">
        <v>139.68003400000001</v>
      </c>
      <c r="L644">
        <v>496.92726199999998</v>
      </c>
      <c r="M644">
        <v>175.61040800000001</v>
      </c>
      <c r="N644">
        <v>0</v>
      </c>
      <c r="O644">
        <v>209.01544000000001</v>
      </c>
      <c r="P644">
        <v>0</v>
      </c>
    </row>
    <row r="645" spans="1:16" x14ac:dyDescent="0.25">
      <c r="A645" t="s">
        <v>13</v>
      </c>
      <c r="B645">
        <v>4552.7984100000003</v>
      </c>
      <c r="C645">
        <v>0</v>
      </c>
      <c r="D645">
        <v>4552.7984100000003</v>
      </c>
      <c r="E645">
        <v>3623.5490100000002</v>
      </c>
      <c r="F645">
        <v>767.35993199999996</v>
      </c>
      <c r="G645">
        <v>0</v>
      </c>
      <c r="H645">
        <v>0</v>
      </c>
      <c r="I645">
        <v>0</v>
      </c>
      <c r="J645">
        <v>0</v>
      </c>
      <c r="K645">
        <v>35.825372000000002</v>
      </c>
      <c r="L645">
        <v>40.4282295</v>
      </c>
      <c r="M645">
        <v>45.644578899999999</v>
      </c>
      <c r="N645">
        <v>0</v>
      </c>
      <c r="O645">
        <v>39.991288599999997</v>
      </c>
      <c r="P645">
        <v>0</v>
      </c>
    </row>
    <row r="646" spans="1:16" x14ac:dyDescent="0.25">
      <c r="A646" t="s">
        <v>14</v>
      </c>
      <c r="B646">
        <v>1126.9423200000001</v>
      </c>
      <c r="C646">
        <v>0</v>
      </c>
      <c r="D646">
        <v>1126.9423200000001</v>
      </c>
      <c r="E646">
        <v>317.72613799999999</v>
      </c>
      <c r="F646">
        <v>87.711174</v>
      </c>
      <c r="G646">
        <v>312.15286700000001</v>
      </c>
      <c r="H646">
        <v>14.376078700000001</v>
      </c>
      <c r="I646" s="74">
        <v>1.78813934E-12</v>
      </c>
      <c r="J646">
        <v>0</v>
      </c>
      <c r="K646">
        <v>0</v>
      </c>
      <c r="L646">
        <v>204.518269</v>
      </c>
      <c r="M646">
        <v>101.000343</v>
      </c>
      <c r="N646">
        <v>0</v>
      </c>
      <c r="O646">
        <v>89.457454299999995</v>
      </c>
      <c r="P646">
        <v>0</v>
      </c>
    </row>
    <row r="647" spans="1:16" x14ac:dyDescent="0.25">
      <c r="A647" t="s">
        <v>323</v>
      </c>
    </row>
    <row r="648" spans="1:16" x14ac:dyDescent="0.25">
      <c r="A648" t="s">
        <v>360</v>
      </c>
      <c r="B648" t="s">
        <v>18</v>
      </c>
      <c r="C648" t="s">
        <v>19</v>
      </c>
      <c r="D648" t="s">
        <v>20</v>
      </c>
      <c r="E648" t="s">
        <v>21</v>
      </c>
      <c r="F648" t="s">
        <v>22</v>
      </c>
      <c r="G648" t="s">
        <v>23</v>
      </c>
      <c r="H648" t="s">
        <v>361</v>
      </c>
      <c r="I648" t="s">
        <v>25</v>
      </c>
      <c r="J648" t="s">
        <v>362</v>
      </c>
      <c r="K648" t="s">
        <v>5</v>
      </c>
      <c r="L648" t="s">
        <v>6</v>
      </c>
      <c r="M648" t="s">
        <v>7</v>
      </c>
      <c r="N648" t="s">
        <v>8</v>
      </c>
      <c r="O648" t="s">
        <v>9</v>
      </c>
      <c r="P648" t="s">
        <v>363</v>
      </c>
    </row>
    <row r="649" spans="1:16" x14ac:dyDescent="0.25">
      <c r="A649" t="s">
        <v>364</v>
      </c>
      <c r="B649" t="s">
        <v>370</v>
      </c>
      <c r="C649" t="s">
        <v>370</v>
      </c>
      <c r="D649" t="s">
        <v>370</v>
      </c>
      <c r="E649" t="s">
        <v>370</v>
      </c>
      <c r="F649" t="s">
        <v>370</v>
      </c>
      <c r="G649" t="s">
        <v>370</v>
      </c>
      <c r="H649" t="s">
        <v>370</v>
      </c>
      <c r="I649" t="s">
        <v>370</v>
      </c>
      <c r="J649" t="s">
        <v>370</v>
      </c>
      <c r="K649" t="s">
        <v>370</v>
      </c>
      <c r="L649" t="s">
        <v>370</v>
      </c>
      <c r="M649" t="s">
        <v>370</v>
      </c>
      <c r="N649" t="s">
        <v>370</v>
      </c>
      <c r="O649" t="s">
        <v>370</v>
      </c>
      <c r="P649" t="s">
        <v>370</v>
      </c>
    </row>
    <row r="650" spans="1:16" x14ac:dyDescent="0.25">
      <c r="A650" t="s">
        <v>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</row>
    <row r="651" spans="1:16" x14ac:dyDescent="0.25">
      <c r="A651" t="s">
        <v>2</v>
      </c>
      <c r="B651">
        <v>118.1186</v>
      </c>
      <c r="C651">
        <v>0</v>
      </c>
      <c r="D651">
        <v>118.1186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18.025683699999998</v>
      </c>
      <c r="L651">
        <v>64.128375399999996</v>
      </c>
      <c r="M651">
        <v>0</v>
      </c>
      <c r="N651">
        <v>0</v>
      </c>
      <c r="O651">
        <v>35.964540700000001</v>
      </c>
      <c r="P651">
        <v>0</v>
      </c>
    </row>
    <row r="652" spans="1:16" x14ac:dyDescent="0.25">
      <c r="A652" t="s">
        <v>3</v>
      </c>
      <c r="B652">
        <v>294.40408200000002</v>
      </c>
      <c r="C652">
        <v>0</v>
      </c>
      <c r="D652">
        <v>294.40408200000002</v>
      </c>
      <c r="E652">
        <v>195.51329999999999</v>
      </c>
      <c r="F652">
        <v>2.2739114900000001</v>
      </c>
      <c r="G652">
        <v>34.4466131</v>
      </c>
      <c r="H652">
        <v>3.6202905599999999</v>
      </c>
      <c r="I652">
        <v>29.0560571</v>
      </c>
      <c r="J652">
        <v>0</v>
      </c>
      <c r="K652">
        <v>4.8718063999999996</v>
      </c>
      <c r="L652">
        <v>17.331993300000001</v>
      </c>
      <c r="M652">
        <v>0</v>
      </c>
      <c r="N652">
        <v>0</v>
      </c>
      <c r="O652">
        <v>7.29010961</v>
      </c>
      <c r="P652">
        <v>0</v>
      </c>
    </row>
    <row r="653" spans="1:16" x14ac:dyDescent="0.25">
      <c r="A653" t="s">
        <v>4</v>
      </c>
      <c r="B653">
        <v>266.95360199999999</v>
      </c>
      <c r="C653">
        <v>0</v>
      </c>
      <c r="D653">
        <v>266.95360199999999</v>
      </c>
      <c r="E653">
        <v>76.107696099999998</v>
      </c>
      <c r="F653">
        <v>31.8119497</v>
      </c>
      <c r="G653">
        <v>123.233484</v>
      </c>
      <c r="H653">
        <v>13.0642298</v>
      </c>
      <c r="I653">
        <v>24.932872199999998</v>
      </c>
      <c r="J653">
        <v>0</v>
      </c>
      <c r="K653">
        <v>0</v>
      </c>
      <c r="L653">
        <v>0</v>
      </c>
      <c r="M653">
        <v>6.7945062900000002</v>
      </c>
      <c r="N653">
        <v>0</v>
      </c>
      <c r="O653">
        <v>-8.9911351800000006</v>
      </c>
      <c r="P653">
        <v>0</v>
      </c>
    </row>
    <row r="654" spans="1:16" x14ac:dyDescent="0.25">
      <c r="A654" t="s">
        <v>5</v>
      </c>
      <c r="B654">
        <v>18.025683699999998</v>
      </c>
      <c r="C654">
        <v>22.897490099999999</v>
      </c>
      <c r="D654">
        <v>-4.8718063999999996</v>
      </c>
      <c r="E654">
        <v>7.8751051500000004</v>
      </c>
      <c r="F654">
        <v>1.7299202899999999</v>
      </c>
      <c r="G654">
        <v>3.0721971099999998</v>
      </c>
      <c r="H654">
        <v>0.11775397</v>
      </c>
      <c r="I654">
        <v>5.2307071699999996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</row>
    <row r="655" spans="1:16" x14ac:dyDescent="0.25">
      <c r="A655" t="s">
        <v>6</v>
      </c>
      <c r="B655">
        <v>64.128375399999996</v>
      </c>
      <c r="C655">
        <v>81.460368700000004</v>
      </c>
      <c r="D655">
        <v>-17.331993300000001</v>
      </c>
      <c r="E655">
        <v>11.6894022</v>
      </c>
      <c r="F655">
        <v>0.28816462399999998</v>
      </c>
      <c r="G655">
        <v>8.0133278499999996</v>
      </c>
      <c r="H655">
        <v>0.452655747</v>
      </c>
      <c r="I655">
        <v>43.684824999999996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</row>
    <row r="656" spans="1:16" x14ac:dyDescent="0.25">
      <c r="A656" t="s">
        <v>7</v>
      </c>
      <c r="B656">
        <v>17.2315586</v>
      </c>
      <c r="C656">
        <v>6.7945062900000002</v>
      </c>
      <c r="D656">
        <v>10.4370523</v>
      </c>
      <c r="E656">
        <v>7.4439998699999999</v>
      </c>
      <c r="F656">
        <v>4.1544260900000003</v>
      </c>
      <c r="G656">
        <v>5.6319841300000002</v>
      </c>
      <c r="H656">
        <v>1.14850511E-3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</row>
    <row r="657" spans="1:16" x14ac:dyDescent="0.25">
      <c r="A657" t="s">
        <v>8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</row>
    <row r="658" spans="1:16" x14ac:dyDescent="0.25">
      <c r="A658" t="s">
        <v>9</v>
      </c>
      <c r="B658">
        <v>26.9734056</v>
      </c>
      <c r="C658">
        <v>34.263515200000001</v>
      </c>
      <c r="D658">
        <v>-7.29010961</v>
      </c>
      <c r="E658">
        <v>6.1849708699999999</v>
      </c>
      <c r="F658">
        <v>0.60473921100000005</v>
      </c>
      <c r="G658">
        <v>17.2737455</v>
      </c>
      <c r="H658">
        <v>0.317184935</v>
      </c>
      <c r="I658">
        <v>2.59276507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</row>
    <row r="659" spans="1:16" x14ac:dyDescent="0.25">
      <c r="A659" t="s">
        <v>10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</row>
    <row r="660" spans="1:16" x14ac:dyDescent="0.25">
      <c r="A660" t="s">
        <v>11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</row>
    <row r="661" spans="1:16" x14ac:dyDescent="0.25">
      <c r="A661" t="s">
        <v>12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</row>
    <row r="662" spans="1:16" x14ac:dyDescent="0.25">
      <c r="A662" t="s">
        <v>13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</row>
    <row r="663" spans="1:16" x14ac:dyDescent="0.25">
      <c r="A663" t="s">
        <v>14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</row>
    <row r="664" spans="1:16" x14ac:dyDescent="0.25">
      <c r="A664" t="s">
        <v>324</v>
      </c>
    </row>
    <row r="665" spans="1:16" x14ac:dyDescent="0.25">
      <c r="A665" t="s">
        <v>360</v>
      </c>
      <c r="B665" t="s">
        <v>18</v>
      </c>
      <c r="C665" t="s">
        <v>19</v>
      </c>
      <c r="D665" t="s">
        <v>20</v>
      </c>
      <c r="E665" t="s">
        <v>21</v>
      </c>
      <c r="F665" t="s">
        <v>22</v>
      </c>
      <c r="G665" t="s">
        <v>23</v>
      </c>
      <c r="H665" t="s">
        <v>361</v>
      </c>
      <c r="I665" t="s">
        <v>25</v>
      </c>
      <c r="J665" t="s">
        <v>362</v>
      </c>
      <c r="K665" t="s">
        <v>5</v>
      </c>
      <c r="L665" t="s">
        <v>6</v>
      </c>
      <c r="M665" t="s">
        <v>7</v>
      </c>
      <c r="N665" t="s">
        <v>8</v>
      </c>
      <c r="O665" t="s">
        <v>9</v>
      </c>
      <c r="P665" t="s">
        <v>363</v>
      </c>
    </row>
    <row r="666" spans="1:16" x14ac:dyDescent="0.25">
      <c r="A666" t="s">
        <v>364</v>
      </c>
      <c r="B666" t="s">
        <v>365</v>
      </c>
      <c r="C666" t="s">
        <v>365</v>
      </c>
      <c r="D666" t="s">
        <v>365</v>
      </c>
      <c r="E666" t="s">
        <v>365</v>
      </c>
      <c r="F666" t="s">
        <v>365</v>
      </c>
      <c r="G666" t="s">
        <v>365</v>
      </c>
      <c r="H666" t="s">
        <v>365</v>
      </c>
      <c r="I666" t="s">
        <v>365</v>
      </c>
      <c r="J666" t="s">
        <v>365</v>
      </c>
      <c r="K666" t="s">
        <v>365</v>
      </c>
      <c r="L666" t="s">
        <v>365</v>
      </c>
      <c r="M666" t="s">
        <v>365</v>
      </c>
      <c r="N666" t="s">
        <v>365</v>
      </c>
      <c r="O666" t="s">
        <v>365</v>
      </c>
      <c r="P666" t="s">
        <v>365</v>
      </c>
    </row>
    <row r="667" spans="1:16" x14ac:dyDescent="0.25">
      <c r="A667" t="s">
        <v>1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</row>
    <row r="668" spans="1:16" x14ac:dyDescent="0.25">
      <c r="A668" t="s">
        <v>2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</row>
    <row r="669" spans="1:16" x14ac:dyDescent="0.25">
      <c r="A669" t="s">
        <v>3</v>
      </c>
      <c r="B669">
        <v>4547.9665199999999</v>
      </c>
      <c r="C669">
        <v>0</v>
      </c>
      <c r="D669">
        <v>4547.9665199999999</v>
      </c>
      <c r="E669">
        <v>1197.35823</v>
      </c>
      <c r="F669">
        <v>0</v>
      </c>
      <c r="G669">
        <v>530.56287899999995</v>
      </c>
      <c r="H669">
        <v>187.620857</v>
      </c>
      <c r="I669">
        <v>1307.6529800000001</v>
      </c>
      <c r="J669">
        <v>0</v>
      </c>
      <c r="K669">
        <v>202.01228900000001</v>
      </c>
      <c r="L669">
        <v>845.26593500000001</v>
      </c>
      <c r="M669">
        <v>0</v>
      </c>
      <c r="N669">
        <v>0</v>
      </c>
      <c r="O669">
        <v>277.49334800000003</v>
      </c>
      <c r="P669">
        <v>0</v>
      </c>
    </row>
    <row r="670" spans="1:16" x14ac:dyDescent="0.25">
      <c r="A670" t="s">
        <v>4</v>
      </c>
      <c r="B670">
        <v>4160.27891</v>
      </c>
      <c r="C670">
        <v>0</v>
      </c>
      <c r="D670">
        <v>4160.27891</v>
      </c>
      <c r="E670">
        <v>1016.1397899999999</v>
      </c>
      <c r="F670">
        <v>567.88714800000002</v>
      </c>
      <c r="G670">
        <v>1630.5855300000001</v>
      </c>
      <c r="H670">
        <v>232.78193400000001</v>
      </c>
      <c r="I670">
        <v>329.321687</v>
      </c>
      <c r="J670">
        <v>0</v>
      </c>
      <c r="K670">
        <v>0</v>
      </c>
      <c r="L670">
        <v>0</v>
      </c>
      <c r="M670">
        <v>472.87121100000002</v>
      </c>
      <c r="N670">
        <v>0</v>
      </c>
      <c r="O670">
        <v>-89.308391700000001</v>
      </c>
      <c r="P670">
        <v>0</v>
      </c>
    </row>
    <row r="671" spans="1:16" x14ac:dyDescent="0.25">
      <c r="A671" t="s">
        <v>5</v>
      </c>
      <c r="B671">
        <v>202.01228900000001</v>
      </c>
      <c r="C671">
        <v>202.01228900000001</v>
      </c>
      <c r="D671">
        <v>0</v>
      </c>
      <c r="E671">
        <v>71.765741599999998</v>
      </c>
      <c r="F671">
        <v>26.159126000000001</v>
      </c>
      <c r="G671">
        <v>32.742391900000001</v>
      </c>
      <c r="H671">
        <v>1.89830152</v>
      </c>
      <c r="I671">
        <v>69.446727800000005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</row>
    <row r="672" spans="1:16" x14ac:dyDescent="0.25">
      <c r="A672" t="s">
        <v>6</v>
      </c>
      <c r="B672">
        <v>845.26593500000001</v>
      </c>
      <c r="C672">
        <v>845.26593500000001</v>
      </c>
      <c r="D672">
        <v>0</v>
      </c>
      <c r="E672">
        <v>117.869409</v>
      </c>
      <c r="F672">
        <v>16.4536123</v>
      </c>
      <c r="G672">
        <v>83.925385199999994</v>
      </c>
      <c r="H672">
        <v>13.5947364</v>
      </c>
      <c r="I672">
        <v>613.42279199999996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</row>
    <row r="673" spans="1:16" x14ac:dyDescent="0.25">
      <c r="A673" t="s">
        <v>7</v>
      </c>
      <c r="B673">
        <v>472.87121100000002</v>
      </c>
      <c r="C673">
        <v>472.87121100000002</v>
      </c>
      <c r="D673" s="74">
        <v>1.1368683799999999E-13</v>
      </c>
      <c r="E673">
        <v>418.653548</v>
      </c>
      <c r="F673">
        <v>21.7193705</v>
      </c>
      <c r="G673">
        <v>30.039537500000002</v>
      </c>
      <c r="H673">
        <v>2.4587544399999999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</row>
    <row r="674" spans="1:16" x14ac:dyDescent="0.25">
      <c r="A674" t="s">
        <v>8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</row>
    <row r="675" spans="1:16" x14ac:dyDescent="0.25">
      <c r="A675" t="s">
        <v>9</v>
      </c>
      <c r="B675">
        <v>188.184956</v>
      </c>
      <c r="C675">
        <v>188.184956</v>
      </c>
      <c r="D675">
        <v>0</v>
      </c>
      <c r="E675">
        <v>37.999955399999997</v>
      </c>
      <c r="F675">
        <v>9.2746741999999998</v>
      </c>
      <c r="G675">
        <v>112.732889</v>
      </c>
      <c r="H675">
        <v>4.8309936999999996</v>
      </c>
      <c r="I675">
        <v>23.346443699999998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</row>
    <row r="676" spans="1:16" x14ac:dyDescent="0.25">
      <c r="A676" t="s">
        <v>10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</row>
    <row r="677" spans="1:16" x14ac:dyDescent="0.25">
      <c r="A677" t="s">
        <v>11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</row>
    <row r="678" spans="1:16" x14ac:dyDescent="0.25">
      <c r="A678" t="s">
        <v>12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</row>
    <row r="679" spans="1:16" x14ac:dyDescent="0.25">
      <c r="A679" t="s">
        <v>13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</row>
    <row r="680" spans="1:16" x14ac:dyDescent="0.25">
      <c r="A680" t="s">
        <v>14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</row>
    <row r="681" spans="1:16" x14ac:dyDescent="0.25">
      <c r="A681" t="s">
        <v>325</v>
      </c>
    </row>
    <row r="682" spans="1:16" x14ac:dyDescent="0.25">
      <c r="A682" t="s">
        <v>360</v>
      </c>
      <c r="B682" t="s">
        <v>366</v>
      </c>
      <c r="C682" t="s">
        <v>367</v>
      </c>
      <c r="D682" t="s">
        <v>368</v>
      </c>
      <c r="E682" t="s">
        <v>21</v>
      </c>
      <c r="F682" t="s">
        <v>22</v>
      </c>
      <c r="G682" t="s">
        <v>23</v>
      </c>
      <c r="H682" t="s">
        <v>361</v>
      </c>
      <c r="I682" t="s">
        <v>25</v>
      </c>
      <c r="J682" t="s">
        <v>362</v>
      </c>
      <c r="K682" t="s">
        <v>5</v>
      </c>
      <c r="L682" t="s">
        <v>6</v>
      </c>
      <c r="M682" t="s">
        <v>7</v>
      </c>
      <c r="N682" t="s">
        <v>8</v>
      </c>
      <c r="O682" t="s">
        <v>9</v>
      </c>
      <c r="P682" t="s">
        <v>363</v>
      </c>
    </row>
    <row r="683" spans="1:16" x14ac:dyDescent="0.25">
      <c r="A683" t="s">
        <v>364</v>
      </c>
      <c r="B683" t="s">
        <v>369</v>
      </c>
      <c r="C683" t="s">
        <v>369</v>
      </c>
      <c r="D683" t="s">
        <v>369</v>
      </c>
      <c r="E683" t="s">
        <v>369</v>
      </c>
      <c r="F683" t="s">
        <v>369</v>
      </c>
      <c r="G683" t="s">
        <v>369</v>
      </c>
      <c r="H683" t="s">
        <v>369</v>
      </c>
      <c r="I683" t="s">
        <v>369</v>
      </c>
      <c r="J683" t="s">
        <v>369</v>
      </c>
      <c r="K683" t="s">
        <v>369</v>
      </c>
      <c r="L683" t="s">
        <v>369</v>
      </c>
      <c r="M683" t="s">
        <v>369</v>
      </c>
      <c r="N683" t="s">
        <v>369</v>
      </c>
      <c r="O683" t="s">
        <v>369</v>
      </c>
      <c r="P683" t="s">
        <v>369</v>
      </c>
    </row>
    <row r="684" spans="1:16" x14ac:dyDescent="0.25">
      <c r="A684" t="s">
        <v>1</v>
      </c>
      <c r="B684">
        <v>8010.1587799999998</v>
      </c>
      <c r="C684">
        <v>0</v>
      </c>
      <c r="D684">
        <v>8010.1587799999998</v>
      </c>
      <c r="E684">
        <v>3603.65074</v>
      </c>
      <c r="F684">
        <v>0</v>
      </c>
      <c r="G684">
        <v>999.93091600000002</v>
      </c>
      <c r="H684">
        <v>0</v>
      </c>
      <c r="I684">
        <v>0</v>
      </c>
      <c r="J684">
        <v>0</v>
      </c>
      <c r="K684">
        <v>0</v>
      </c>
      <c r="L684">
        <v>827.57700199999999</v>
      </c>
      <c r="M684">
        <v>2231.8612400000002</v>
      </c>
      <c r="N684">
        <v>0</v>
      </c>
      <c r="O684">
        <v>347.13888900000001</v>
      </c>
      <c r="P684">
        <v>0</v>
      </c>
    </row>
    <row r="685" spans="1:16" x14ac:dyDescent="0.25">
      <c r="A685" t="s">
        <v>2</v>
      </c>
      <c r="B685">
        <v>1803.8338000000001</v>
      </c>
      <c r="C685">
        <v>0</v>
      </c>
      <c r="D685">
        <v>1803.8338000000001</v>
      </c>
      <c r="E685">
        <v>342.92114600000002</v>
      </c>
      <c r="F685">
        <v>561.93609300000003</v>
      </c>
      <c r="G685">
        <v>273.91632800000002</v>
      </c>
      <c r="H685">
        <v>0</v>
      </c>
      <c r="I685">
        <v>0</v>
      </c>
      <c r="J685">
        <v>0</v>
      </c>
      <c r="K685">
        <v>397.15104600000001</v>
      </c>
      <c r="L685">
        <v>8.4467880200000001E-3</v>
      </c>
      <c r="M685">
        <v>0</v>
      </c>
      <c r="N685">
        <v>0</v>
      </c>
      <c r="O685">
        <v>227.90074100000001</v>
      </c>
      <c r="P685">
        <v>0</v>
      </c>
    </row>
    <row r="686" spans="1:16" x14ac:dyDescent="0.25">
      <c r="A686" t="s">
        <v>3</v>
      </c>
      <c r="B686">
        <v>4026.1622200000002</v>
      </c>
      <c r="C686">
        <v>0</v>
      </c>
      <c r="D686">
        <v>4026.1622200000002</v>
      </c>
      <c r="E686">
        <v>384.82453700000002</v>
      </c>
      <c r="F686">
        <v>0</v>
      </c>
      <c r="G686">
        <v>206.89832999999999</v>
      </c>
      <c r="H686">
        <v>92.325312600000004</v>
      </c>
      <c r="I686">
        <v>208.398707</v>
      </c>
      <c r="J686">
        <v>0</v>
      </c>
      <c r="K686">
        <v>34.8684121</v>
      </c>
      <c r="L686">
        <v>145.89746500000001</v>
      </c>
      <c r="M686">
        <v>0</v>
      </c>
      <c r="N686">
        <v>0</v>
      </c>
      <c r="O686">
        <v>47.896850499999999</v>
      </c>
      <c r="P686">
        <v>2905.0526100000002</v>
      </c>
    </row>
    <row r="687" spans="1:16" x14ac:dyDescent="0.25">
      <c r="A687" t="s">
        <v>4</v>
      </c>
      <c r="B687">
        <v>12519.9249</v>
      </c>
      <c r="C687">
        <v>0</v>
      </c>
      <c r="D687">
        <v>12519.9249</v>
      </c>
      <c r="E687">
        <v>3599.3449000000001</v>
      </c>
      <c r="F687">
        <v>1746.1303499999999</v>
      </c>
      <c r="G687">
        <v>3923.38256</v>
      </c>
      <c r="H687">
        <v>595.62813800000004</v>
      </c>
      <c r="I687">
        <v>609.47020899999995</v>
      </c>
      <c r="J687">
        <v>0</v>
      </c>
      <c r="K687">
        <v>0</v>
      </c>
      <c r="L687">
        <v>0</v>
      </c>
      <c r="M687">
        <v>900.04792099999997</v>
      </c>
      <c r="N687">
        <v>0</v>
      </c>
      <c r="O687">
        <v>-165.281566</v>
      </c>
      <c r="P687">
        <v>1311.2024100000001</v>
      </c>
    </row>
    <row r="688" spans="1:16" x14ac:dyDescent="0.25">
      <c r="A688" t="s">
        <v>5</v>
      </c>
      <c r="B688">
        <v>969.67921999999999</v>
      </c>
      <c r="C688">
        <v>856.01305100000002</v>
      </c>
      <c r="D688">
        <v>113.666169</v>
      </c>
      <c r="E688">
        <v>385.96752300000003</v>
      </c>
      <c r="F688">
        <v>137.83715900000001</v>
      </c>
      <c r="G688">
        <v>185.24906100000001</v>
      </c>
      <c r="H688">
        <v>13.636585800000001</v>
      </c>
      <c r="I688">
        <v>246.988891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</row>
    <row r="689" spans="1:16" x14ac:dyDescent="0.25">
      <c r="A689" t="s">
        <v>6</v>
      </c>
      <c r="B689">
        <v>3503.4030200000002</v>
      </c>
      <c r="C689">
        <v>2450.67337</v>
      </c>
      <c r="D689">
        <v>1052.72964</v>
      </c>
      <c r="E689">
        <v>640.26569400000005</v>
      </c>
      <c r="F689">
        <v>98.622882899999993</v>
      </c>
      <c r="G689">
        <v>483.51066500000002</v>
      </c>
      <c r="H689">
        <v>99.351452800000004</v>
      </c>
      <c r="I689">
        <v>2181.6523200000001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</row>
    <row r="690" spans="1:16" x14ac:dyDescent="0.25">
      <c r="A690" t="s">
        <v>7</v>
      </c>
      <c r="B690">
        <v>8049.91914</v>
      </c>
      <c r="C690">
        <v>5329.3019599999998</v>
      </c>
      <c r="D690">
        <v>2720.6171800000002</v>
      </c>
      <c r="E690">
        <v>7111.4164499999997</v>
      </c>
      <c r="F690">
        <v>403.68471</v>
      </c>
      <c r="G690">
        <v>488.54839800000002</v>
      </c>
      <c r="H690">
        <v>46.269580599999998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</row>
    <row r="691" spans="1:16" x14ac:dyDescent="0.25">
      <c r="A691" t="s">
        <v>8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</row>
    <row r="692" spans="1:16" x14ac:dyDescent="0.25">
      <c r="A692" t="s">
        <v>9</v>
      </c>
      <c r="B692">
        <v>1529.5128299999999</v>
      </c>
      <c r="C692">
        <v>1256.42976</v>
      </c>
      <c r="D692">
        <v>273.08306299999998</v>
      </c>
      <c r="E692">
        <v>310.29871200000002</v>
      </c>
      <c r="F692">
        <v>82.234915400000006</v>
      </c>
      <c r="G692">
        <v>963.173903</v>
      </c>
      <c r="H692">
        <v>51.367913700000003</v>
      </c>
      <c r="I692">
        <v>122.43738399999999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</row>
    <row r="693" spans="1:16" x14ac:dyDescent="0.25">
      <c r="A693" t="s">
        <v>10</v>
      </c>
      <c r="B693">
        <v>460.98331999999999</v>
      </c>
      <c r="C693">
        <v>0</v>
      </c>
      <c r="D693">
        <v>460.98331999999999</v>
      </c>
      <c r="E693">
        <v>-965.54224199999999</v>
      </c>
      <c r="F693">
        <v>257.437881</v>
      </c>
      <c r="G693">
        <v>152.27539300000001</v>
      </c>
      <c r="H693">
        <v>0</v>
      </c>
      <c r="I693">
        <v>0</v>
      </c>
      <c r="J693">
        <v>0</v>
      </c>
      <c r="K693">
        <v>197.42875900000001</v>
      </c>
      <c r="L693">
        <v>396.99240700000001</v>
      </c>
      <c r="M693">
        <v>15.4082366</v>
      </c>
      <c r="N693">
        <v>0</v>
      </c>
      <c r="O693">
        <v>406.98288500000001</v>
      </c>
      <c r="P693">
        <v>0</v>
      </c>
    </row>
    <row r="694" spans="1:16" x14ac:dyDescent="0.25">
      <c r="A694" t="s">
        <v>11</v>
      </c>
      <c r="B694">
        <v>393.22574800000001</v>
      </c>
      <c r="C694">
        <v>0</v>
      </c>
      <c r="D694">
        <v>393.22574800000001</v>
      </c>
      <c r="E694">
        <v>94.026149399999994</v>
      </c>
      <c r="F694">
        <v>52.548126000000003</v>
      </c>
      <c r="G694">
        <v>150.88246699999999</v>
      </c>
      <c r="H694">
        <v>21.5399387</v>
      </c>
      <c r="I694">
        <v>30.473021899999999</v>
      </c>
      <c r="J694">
        <v>0</v>
      </c>
      <c r="K694">
        <v>0</v>
      </c>
      <c r="L694">
        <v>0</v>
      </c>
      <c r="M694">
        <v>43.7560456</v>
      </c>
      <c r="N694">
        <v>0</v>
      </c>
      <c r="O694">
        <v>0</v>
      </c>
      <c r="P694">
        <v>0</v>
      </c>
    </row>
    <row r="695" spans="1:16" x14ac:dyDescent="0.25">
      <c r="A695" t="s">
        <v>12</v>
      </c>
      <c r="B695">
        <v>15205.9107</v>
      </c>
      <c r="C695">
        <v>4216.2550199999996</v>
      </c>
      <c r="D695">
        <v>10989.6556</v>
      </c>
      <c r="E695">
        <v>3923.6136099999999</v>
      </c>
      <c r="F695">
        <v>1567.8612000000001</v>
      </c>
      <c r="G695">
        <v>4516.0484399999996</v>
      </c>
      <c r="H695">
        <v>738.67375600000003</v>
      </c>
      <c r="I695">
        <v>1981.70209</v>
      </c>
      <c r="J695">
        <v>0</v>
      </c>
      <c r="K695">
        <v>190.08829499999999</v>
      </c>
      <c r="L695">
        <v>795.3732</v>
      </c>
      <c r="M695">
        <v>1231.43607</v>
      </c>
      <c r="N695">
        <v>0</v>
      </c>
      <c r="O695">
        <v>261.11400300000003</v>
      </c>
      <c r="P695">
        <v>0</v>
      </c>
    </row>
    <row r="696" spans="1:16" x14ac:dyDescent="0.25">
      <c r="A696" t="s">
        <v>13</v>
      </c>
      <c r="B696">
        <v>5543.5408900000002</v>
      </c>
      <c r="C696">
        <v>0</v>
      </c>
      <c r="D696">
        <v>5543.5408900000002</v>
      </c>
      <c r="E696">
        <v>4052.9890500000001</v>
      </c>
      <c r="F696">
        <v>1042.28179</v>
      </c>
      <c r="G696">
        <v>0</v>
      </c>
      <c r="H696">
        <v>0</v>
      </c>
      <c r="I696">
        <v>0</v>
      </c>
      <c r="J696">
        <v>0</v>
      </c>
      <c r="K696">
        <v>36.476538099999999</v>
      </c>
      <c r="L696">
        <v>55.113501900000003</v>
      </c>
      <c r="M696">
        <v>315.17767900000001</v>
      </c>
      <c r="N696">
        <v>0</v>
      </c>
      <c r="O696">
        <v>41.502333100000001</v>
      </c>
      <c r="P696">
        <v>0</v>
      </c>
    </row>
    <row r="697" spans="1:16" x14ac:dyDescent="0.25">
      <c r="A697" t="s">
        <v>14</v>
      </c>
      <c r="B697">
        <v>2544.6797999999999</v>
      </c>
      <c r="C697">
        <v>0</v>
      </c>
      <c r="D697">
        <v>2544.6797999999999</v>
      </c>
      <c r="E697">
        <v>857.75534500000003</v>
      </c>
      <c r="F697">
        <v>111.039798</v>
      </c>
      <c r="G697">
        <v>646.52530100000001</v>
      </c>
      <c r="H697">
        <v>18.857603900000001</v>
      </c>
      <c r="I697" s="74">
        <v>3.8146972700000001E-12</v>
      </c>
      <c r="J697">
        <v>0</v>
      </c>
      <c r="K697">
        <v>0</v>
      </c>
      <c r="L697">
        <v>229.71135100000001</v>
      </c>
      <c r="M697">
        <v>591.61477000000002</v>
      </c>
      <c r="N697">
        <v>0</v>
      </c>
      <c r="O697">
        <v>89.175629499999999</v>
      </c>
      <c r="P697">
        <v>0</v>
      </c>
    </row>
    <row r="698" spans="1:16" x14ac:dyDescent="0.25">
      <c r="A698" t="s">
        <v>326</v>
      </c>
    </row>
    <row r="699" spans="1:16" x14ac:dyDescent="0.25">
      <c r="A699" t="s">
        <v>360</v>
      </c>
      <c r="B699" t="s">
        <v>18</v>
      </c>
      <c r="C699" t="s">
        <v>19</v>
      </c>
      <c r="D699" t="s">
        <v>20</v>
      </c>
      <c r="E699" t="s">
        <v>21</v>
      </c>
      <c r="F699" t="s">
        <v>22</v>
      </c>
      <c r="G699" t="s">
        <v>23</v>
      </c>
      <c r="H699" t="s">
        <v>361</v>
      </c>
      <c r="I699" t="s">
        <v>25</v>
      </c>
      <c r="J699" t="s">
        <v>362</v>
      </c>
      <c r="K699" t="s">
        <v>5</v>
      </c>
      <c r="L699" t="s">
        <v>6</v>
      </c>
      <c r="M699" t="s">
        <v>7</v>
      </c>
      <c r="N699" t="s">
        <v>8</v>
      </c>
      <c r="O699" t="s">
        <v>9</v>
      </c>
      <c r="P699" t="s">
        <v>363</v>
      </c>
    </row>
    <row r="700" spans="1:16" x14ac:dyDescent="0.25">
      <c r="A700" t="s">
        <v>364</v>
      </c>
      <c r="B700" t="s">
        <v>370</v>
      </c>
      <c r="C700" t="s">
        <v>370</v>
      </c>
      <c r="D700" t="s">
        <v>370</v>
      </c>
      <c r="E700" t="s">
        <v>370</v>
      </c>
      <c r="F700" t="s">
        <v>370</v>
      </c>
      <c r="G700" t="s">
        <v>370</v>
      </c>
      <c r="H700" t="s">
        <v>370</v>
      </c>
      <c r="I700" t="s">
        <v>370</v>
      </c>
      <c r="J700" t="s">
        <v>370</v>
      </c>
      <c r="K700" t="s">
        <v>370</v>
      </c>
      <c r="L700" t="s">
        <v>370</v>
      </c>
      <c r="M700" t="s">
        <v>370</v>
      </c>
      <c r="N700" t="s">
        <v>370</v>
      </c>
      <c r="O700" t="s">
        <v>370</v>
      </c>
      <c r="P700" t="s">
        <v>370</v>
      </c>
    </row>
    <row r="701" spans="1:16" x14ac:dyDescent="0.25">
      <c r="A701" t="s">
        <v>1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</row>
    <row r="702" spans="1:16" x14ac:dyDescent="0.25">
      <c r="A702" t="s">
        <v>2</v>
      </c>
      <c r="B702">
        <v>103.601328</v>
      </c>
      <c r="C702">
        <v>0</v>
      </c>
      <c r="D702">
        <v>103.601328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14.766947</v>
      </c>
      <c r="L702">
        <v>61.7883067</v>
      </c>
      <c r="M702">
        <v>0</v>
      </c>
      <c r="N702">
        <v>0</v>
      </c>
      <c r="O702">
        <v>27.0460745</v>
      </c>
      <c r="P702">
        <v>0</v>
      </c>
    </row>
    <row r="703" spans="1:16" x14ac:dyDescent="0.25">
      <c r="A703" t="s">
        <v>3</v>
      </c>
      <c r="B703">
        <v>89.852147500000001</v>
      </c>
      <c r="C703">
        <v>0</v>
      </c>
      <c r="D703">
        <v>89.852147500000001</v>
      </c>
      <c r="E703">
        <v>23.655672800000001</v>
      </c>
      <c r="F703">
        <v>0</v>
      </c>
      <c r="G703">
        <v>10.4820943</v>
      </c>
      <c r="H703">
        <v>3.70674166</v>
      </c>
      <c r="I703">
        <v>25.8347172</v>
      </c>
      <c r="J703">
        <v>0</v>
      </c>
      <c r="K703">
        <v>3.9910667499999999</v>
      </c>
      <c r="L703">
        <v>16.699542300000001</v>
      </c>
      <c r="M703">
        <v>0</v>
      </c>
      <c r="N703">
        <v>0</v>
      </c>
      <c r="O703">
        <v>5.4823123899999997</v>
      </c>
      <c r="P703">
        <v>0</v>
      </c>
    </row>
    <row r="704" spans="1:16" x14ac:dyDescent="0.25">
      <c r="A704" t="s">
        <v>4</v>
      </c>
      <c r="B704">
        <v>314.97379799999999</v>
      </c>
      <c r="C704">
        <v>0</v>
      </c>
      <c r="D704">
        <v>314.97379799999999</v>
      </c>
      <c r="E704">
        <v>76.931719299999997</v>
      </c>
      <c r="F704">
        <v>42.994610600000001</v>
      </c>
      <c r="G704">
        <v>123.45126999999999</v>
      </c>
      <c r="H704">
        <v>17.6238688</v>
      </c>
      <c r="I704">
        <v>24.932872199999998</v>
      </c>
      <c r="J704">
        <v>0</v>
      </c>
      <c r="K704">
        <v>0</v>
      </c>
      <c r="L704">
        <v>0</v>
      </c>
      <c r="M704">
        <v>35.8009749</v>
      </c>
      <c r="N704">
        <v>0</v>
      </c>
      <c r="O704">
        <v>-6.7615186200000004</v>
      </c>
      <c r="P704">
        <v>0</v>
      </c>
    </row>
    <row r="705" spans="1:16" x14ac:dyDescent="0.25">
      <c r="A705" t="s">
        <v>5</v>
      </c>
      <c r="B705">
        <v>14.766947</v>
      </c>
      <c r="C705">
        <v>18.758013699999999</v>
      </c>
      <c r="D705">
        <v>-3.9910667499999999</v>
      </c>
      <c r="E705">
        <v>5.2460219500000003</v>
      </c>
      <c r="F705">
        <v>1.91221252</v>
      </c>
      <c r="G705">
        <v>2.39344432</v>
      </c>
      <c r="H705">
        <v>0.138764419</v>
      </c>
      <c r="I705">
        <v>5.0765037800000004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</row>
    <row r="706" spans="1:16" x14ac:dyDescent="0.25">
      <c r="A706" t="s">
        <v>6</v>
      </c>
      <c r="B706">
        <v>61.7883067</v>
      </c>
      <c r="C706">
        <v>78.487848999999997</v>
      </c>
      <c r="D706">
        <v>-16.699542300000001</v>
      </c>
      <c r="E706">
        <v>8.6161654900000002</v>
      </c>
      <c r="F706">
        <v>1.2027467300000001</v>
      </c>
      <c r="G706">
        <v>6.1348827899999998</v>
      </c>
      <c r="H706">
        <v>0.99376505100000001</v>
      </c>
      <c r="I706">
        <v>44.840746600000003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</row>
    <row r="707" spans="1:16" x14ac:dyDescent="0.25">
      <c r="A707" t="s">
        <v>7</v>
      </c>
      <c r="B707">
        <v>88.4415415</v>
      </c>
      <c r="C707">
        <v>35.8009749</v>
      </c>
      <c r="D707">
        <v>52.6405666</v>
      </c>
      <c r="E707">
        <v>78.301161699999994</v>
      </c>
      <c r="F707">
        <v>4.0621940299999997</v>
      </c>
      <c r="G707">
        <v>5.61832259</v>
      </c>
      <c r="H707">
        <v>0.45986312499999998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</row>
    <row r="708" spans="1:16" x14ac:dyDescent="0.25">
      <c r="A708" t="s">
        <v>8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</row>
    <row r="709" spans="1:16" x14ac:dyDescent="0.25">
      <c r="A709" t="s">
        <v>9</v>
      </c>
      <c r="B709">
        <v>20.284555900000001</v>
      </c>
      <c r="C709">
        <v>25.766868200000001</v>
      </c>
      <c r="D709">
        <v>-5.4823123899999997</v>
      </c>
      <c r="E709">
        <v>4.0960352799999997</v>
      </c>
      <c r="F709">
        <v>0.99972203299999995</v>
      </c>
      <c r="G709">
        <v>12.1515377</v>
      </c>
      <c r="H709">
        <v>0.52073536399999998</v>
      </c>
      <c r="I709">
        <v>2.5165255000000002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</row>
    <row r="710" spans="1:16" x14ac:dyDescent="0.25">
      <c r="A710" t="s">
        <v>10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</row>
    <row r="711" spans="1:16" x14ac:dyDescent="0.25">
      <c r="A711" t="s">
        <v>11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</row>
    <row r="712" spans="1:16" x14ac:dyDescent="0.25">
      <c r="A712" t="s">
        <v>12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</row>
    <row r="713" spans="1:16" x14ac:dyDescent="0.25">
      <c r="A713" t="s">
        <v>13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</row>
    <row r="714" spans="1:16" x14ac:dyDescent="0.25">
      <c r="A714" t="s">
        <v>14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</row>
    <row r="715" spans="1:16" x14ac:dyDescent="0.25">
      <c r="A715" t="s">
        <v>327</v>
      </c>
    </row>
    <row r="716" spans="1:16" x14ac:dyDescent="0.25">
      <c r="A716" t="s">
        <v>360</v>
      </c>
      <c r="B716" t="s">
        <v>18</v>
      </c>
      <c r="C716" t="s">
        <v>19</v>
      </c>
      <c r="D716" t="s">
        <v>20</v>
      </c>
      <c r="E716" t="s">
        <v>21</v>
      </c>
      <c r="F716" t="s">
        <v>22</v>
      </c>
      <c r="G716" t="s">
        <v>23</v>
      </c>
      <c r="H716" t="s">
        <v>361</v>
      </c>
      <c r="I716" t="s">
        <v>25</v>
      </c>
      <c r="J716" t="s">
        <v>362</v>
      </c>
      <c r="K716" t="s">
        <v>5</v>
      </c>
      <c r="L716" t="s">
        <v>6</v>
      </c>
      <c r="M716" t="s">
        <v>7</v>
      </c>
      <c r="N716" t="s">
        <v>8</v>
      </c>
      <c r="O716" t="s">
        <v>9</v>
      </c>
      <c r="P716" t="s">
        <v>363</v>
      </c>
    </row>
    <row r="717" spans="1:16" x14ac:dyDescent="0.25">
      <c r="A717" t="s">
        <v>364</v>
      </c>
      <c r="B717" t="s">
        <v>365</v>
      </c>
      <c r="C717" t="s">
        <v>365</v>
      </c>
      <c r="D717" t="s">
        <v>365</v>
      </c>
      <c r="E717" t="s">
        <v>365</v>
      </c>
      <c r="F717" t="s">
        <v>365</v>
      </c>
      <c r="G717" t="s">
        <v>365</v>
      </c>
      <c r="H717" t="s">
        <v>365</v>
      </c>
      <c r="I717" t="s">
        <v>365</v>
      </c>
      <c r="J717" t="s">
        <v>365</v>
      </c>
      <c r="K717" t="s">
        <v>365</v>
      </c>
      <c r="L717" t="s">
        <v>365</v>
      </c>
      <c r="M717" t="s">
        <v>365</v>
      </c>
      <c r="N717" t="s">
        <v>365</v>
      </c>
      <c r="O717" t="s">
        <v>365</v>
      </c>
      <c r="P717" t="s">
        <v>365</v>
      </c>
    </row>
    <row r="718" spans="1:16" x14ac:dyDescent="0.25">
      <c r="A718" t="s">
        <v>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</row>
    <row r="719" spans="1:16" x14ac:dyDescent="0.25">
      <c r="A719" t="s">
        <v>2</v>
      </c>
      <c r="B719">
        <v>16.246189600000001</v>
      </c>
      <c r="C719">
        <v>0</v>
      </c>
      <c r="D719">
        <v>16.246189600000001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16.246189600000001</v>
      </c>
      <c r="L719">
        <v>0</v>
      </c>
      <c r="M719">
        <v>0</v>
      </c>
      <c r="N719">
        <v>0</v>
      </c>
      <c r="O719">
        <v>0</v>
      </c>
      <c r="P719">
        <v>0</v>
      </c>
    </row>
    <row r="720" spans="1:16" x14ac:dyDescent="0.25">
      <c r="A720" t="s">
        <v>3</v>
      </c>
      <c r="B720">
        <v>3406.8241200000002</v>
      </c>
      <c r="C720">
        <v>0</v>
      </c>
      <c r="D720">
        <v>3406.8241200000002</v>
      </c>
      <c r="E720">
        <v>328.12256000000002</v>
      </c>
      <c r="F720">
        <v>0</v>
      </c>
      <c r="G720">
        <v>350.24525699999998</v>
      </c>
      <c r="H720">
        <v>227.12074799999999</v>
      </c>
      <c r="I720">
        <v>1190.61151</v>
      </c>
      <c r="J720">
        <v>0</v>
      </c>
      <c r="K720">
        <v>209.57937899999999</v>
      </c>
      <c r="L720">
        <v>844.18009800000004</v>
      </c>
      <c r="M720">
        <v>0</v>
      </c>
      <c r="N720">
        <v>0</v>
      </c>
      <c r="O720">
        <v>256.96457299999997</v>
      </c>
      <c r="P720">
        <v>0</v>
      </c>
    </row>
    <row r="721" spans="1:16" x14ac:dyDescent="0.25">
      <c r="A721" t="s">
        <v>4</v>
      </c>
      <c r="B721">
        <v>3374.3470499999999</v>
      </c>
      <c r="C721">
        <v>0</v>
      </c>
      <c r="D721">
        <v>3374.3470499999999</v>
      </c>
      <c r="E721">
        <v>768.68550300000004</v>
      </c>
      <c r="F721">
        <v>538.20339200000001</v>
      </c>
      <c r="G721">
        <v>1249.9099100000001</v>
      </c>
      <c r="H721">
        <v>264.88841000000002</v>
      </c>
      <c r="I721">
        <v>252.722363</v>
      </c>
      <c r="J721">
        <v>0</v>
      </c>
      <c r="K721">
        <v>0</v>
      </c>
      <c r="L721">
        <v>0</v>
      </c>
      <c r="M721">
        <v>363.40277300000002</v>
      </c>
      <c r="N721">
        <v>0</v>
      </c>
      <c r="O721">
        <v>-63.465292699999999</v>
      </c>
      <c r="P721">
        <v>0</v>
      </c>
    </row>
    <row r="722" spans="1:16" x14ac:dyDescent="0.25">
      <c r="A722" t="s">
        <v>5</v>
      </c>
      <c r="B722">
        <v>225.825568</v>
      </c>
      <c r="C722">
        <v>225.825568</v>
      </c>
      <c r="D722">
        <v>0</v>
      </c>
      <c r="E722">
        <v>71.995355099999998</v>
      </c>
      <c r="F722">
        <v>30.278816500000001</v>
      </c>
      <c r="G722">
        <v>29.650906299999999</v>
      </c>
      <c r="H722">
        <v>2.6467590400000001</v>
      </c>
      <c r="I722">
        <v>91.253731299999998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</row>
    <row r="723" spans="1:16" x14ac:dyDescent="0.25">
      <c r="A723" t="s">
        <v>6</v>
      </c>
      <c r="B723">
        <v>844.18009800000004</v>
      </c>
      <c r="C723">
        <v>844.18009800000004</v>
      </c>
      <c r="D723" s="74">
        <v>-1.1368683799999999E-13</v>
      </c>
      <c r="E723">
        <v>109.739288</v>
      </c>
      <c r="F723">
        <v>37.626523599999999</v>
      </c>
      <c r="G723">
        <v>75.042346899999998</v>
      </c>
      <c r="H723">
        <v>22.7902144</v>
      </c>
      <c r="I723">
        <v>598.98172499999998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</row>
    <row r="724" spans="1:16" x14ac:dyDescent="0.25">
      <c r="A724" t="s">
        <v>7</v>
      </c>
      <c r="B724">
        <v>363.40277300000002</v>
      </c>
      <c r="C724">
        <v>363.40277300000002</v>
      </c>
      <c r="D724">
        <v>0</v>
      </c>
      <c r="E724">
        <v>320.58737500000001</v>
      </c>
      <c r="F724">
        <v>16.4497538</v>
      </c>
      <c r="G724">
        <v>21.419274999999999</v>
      </c>
      <c r="H724">
        <v>4.9463694800000004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</row>
    <row r="725" spans="1:16" x14ac:dyDescent="0.25">
      <c r="A725" t="s">
        <v>8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</row>
    <row r="726" spans="1:16" x14ac:dyDescent="0.25">
      <c r="A726" t="s">
        <v>9</v>
      </c>
      <c r="B726">
        <v>193.49928</v>
      </c>
      <c r="C726">
        <v>193.49928</v>
      </c>
      <c r="D726" s="74">
        <v>2.8421709399999999E-14</v>
      </c>
      <c r="E726">
        <v>38.812192400000001</v>
      </c>
      <c r="F726">
        <v>12.648602</v>
      </c>
      <c r="G726">
        <v>108.41746000000001</v>
      </c>
      <c r="H726">
        <v>8.4845253199999995</v>
      </c>
      <c r="I726">
        <v>25.1365005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</row>
    <row r="727" spans="1:16" x14ac:dyDescent="0.25">
      <c r="A727" t="s">
        <v>10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</row>
    <row r="728" spans="1:16" x14ac:dyDescent="0.25">
      <c r="A728" t="s">
        <v>11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</row>
    <row r="729" spans="1:16" x14ac:dyDescent="0.25">
      <c r="A729" t="s">
        <v>12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</row>
    <row r="730" spans="1:16" x14ac:dyDescent="0.25">
      <c r="A730" t="s">
        <v>13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</row>
    <row r="731" spans="1:16" x14ac:dyDescent="0.25">
      <c r="A731" t="s">
        <v>14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</row>
    <row r="732" spans="1:16" x14ac:dyDescent="0.25">
      <c r="A732" t="s">
        <v>328</v>
      </c>
    </row>
    <row r="733" spans="1:16" x14ac:dyDescent="0.25">
      <c r="A733" t="s">
        <v>360</v>
      </c>
      <c r="B733" t="s">
        <v>366</v>
      </c>
      <c r="C733" t="s">
        <v>367</v>
      </c>
      <c r="D733" t="s">
        <v>368</v>
      </c>
      <c r="E733" t="s">
        <v>21</v>
      </c>
      <c r="F733" t="s">
        <v>22</v>
      </c>
      <c r="G733" t="s">
        <v>23</v>
      </c>
      <c r="H733" t="s">
        <v>361</v>
      </c>
      <c r="I733" t="s">
        <v>25</v>
      </c>
      <c r="J733" t="s">
        <v>362</v>
      </c>
      <c r="K733" t="s">
        <v>5</v>
      </c>
      <c r="L733" t="s">
        <v>6</v>
      </c>
      <c r="M733" t="s">
        <v>7</v>
      </c>
      <c r="N733" t="s">
        <v>8</v>
      </c>
      <c r="O733" t="s">
        <v>9</v>
      </c>
      <c r="P733" t="s">
        <v>363</v>
      </c>
    </row>
    <row r="734" spans="1:16" x14ac:dyDescent="0.25">
      <c r="A734" t="s">
        <v>364</v>
      </c>
      <c r="B734" t="s">
        <v>369</v>
      </c>
      <c r="C734" t="s">
        <v>369</v>
      </c>
      <c r="D734" t="s">
        <v>369</v>
      </c>
      <c r="E734" t="s">
        <v>369</v>
      </c>
      <c r="F734" t="s">
        <v>369</v>
      </c>
      <c r="G734" t="s">
        <v>369</v>
      </c>
      <c r="H734" t="s">
        <v>369</v>
      </c>
      <c r="I734" t="s">
        <v>369</v>
      </c>
      <c r="J734" t="s">
        <v>369</v>
      </c>
      <c r="K734" t="s">
        <v>369</v>
      </c>
      <c r="L734" t="s">
        <v>369</v>
      </c>
      <c r="M734" t="s">
        <v>369</v>
      </c>
      <c r="N734" t="s">
        <v>369</v>
      </c>
      <c r="O734" t="s">
        <v>369</v>
      </c>
      <c r="P734" t="s">
        <v>369</v>
      </c>
    </row>
    <row r="735" spans="1:16" x14ac:dyDescent="0.25">
      <c r="A735" t="s">
        <v>1</v>
      </c>
      <c r="B735">
        <v>8165.4550200000003</v>
      </c>
      <c r="C735">
        <v>0</v>
      </c>
      <c r="D735">
        <v>8165.4550200000003</v>
      </c>
      <c r="E735">
        <v>3606.59449</v>
      </c>
      <c r="F735">
        <v>0</v>
      </c>
      <c r="G735">
        <v>1156.49326</v>
      </c>
      <c r="H735">
        <v>0</v>
      </c>
      <c r="I735">
        <v>0</v>
      </c>
      <c r="J735">
        <v>0</v>
      </c>
      <c r="K735">
        <v>6.6643273000000001</v>
      </c>
      <c r="L735">
        <v>849.83717100000001</v>
      </c>
      <c r="M735">
        <v>2198.7268800000002</v>
      </c>
      <c r="N735">
        <v>0</v>
      </c>
      <c r="O735">
        <v>347.13888900000001</v>
      </c>
      <c r="P735">
        <v>0</v>
      </c>
    </row>
    <row r="736" spans="1:16" x14ac:dyDescent="0.25">
      <c r="A736" t="s">
        <v>2</v>
      </c>
      <c r="B736">
        <v>2316.3514799999998</v>
      </c>
      <c r="C736">
        <v>0</v>
      </c>
      <c r="D736">
        <v>2316.3514799999998</v>
      </c>
      <c r="E736">
        <v>483.631034</v>
      </c>
      <c r="F736">
        <v>634.20388400000002</v>
      </c>
      <c r="G736">
        <v>284.64142900000002</v>
      </c>
      <c r="H736">
        <v>0</v>
      </c>
      <c r="I736">
        <v>0</v>
      </c>
      <c r="J736">
        <v>0</v>
      </c>
      <c r="K736">
        <v>463.88725699999998</v>
      </c>
      <c r="L736">
        <v>8.6931648399999999E-3</v>
      </c>
      <c r="M736">
        <v>0</v>
      </c>
      <c r="N736">
        <v>0</v>
      </c>
      <c r="O736">
        <v>449.97918700000002</v>
      </c>
      <c r="P736">
        <v>0</v>
      </c>
    </row>
    <row r="737" spans="1:16" x14ac:dyDescent="0.25">
      <c r="A737" t="s">
        <v>3</v>
      </c>
      <c r="B737">
        <v>3751.7202600000001</v>
      </c>
      <c r="C737">
        <v>0</v>
      </c>
      <c r="D737">
        <v>3751.7202600000001</v>
      </c>
      <c r="E737">
        <v>120.581343</v>
      </c>
      <c r="F737">
        <v>0</v>
      </c>
      <c r="G737">
        <v>147.001666</v>
      </c>
      <c r="H737">
        <v>115.23092800000001</v>
      </c>
      <c r="I737">
        <v>196.264521</v>
      </c>
      <c r="J737">
        <v>0</v>
      </c>
      <c r="K737">
        <v>37.3219694</v>
      </c>
      <c r="L737">
        <v>150.33188899999999</v>
      </c>
      <c r="M737">
        <v>0</v>
      </c>
      <c r="N737">
        <v>0</v>
      </c>
      <c r="O737">
        <v>45.760341500000003</v>
      </c>
      <c r="P737">
        <v>2939.2276000000002</v>
      </c>
    </row>
    <row r="738" spans="1:16" x14ac:dyDescent="0.25">
      <c r="A738" t="s">
        <v>4</v>
      </c>
      <c r="B738">
        <v>13636.168</v>
      </c>
      <c r="C738">
        <v>0</v>
      </c>
      <c r="D738">
        <v>13636.168</v>
      </c>
      <c r="E738">
        <v>3614.5347999999999</v>
      </c>
      <c r="F738">
        <v>2236.56052</v>
      </c>
      <c r="G738">
        <v>4067.9658199999999</v>
      </c>
      <c r="H738">
        <v>909.98099000000002</v>
      </c>
      <c r="I738">
        <v>644.099199</v>
      </c>
      <c r="J738">
        <v>0</v>
      </c>
      <c r="K738">
        <v>0</v>
      </c>
      <c r="L738">
        <v>0</v>
      </c>
      <c r="M738">
        <v>952.27863500000001</v>
      </c>
      <c r="N738">
        <v>0</v>
      </c>
      <c r="O738">
        <v>-161.75040300000001</v>
      </c>
      <c r="P738">
        <v>1372.4984099999999</v>
      </c>
    </row>
    <row r="739" spans="1:16" x14ac:dyDescent="0.25">
      <c r="A739" t="s">
        <v>5</v>
      </c>
      <c r="B739">
        <v>1152.7490399999999</v>
      </c>
      <c r="C739">
        <v>980.91149499999995</v>
      </c>
      <c r="D739">
        <v>171.83754099999999</v>
      </c>
      <c r="E739">
        <v>417.20205800000002</v>
      </c>
      <c r="F739">
        <v>171.775406</v>
      </c>
      <c r="G739">
        <v>183.78233700000001</v>
      </c>
      <c r="H739">
        <v>19.525293999999999</v>
      </c>
      <c r="I739">
        <v>360.46393999999998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</row>
    <row r="740" spans="1:16" x14ac:dyDescent="0.25">
      <c r="A740" t="s">
        <v>6</v>
      </c>
      <c r="B740">
        <v>4181.7872699999998</v>
      </c>
      <c r="C740">
        <v>2660.3857400000002</v>
      </c>
      <c r="D740">
        <v>1521.4015300000001</v>
      </c>
      <c r="E740">
        <v>689.93949699999996</v>
      </c>
      <c r="F740">
        <v>254.61838299999999</v>
      </c>
      <c r="G740">
        <v>504.38093400000002</v>
      </c>
      <c r="H740">
        <v>183.381835</v>
      </c>
      <c r="I740">
        <v>2549.4666200000001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</row>
    <row r="741" spans="1:16" x14ac:dyDescent="0.25">
      <c r="A741" t="s">
        <v>7</v>
      </c>
      <c r="B741">
        <v>9038.5145300000004</v>
      </c>
      <c r="C741">
        <v>5360.8248199999998</v>
      </c>
      <c r="D741">
        <v>3677.6897100000001</v>
      </c>
      <c r="E741">
        <v>7949.2845600000001</v>
      </c>
      <c r="F741">
        <v>439.96101599999997</v>
      </c>
      <c r="G741">
        <v>517.37351200000001</v>
      </c>
      <c r="H741">
        <v>131.895444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</row>
    <row r="742" spans="1:16" x14ac:dyDescent="0.25">
      <c r="A742" t="s">
        <v>8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</row>
    <row r="743" spans="1:16" x14ac:dyDescent="0.25">
      <c r="A743" t="s">
        <v>9</v>
      </c>
      <c r="B743">
        <v>1648.5995800000001</v>
      </c>
      <c r="C743">
        <v>1500.6194</v>
      </c>
      <c r="D743">
        <v>147.98018099999999</v>
      </c>
      <c r="E743">
        <v>330.15494799999999</v>
      </c>
      <c r="F743">
        <v>114.672088</v>
      </c>
      <c r="G743">
        <v>974.08419400000002</v>
      </c>
      <c r="H743">
        <v>87.607852800000003</v>
      </c>
      <c r="I743">
        <v>142.08049800000001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</row>
    <row r="744" spans="1:16" x14ac:dyDescent="0.25">
      <c r="A744" t="s">
        <v>10</v>
      </c>
      <c r="B744">
        <v>567.31689500000005</v>
      </c>
      <c r="C744">
        <v>0</v>
      </c>
      <c r="D744">
        <v>567.31689500000005</v>
      </c>
      <c r="E744">
        <v>-907.03164000000004</v>
      </c>
      <c r="F744">
        <v>297.61294600000002</v>
      </c>
      <c r="G744">
        <v>158.237684</v>
      </c>
      <c r="H744">
        <v>0</v>
      </c>
      <c r="I744">
        <v>0</v>
      </c>
      <c r="J744">
        <v>0</v>
      </c>
      <c r="K744">
        <v>197.230164</v>
      </c>
      <c r="L744">
        <v>409.27331900000001</v>
      </c>
      <c r="M744">
        <v>14.4104042</v>
      </c>
      <c r="N744">
        <v>0</v>
      </c>
      <c r="O744">
        <v>397.58401700000002</v>
      </c>
      <c r="P744">
        <v>0</v>
      </c>
    </row>
    <row r="745" spans="1:16" x14ac:dyDescent="0.25">
      <c r="A745" t="s">
        <v>11</v>
      </c>
      <c r="B745">
        <v>508.976044</v>
      </c>
      <c r="C745">
        <v>0</v>
      </c>
      <c r="D745">
        <v>508.976044</v>
      </c>
      <c r="E745">
        <v>113.805661</v>
      </c>
      <c r="F745">
        <v>79.682253000000003</v>
      </c>
      <c r="G745">
        <v>185.052043</v>
      </c>
      <c r="H745">
        <v>39.217339799999998</v>
      </c>
      <c r="I745">
        <v>37.416128499999999</v>
      </c>
      <c r="J745">
        <v>0</v>
      </c>
      <c r="K745">
        <v>0</v>
      </c>
      <c r="L745">
        <v>0</v>
      </c>
      <c r="M745">
        <v>53.8026184</v>
      </c>
      <c r="N745">
        <v>0</v>
      </c>
      <c r="O745">
        <v>0</v>
      </c>
      <c r="P745">
        <v>0</v>
      </c>
    </row>
    <row r="746" spans="1:16" x14ac:dyDescent="0.25">
      <c r="A746" t="s">
        <v>12</v>
      </c>
      <c r="B746">
        <v>15487.680899999999</v>
      </c>
      <c r="C746">
        <v>4311.7260100000003</v>
      </c>
      <c r="D746">
        <v>11175.954900000001</v>
      </c>
      <c r="E746">
        <v>3135.8488600000001</v>
      </c>
      <c r="F746">
        <v>1936.28224</v>
      </c>
      <c r="G746">
        <v>4486.6773599999997</v>
      </c>
      <c r="H746">
        <v>1110.1323600000001</v>
      </c>
      <c r="I746">
        <v>2108.6699600000002</v>
      </c>
      <c r="J746">
        <v>0</v>
      </c>
      <c r="K746">
        <v>236.455804</v>
      </c>
      <c r="L746">
        <v>952.43761600000005</v>
      </c>
      <c r="M746">
        <v>1231.25902</v>
      </c>
      <c r="N746">
        <v>0</v>
      </c>
      <c r="O746">
        <v>289.91766799999999</v>
      </c>
      <c r="P746">
        <v>0</v>
      </c>
    </row>
    <row r="747" spans="1:16" x14ac:dyDescent="0.25">
      <c r="A747" t="s">
        <v>13</v>
      </c>
      <c r="B747">
        <v>5855.7538599999998</v>
      </c>
      <c r="C747">
        <v>0</v>
      </c>
      <c r="D747">
        <v>5855.7538599999998</v>
      </c>
      <c r="E747">
        <v>4082.8972100000001</v>
      </c>
      <c r="F747">
        <v>1306.2676200000001</v>
      </c>
      <c r="G747">
        <v>0</v>
      </c>
      <c r="H747">
        <v>0</v>
      </c>
      <c r="I747">
        <v>0</v>
      </c>
      <c r="J747">
        <v>0</v>
      </c>
      <c r="K747">
        <v>37.420407500000003</v>
      </c>
      <c r="L747">
        <v>65.717099700000006</v>
      </c>
      <c r="M747">
        <v>320.49851200000001</v>
      </c>
      <c r="N747">
        <v>0</v>
      </c>
      <c r="O747">
        <v>42.953009100000003</v>
      </c>
      <c r="P747">
        <v>0</v>
      </c>
    </row>
    <row r="748" spans="1:16" x14ac:dyDescent="0.25">
      <c r="A748" t="s">
        <v>14</v>
      </c>
      <c r="B748">
        <v>2677.28179</v>
      </c>
      <c r="C748">
        <v>0</v>
      </c>
      <c r="D748">
        <v>2677.28179</v>
      </c>
      <c r="E748">
        <v>875.21843999999999</v>
      </c>
      <c r="F748">
        <v>128.61789200000001</v>
      </c>
      <c r="G748">
        <v>732.38767800000005</v>
      </c>
      <c r="H748">
        <v>27.4608226</v>
      </c>
      <c r="I748" s="74">
        <v>-3.5762786900000002E-12</v>
      </c>
      <c r="J748">
        <v>0</v>
      </c>
      <c r="K748">
        <v>1.93156543</v>
      </c>
      <c r="L748">
        <v>232.77995100000001</v>
      </c>
      <c r="M748">
        <v>589.848747</v>
      </c>
      <c r="N748">
        <v>0</v>
      </c>
      <c r="O748">
        <v>89.036692200000005</v>
      </c>
      <c r="P748">
        <v>0</v>
      </c>
    </row>
    <row r="749" spans="1:16" x14ac:dyDescent="0.25">
      <c r="A749" t="s">
        <v>329</v>
      </c>
    </row>
    <row r="750" spans="1:16" x14ac:dyDescent="0.25">
      <c r="A750" t="s">
        <v>360</v>
      </c>
      <c r="B750" t="s">
        <v>18</v>
      </c>
      <c r="C750" t="s">
        <v>19</v>
      </c>
      <c r="D750" t="s">
        <v>20</v>
      </c>
      <c r="E750" t="s">
        <v>21</v>
      </c>
      <c r="F750" t="s">
        <v>22</v>
      </c>
      <c r="G750" t="s">
        <v>23</v>
      </c>
      <c r="H750" t="s">
        <v>361</v>
      </c>
      <c r="I750" t="s">
        <v>25</v>
      </c>
      <c r="J750" t="s">
        <v>362</v>
      </c>
      <c r="K750" t="s">
        <v>5</v>
      </c>
      <c r="L750" t="s">
        <v>6</v>
      </c>
      <c r="M750" t="s">
        <v>7</v>
      </c>
      <c r="N750" t="s">
        <v>8</v>
      </c>
      <c r="O750" t="s">
        <v>9</v>
      </c>
      <c r="P750" t="s">
        <v>363</v>
      </c>
    </row>
    <row r="751" spans="1:16" x14ac:dyDescent="0.25">
      <c r="A751" t="s">
        <v>364</v>
      </c>
      <c r="B751" t="s">
        <v>370</v>
      </c>
      <c r="C751" t="s">
        <v>370</v>
      </c>
      <c r="D751" t="s">
        <v>370</v>
      </c>
      <c r="E751" t="s">
        <v>370</v>
      </c>
      <c r="F751" t="s">
        <v>370</v>
      </c>
      <c r="G751" t="s">
        <v>370</v>
      </c>
      <c r="H751" t="s">
        <v>370</v>
      </c>
      <c r="I751" t="s">
        <v>370</v>
      </c>
      <c r="J751" t="s">
        <v>370</v>
      </c>
      <c r="K751" t="s">
        <v>370</v>
      </c>
      <c r="L751" t="s">
        <v>370</v>
      </c>
      <c r="M751" t="s">
        <v>370</v>
      </c>
      <c r="N751" t="s">
        <v>370</v>
      </c>
      <c r="O751" t="s">
        <v>370</v>
      </c>
      <c r="P751" t="s">
        <v>370</v>
      </c>
    </row>
    <row r="752" spans="1:16" x14ac:dyDescent="0.25">
      <c r="A752" t="s">
        <v>1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</row>
    <row r="753" spans="1:16" x14ac:dyDescent="0.25">
      <c r="A753" t="s">
        <v>2</v>
      </c>
      <c r="B753">
        <v>102.074252</v>
      </c>
      <c r="C753">
        <v>0</v>
      </c>
      <c r="D753">
        <v>102.074252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15.3200956</v>
      </c>
      <c r="L753">
        <v>61.708932799999999</v>
      </c>
      <c r="M753">
        <v>0</v>
      </c>
      <c r="N753">
        <v>0</v>
      </c>
      <c r="O753">
        <v>25.045223700000001</v>
      </c>
      <c r="P753">
        <v>0</v>
      </c>
    </row>
    <row r="754" spans="1:16" x14ac:dyDescent="0.25">
      <c r="A754" t="s">
        <v>3</v>
      </c>
      <c r="B754">
        <v>67.307105800000002</v>
      </c>
      <c r="C754">
        <v>0</v>
      </c>
      <c r="D754">
        <v>67.307105800000002</v>
      </c>
      <c r="E754">
        <v>6.4825711699999999</v>
      </c>
      <c r="F754">
        <v>0</v>
      </c>
      <c r="G754">
        <v>6.9196394400000001</v>
      </c>
      <c r="H754">
        <v>4.4871233899999998</v>
      </c>
      <c r="I754">
        <v>23.522380999999999</v>
      </c>
      <c r="J754">
        <v>0</v>
      </c>
      <c r="K754">
        <v>4.1405663800000001</v>
      </c>
      <c r="L754">
        <v>16.6780899</v>
      </c>
      <c r="M754">
        <v>0</v>
      </c>
      <c r="N754">
        <v>0</v>
      </c>
      <c r="O754">
        <v>5.0767345400000004</v>
      </c>
      <c r="P754">
        <v>0</v>
      </c>
    </row>
    <row r="755" spans="1:16" x14ac:dyDescent="0.25">
      <c r="A755" t="s">
        <v>4</v>
      </c>
      <c r="B755">
        <v>332.90351900000002</v>
      </c>
      <c r="C755">
        <v>0</v>
      </c>
      <c r="D755">
        <v>332.90351900000002</v>
      </c>
      <c r="E755">
        <v>75.836333499999995</v>
      </c>
      <c r="F755">
        <v>53.097621599999997</v>
      </c>
      <c r="G755">
        <v>123.31256999999999</v>
      </c>
      <c r="H755">
        <v>26.1331399</v>
      </c>
      <c r="I755">
        <v>24.932872199999998</v>
      </c>
      <c r="J755">
        <v>0</v>
      </c>
      <c r="K755">
        <v>0</v>
      </c>
      <c r="L755">
        <v>0</v>
      </c>
      <c r="M755">
        <v>35.852287799999999</v>
      </c>
      <c r="N755">
        <v>0</v>
      </c>
      <c r="O755">
        <v>-6.2613059399999997</v>
      </c>
      <c r="P755">
        <v>0</v>
      </c>
    </row>
    <row r="756" spans="1:16" x14ac:dyDescent="0.25">
      <c r="A756" t="s">
        <v>5</v>
      </c>
      <c r="B756">
        <v>15.3200956</v>
      </c>
      <c r="C756">
        <v>19.460661999999999</v>
      </c>
      <c r="D756">
        <v>-4.1405663800000001</v>
      </c>
      <c r="E756">
        <v>4.8841932799999999</v>
      </c>
      <c r="F756">
        <v>2.0541268499999998</v>
      </c>
      <c r="G756">
        <v>2.0115291700000002</v>
      </c>
      <c r="H756">
        <v>0.17955717700000001</v>
      </c>
      <c r="I756">
        <v>6.1906891100000001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</row>
    <row r="757" spans="1:16" x14ac:dyDescent="0.25">
      <c r="A757" t="s">
        <v>6</v>
      </c>
      <c r="B757">
        <v>61.708932799999999</v>
      </c>
      <c r="C757">
        <v>78.387022700000003</v>
      </c>
      <c r="D757">
        <v>-16.6780899</v>
      </c>
      <c r="E757">
        <v>8.0218597500000008</v>
      </c>
      <c r="F757">
        <v>2.7504706900000002</v>
      </c>
      <c r="G757">
        <v>5.4855393399999999</v>
      </c>
      <c r="H757">
        <v>1.6659476</v>
      </c>
      <c r="I757">
        <v>43.785115400000002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</row>
    <row r="758" spans="1:16" x14ac:dyDescent="0.25">
      <c r="A758" t="s">
        <v>7</v>
      </c>
      <c r="B758">
        <v>87.690255100000002</v>
      </c>
      <c r="C758">
        <v>35.852287799999999</v>
      </c>
      <c r="D758">
        <v>51.837967300000003</v>
      </c>
      <c r="E758">
        <v>77.358762100000007</v>
      </c>
      <c r="F758">
        <v>3.9693783599999999</v>
      </c>
      <c r="G758">
        <v>5.1685397799999997</v>
      </c>
      <c r="H758">
        <v>1.19357482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</row>
    <row r="759" spans="1:16" x14ac:dyDescent="0.25">
      <c r="A759" t="s">
        <v>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</row>
    <row r="760" spans="1:16" x14ac:dyDescent="0.25">
      <c r="A760" t="s">
        <v>9</v>
      </c>
      <c r="B760">
        <v>18.783917800000001</v>
      </c>
      <c r="C760">
        <v>23.860652300000002</v>
      </c>
      <c r="D760">
        <v>-5.0767345400000004</v>
      </c>
      <c r="E760">
        <v>3.7676886000000001</v>
      </c>
      <c r="F760">
        <v>1.22786142</v>
      </c>
      <c r="G760">
        <v>10.524611</v>
      </c>
      <c r="H760">
        <v>0.82363420600000004</v>
      </c>
      <c r="I760">
        <v>2.4401225599999998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</row>
    <row r="761" spans="1:16" x14ac:dyDescent="0.25">
      <c r="A761" t="s">
        <v>10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</row>
    <row r="762" spans="1:16" x14ac:dyDescent="0.25">
      <c r="A762" t="s">
        <v>11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</row>
    <row r="763" spans="1:16" x14ac:dyDescent="0.25">
      <c r="A763" t="s">
        <v>12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</row>
    <row r="764" spans="1:16" x14ac:dyDescent="0.25">
      <c r="A764" t="s">
        <v>13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</row>
    <row r="765" spans="1:16" x14ac:dyDescent="0.25">
      <c r="A765" t="s">
        <v>14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</row>
    <row r="766" spans="1:16" x14ac:dyDescent="0.25">
      <c r="A766" t="s">
        <v>330</v>
      </c>
    </row>
    <row r="767" spans="1:16" x14ac:dyDescent="0.25">
      <c r="A767" t="s">
        <v>360</v>
      </c>
      <c r="B767" t="s">
        <v>18</v>
      </c>
      <c r="C767" t="s">
        <v>19</v>
      </c>
      <c r="D767" t="s">
        <v>20</v>
      </c>
      <c r="E767" t="s">
        <v>21</v>
      </c>
      <c r="F767" t="s">
        <v>22</v>
      </c>
      <c r="G767" t="s">
        <v>23</v>
      </c>
      <c r="H767" t="s">
        <v>361</v>
      </c>
      <c r="I767" t="s">
        <v>25</v>
      </c>
      <c r="J767" t="s">
        <v>362</v>
      </c>
      <c r="K767" t="s">
        <v>5</v>
      </c>
      <c r="L767" t="s">
        <v>6</v>
      </c>
      <c r="M767" t="s">
        <v>7</v>
      </c>
      <c r="N767" t="s">
        <v>8</v>
      </c>
      <c r="O767" t="s">
        <v>9</v>
      </c>
      <c r="P767" t="s">
        <v>363</v>
      </c>
    </row>
    <row r="768" spans="1:16" x14ac:dyDescent="0.25">
      <c r="A768" t="s">
        <v>364</v>
      </c>
      <c r="B768" t="s">
        <v>365</v>
      </c>
      <c r="C768" t="s">
        <v>365</v>
      </c>
      <c r="D768" t="s">
        <v>365</v>
      </c>
      <c r="E768" t="s">
        <v>365</v>
      </c>
      <c r="F768" t="s">
        <v>365</v>
      </c>
      <c r="G768" t="s">
        <v>365</v>
      </c>
      <c r="H768" t="s">
        <v>365</v>
      </c>
      <c r="I768" t="s">
        <v>365</v>
      </c>
      <c r="J768" t="s">
        <v>365</v>
      </c>
      <c r="K768" t="s">
        <v>365</v>
      </c>
      <c r="L768" t="s">
        <v>365</v>
      </c>
      <c r="M768" t="s">
        <v>365</v>
      </c>
      <c r="N768" t="s">
        <v>365</v>
      </c>
      <c r="O768" t="s">
        <v>365</v>
      </c>
      <c r="P768" t="s">
        <v>365</v>
      </c>
    </row>
    <row r="769" spans="1:16" x14ac:dyDescent="0.25">
      <c r="A769" t="s">
        <v>1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</row>
    <row r="770" spans="1:16" x14ac:dyDescent="0.25">
      <c r="A770" t="s">
        <v>2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</row>
    <row r="771" spans="1:16" x14ac:dyDescent="0.25">
      <c r="A771" t="s">
        <v>3</v>
      </c>
      <c r="B771">
        <v>26336.189399999999</v>
      </c>
      <c r="C771">
        <v>0</v>
      </c>
      <c r="D771">
        <v>26336.189399999999</v>
      </c>
      <c r="E771">
        <v>15931.857599999999</v>
      </c>
      <c r="F771">
        <v>0</v>
      </c>
      <c r="G771">
        <v>6215.9005399999996</v>
      </c>
      <c r="H771">
        <v>0</v>
      </c>
      <c r="I771">
        <v>3926.2105200000001</v>
      </c>
      <c r="J771">
        <v>0</v>
      </c>
      <c r="K771">
        <v>262.22080999999997</v>
      </c>
      <c r="L771">
        <v>0</v>
      </c>
      <c r="M771">
        <v>0</v>
      </c>
      <c r="N771">
        <v>0</v>
      </c>
      <c r="O771">
        <v>0</v>
      </c>
      <c r="P771">
        <v>0</v>
      </c>
    </row>
    <row r="772" spans="1:16" x14ac:dyDescent="0.25">
      <c r="A772" t="s">
        <v>4</v>
      </c>
      <c r="B772">
        <v>29035.4663</v>
      </c>
      <c r="C772">
        <v>0</v>
      </c>
      <c r="D772">
        <v>29035.4663</v>
      </c>
      <c r="E772">
        <v>10263.648999999999</v>
      </c>
      <c r="F772">
        <v>0</v>
      </c>
      <c r="G772">
        <v>15625.6351</v>
      </c>
      <c r="H772">
        <v>0</v>
      </c>
      <c r="I772">
        <v>3146.1821799999998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25">
      <c r="A773" t="s">
        <v>5</v>
      </c>
      <c r="B773">
        <v>262.22080999999997</v>
      </c>
      <c r="C773">
        <v>262.22080999999997</v>
      </c>
      <c r="D773">
        <v>0</v>
      </c>
      <c r="E773">
        <v>128.847286</v>
      </c>
      <c r="F773">
        <v>0</v>
      </c>
      <c r="G773">
        <v>58.802023900000002</v>
      </c>
      <c r="H773">
        <v>0</v>
      </c>
      <c r="I773">
        <v>74.571500599999993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</row>
    <row r="774" spans="1:16" x14ac:dyDescent="0.25">
      <c r="A774" t="s">
        <v>6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</row>
    <row r="775" spans="1:16" x14ac:dyDescent="0.25">
      <c r="A775" t="s">
        <v>7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25">
      <c r="A776" t="s">
        <v>8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</row>
    <row r="777" spans="1:16" x14ac:dyDescent="0.25">
      <c r="A777" t="s">
        <v>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</row>
    <row r="778" spans="1:16" x14ac:dyDescent="0.25">
      <c r="A778" t="s">
        <v>10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</row>
    <row r="779" spans="1:16" x14ac:dyDescent="0.25">
      <c r="A779" t="s">
        <v>11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</row>
    <row r="780" spans="1:16" x14ac:dyDescent="0.25">
      <c r="A780" t="s">
        <v>12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</row>
    <row r="781" spans="1:16" x14ac:dyDescent="0.25">
      <c r="A781" t="s">
        <v>13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25">
      <c r="A782" t="s">
        <v>14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</row>
    <row r="783" spans="1:16" x14ac:dyDescent="0.25">
      <c r="A783" t="s">
        <v>331</v>
      </c>
    </row>
    <row r="784" spans="1:16" x14ac:dyDescent="0.25">
      <c r="A784" t="s">
        <v>360</v>
      </c>
      <c r="B784" t="s">
        <v>366</v>
      </c>
      <c r="C784" t="s">
        <v>367</v>
      </c>
      <c r="D784" t="s">
        <v>368</v>
      </c>
      <c r="E784" t="s">
        <v>21</v>
      </c>
      <c r="F784" t="s">
        <v>22</v>
      </c>
      <c r="G784" t="s">
        <v>23</v>
      </c>
      <c r="H784" t="s">
        <v>361</v>
      </c>
      <c r="I784" t="s">
        <v>25</v>
      </c>
      <c r="J784" t="s">
        <v>362</v>
      </c>
      <c r="K784" t="s">
        <v>5</v>
      </c>
      <c r="L784" t="s">
        <v>6</v>
      </c>
      <c r="M784" t="s">
        <v>7</v>
      </c>
      <c r="N784" t="s">
        <v>8</v>
      </c>
      <c r="O784" t="s">
        <v>9</v>
      </c>
      <c r="P784" t="s">
        <v>363</v>
      </c>
    </row>
    <row r="785" spans="1:16" x14ac:dyDescent="0.25">
      <c r="A785" t="s">
        <v>364</v>
      </c>
      <c r="B785" t="s">
        <v>369</v>
      </c>
      <c r="C785" t="s">
        <v>369</v>
      </c>
      <c r="D785" t="s">
        <v>369</v>
      </c>
      <c r="E785" t="s">
        <v>369</v>
      </c>
      <c r="F785" t="s">
        <v>369</v>
      </c>
      <c r="G785" t="s">
        <v>369</v>
      </c>
      <c r="H785" t="s">
        <v>369</v>
      </c>
      <c r="I785" t="s">
        <v>369</v>
      </c>
      <c r="J785" t="s">
        <v>369</v>
      </c>
      <c r="K785" t="s">
        <v>369</v>
      </c>
      <c r="L785" t="s">
        <v>369</v>
      </c>
      <c r="M785" t="s">
        <v>369</v>
      </c>
      <c r="N785" t="s">
        <v>369</v>
      </c>
      <c r="O785" t="s">
        <v>369</v>
      </c>
      <c r="P785" t="s">
        <v>369</v>
      </c>
    </row>
    <row r="786" spans="1:16" x14ac:dyDescent="0.25">
      <c r="A786" t="s">
        <v>1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</row>
    <row r="787" spans="1:16" x14ac:dyDescent="0.25">
      <c r="A787" t="s">
        <v>2</v>
      </c>
      <c r="B787">
        <v>109.19140400000001</v>
      </c>
      <c r="C787">
        <v>0</v>
      </c>
      <c r="D787">
        <v>109.19140400000001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109.19140400000001</v>
      </c>
      <c r="L787">
        <v>0</v>
      </c>
      <c r="M787">
        <v>0</v>
      </c>
      <c r="N787">
        <v>0</v>
      </c>
      <c r="O787">
        <v>0</v>
      </c>
      <c r="P787">
        <v>0</v>
      </c>
    </row>
    <row r="788" spans="1:16" x14ac:dyDescent="0.25">
      <c r="A788" t="s">
        <v>3</v>
      </c>
      <c r="B788">
        <v>8016.9908699999996</v>
      </c>
      <c r="C788">
        <v>0</v>
      </c>
      <c r="D788">
        <v>8016.9908699999996</v>
      </c>
      <c r="E788">
        <v>5115.9187099999999</v>
      </c>
      <c r="F788">
        <v>0</v>
      </c>
      <c r="G788">
        <v>1971.1320800000001</v>
      </c>
      <c r="H788">
        <v>0</v>
      </c>
      <c r="I788">
        <v>868.46659399999999</v>
      </c>
      <c r="J788">
        <v>0</v>
      </c>
      <c r="K788">
        <v>61.473485400000001</v>
      </c>
      <c r="L788">
        <v>0</v>
      </c>
      <c r="M788">
        <v>0</v>
      </c>
      <c r="N788">
        <v>0</v>
      </c>
      <c r="O788">
        <v>0</v>
      </c>
      <c r="P788" s="74">
        <v>-1.05719082E-11</v>
      </c>
    </row>
    <row r="789" spans="1:16" x14ac:dyDescent="0.25">
      <c r="A789" t="s">
        <v>4</v>
      </c>
      <c r="B789">
        <v>6820.9857899999997</v>
      </c>
      <c r="C789">
        <v>0</v>
      </c>
      <c r="D789">
        <v>6820.9857899999997</v>
      </c>
      <c r="E789">
        <v>3379.0539399999998</v>
      </c>
      <c r="F789">
        <v>0</v>
      </c>
      <c r="G789">
        <v>3109.4935500000001</v>
      </c>
      <c r="H789">
        <v>0</v>
      </c>
      <c r="I789">
        <v>332.43829599999998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 s="74">
        <v>-1.8190963600000001E-11</v>
      </c>
    </row>
    <row r="790" spans="1:16" x14ac:dyDescent="0.25">
      <c r="A790" t="s">
        <v>5</v>
      </c>
      <c r="B790">
        <v>445.03889600000002</v>
      </c>
      <c r="C790">
        <v>454.90302300000002</v>
      </c>
      <c r="D790">
        <v>-9.8641263099999996</v>
      </c>
      <c r="E790">
        <v>249.186578</v>
      </c>
      <c r="F790">
        <v>0</v>
      </c>
      <c r="G790">
        <v>131.969516</v>
      </c>
      <c r="H790">
        <v>0</v>
      </c>
      <c r="I790">
        <v>63.882801999999998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</row>
    <row r="791" spans="1:16" x14ac:dyDescent="0.25">
      <c r="A791" t="s">
        <v>6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</row>
    <row r="792" spans="1:16" x14ac:dyDescent="0.25">
      <c r="A792" t="s">
        <v>7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</row>
    <row r="793" spans="1:16" x14ac:dyDescent="0.25">
      <c r="A793" t="s">
        <v>8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</row>
    <row r="794" spans="1:16" x14ac:dyDescent="0.25">
      <c r="A794" t="s">
        <v>9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</row>
    <row r="795" spans="1:16" x14ac:dyDescent="0.25">
      <c r="A795" t="s">
        <v>10</v>
      </c>
      <c r="B795">
        <v>228.424845</v>
      </c>
      <c r="C795">
        <v>0</v>
      </c>
      <c r="D795">
        <v>228.424845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228.424845</v>
      </c>
      <c r="L795">
        <v>0</v>
      </c>
      <c r="M795">
        <v>0</v>
      </c>
      <c r="N795">
        <v>0</v>
      </c>
      <c r="O795">
        <v>0</v>
      </c>
      <c r="P795">
        <v>0</v>
      </c>
    </row>
    <row r="796" spans="1:16" x14ac:dyDescent="0.25">
      <c r="A796" t="s">
        <v>11</v>
      </c>
      <c r="B796">
        <v>107.469193</v>
      </c>
      <c r="C796">
        <v>0</v>
      </c>
      <c r="D796">
        <v>107.469193</v>
      </c>
      <c r="E796">
        <v>37.988922600000002</v>
      </c>
      <c r="F796">
        <v>0</v>
      </c>
      <c r="G796">
        <v>57.835282599999999</v>
      </c>
      <c r="H796">
        <v>0</v>
      </c>
      <c r="I796">
        <v>11.644988100000001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</row>
    <row r="797" spans="1:16" x14ac:dyDescent="0.25">
      <c r="A797" t="s">
        <v>12</v>
      </c>
      <c r="B797">
        <v>5484.8640699999996</v>
      </c>
      <c r="C797" s="74">
        <v>-2.87628718E-11</v>
      </c>
      <c r="D797">
        <v>5484.8640699999996</v>
      </c>
      <c r="E797">
        <v>3139.8345300000001</v>
      </c>
      <c r="F797">
        <v>0</v>
      </c>
      <c r="G797">
        <v>1492.51161</v>
      </c>
      <c r="H797">
        <v>0</v>
      </c>
      <c r="I797">
        <v>829.42220099999997</v>
      </c>
      <c r="J797">
        <v>0</v>
      </c>
      <c r="K797">
        <v>23.095728000000001</v>
      </c>
      <c r="L797">
        <v>0</v>
      </c>
      <c r="M797">
        <v>0</v>
      </c>
      <c r="N797">
        <v>0</v>
      </c>
      <c r="O797">
        <v>0</v>
      </c>
      <c r="P797">
        <v>0</v>
      </c>
    </row>
    <row r="798" spans="1:16" x14ac:dyDescent="0.25">
      <c r="A798" t="s">
        <v>13</v>
      </c>
      <c r="B798">
        <v>2297.8942699999998</v>
      </c>
      <c r="C798">
        <v>0</v>
      </c>
      <c r="D798">
        <v>2297.8942699999998</v>
      </c>
      <c r="E798">
        <v>2265.1767100000002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32.717560599999999</v>
      </c>
      <c r="L798">
        <v>0</v>
      </c>
      <c r="M798">
        <v>0</v>
      </c>
      <c r="N798">
        <v>0</v>
      </c>
      <c r="O798">
        <v>0</v>
      </c>
      <c r="P798">
        <v>0</v>
      </c>
    </row>
    <row r="799" spans="1:16" x14ac:dyDescent="0.25">
      <c r="A799" t="s">
        <v>14</v>
      </c>
      <c r="B799" s="74">
        <v>-6.4067840600000005E-11</v>
      </c>
      <c r="C799">
        <v>0</v>
      </c>
      <c r="D799" s="74">
        <v>-6.4067840600000005E-11</v>
      </c>
      <c r="E799" s="74">
        <v>-2.4967193600000001E-11</v>
      </c>
      <c r="F799">
        <v>0</v>
      </c>
      <c r="G799" s="74">
        <v>-3.8146972699999999E-11</v>
      </c>
      <c r="H799">
        <v>0</v>
      </c>
      <c r="I799" s="74">
        <v>-9.5367431600000007E-13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</row>
    <row r="800" spans="1:16" x14ac:dyDescent="0.25">
      <c r="A800" t="s">
        <v>332</v>
      </c>
    </row>
    <row r="801" spans="1:16" x14ac:dyDescent="0.25">
      <c r="A801" t="s">
        <v>360</v>
      </c>
      <c r="B801" t="s">
        <v>18</v>
      </c>
      <c r="C801" t="s">
        <v>19</v>
      </c>
      <c r="D801" t="s">
        <v>20</v>
      </c>
      <c r="E801" t="s">
        <v>21</v>
      </c>
      <c r="F801" t="s">
        <v>22</v>
      </c>
      <c r="G801" t="s">
        <v>23</v>
      </c>
      <c r="H801" t="s">
        <v>361</v>
      </c>
      <c r="I801" t="s">
        <v>25</v>
      </c>
      <c r="J801" t="s">
        <v>362</v>
      </c>
      <c r="K801" t="s">
        <v>5</v>
      </c>
      <c r="L801" t="s">
        <v>6</v>
      </c>
      <c r="M801" t="s">
        <v>7</v>
      </c>
      <c r="N801" t="s">
        <v>8</v>
      </c>
      <c r="O801" t="s">
        <v>9</v>
      </c>
      <c r="P801" t="s">
        <v>363</v>
      </c>
    </row>
    <row r="802" spans="1:16" x14ac:dyDescent="0.25">
      <c r="A802" t="s">
        <v>364</v>
      </c>
      <c r="B802" t="s">
        <v>370</v>
      </c>
      <c r="C802" t="s">
        <v>370</v>
      </c>
      <c r="D802" t="s">
        <v>370</v>
      </c>
      <c r="E802" t="s">
        <v>370</v>
      </c>
      <c r="F802" t="s">
        <v>370</v>
      </c>
      <c r="G802" t="s">
        <v>370</v>
      </c>
      <c r="H802" t="s">
        <v>370</v>
      </c>
      <c r="I802" t="s">
        <v>370</v>
      </c>
      <c r="J802" t="s">
        <v>370</v>
      </c>
      <c r="K802" t="s">
        <v>370</v>
      </c>
      <c r="L802" t="s">
        <v>370</v>
      </c>
      <c r="M802" t="s">
        <v>370</v>
      </c>
      <c r="N802" t="s">
        <v>370</v>
      </c>
      <c r="O802" t="s">
        <v>370</v>
      </c>
      <c r="P802" t="s">
        <v>370</v>
      </c>
    </row>
    <row r="803" spans="1:16" x14ac:dyDescent="0.25">
      <c r="A803" t="s">
        <v>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</row>
    <row r="804" spans="1:16" x14ac:dyDescent="0.25">
      <c r="A804" t="s">
        <v>2</v>
      </c>
      <c r="B804">
        <v>19.1681448</v>
      </c>
      <c r="C804">
        <v>0</v>
      </c>
      <c r="D804">
        <v>19.1681448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19.1681448</v>
      </c>
      <c r="L804">
        <v>0</v>
      </c>
      <c r="M804">
        <v>0</v>
      </c>
      <c r="N804">
        <v>0</v>
      </c>
      <c r="O804">
        <v>0</v>
      </c>
      <c r="P804">
        <v>0</v>
      </c>
    </row>
    <row r="805" spans="1:16" x14ac:dyDescent="0.25">
      <c r="A805" t="s">
        <v>3</v>
      </c>
      <c r="B805">
        <v>520.31235700000002</v>
      </c>
      <c r="C805">
        <v>0</v>
      </c>
      <c r="D805">
        <v>520.31235700000002</v>
      </c>
      <c r="E805">
        <v>314.75860899999998</v>
      </c>
      <c r="F805">
        <v>0</v>
      </c>
      <c r="G805">
        <v>122.804777</v>
      </c>
      <c r="H805">
        <v>0</v>
      </c>
      <c r="I805">
        <v>77.568391300000002</v>
      </c>
      <c r="J805">
        <v>0</v>
      </c>
      <c r="K805">
        <v>5.1805796800000001</v>
      </c>
      <c r="L805">
        <v>0</v>
      </c>
      <c r="M805">
        <v>0</v>
      </c>
      <c r="N805">
        <v>0</v>
      </c>
      <c r="O805">
        <v>0</v>
      </c>
      <c r="P805">
        <v>0</v>
      </c>
    </row>
    <row r="806" spans="1:16" x14ac:dyDescent="0.25">
      <c r="A806" t="s">
        <v>4</v>
      </c>
      <c r="B806">
        <v>230.100334</v>
      </c>
      <c r="C806">
        <v>0</v>
      </c>
      <c r="D806">
        <v>230.100334</v>
      </c>
      <c r="E806">
        <v>81.337390900000003</v>
      </c>
      <c r="F806">
        <v>0</v>
      </c>
      <c r="G806">
        <v>123.830071</v>
      </c>
      <c r="H806">
        <v>0</v>
      </c>
      <c r="I806">
        <v>24.932872199999998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</row>
    <row r="807" spans="1:16" x14ac:dyDescent="0.25">
      <c r="A807" t="s">
        <v>5</v>
      </c>
      <c r="B807">
        <v>19.1681448</v>
      </c>
      <c r="C807">
        <v>24.348724499999999</v>
      </c>
      <c r="D807">
        <v>-5.1805796800000001</v>
      </c>
      <c r="E807">
        <v>9.4186400599999995</v>
      </c>
      <c r="F807">
        <v>0</v>
      </c>
      <c r="G807">
        <v>4.2983839000000001</v>
      </c>
      <c r="H807">
        <v>0</v>
      </c>
      <c r="I807">
        <v>5.4511208399999997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</row>
    <row r="808" spans="1:16" x14ac:dyDescent="0.25">
      <c r="A808" t="s">
        <v>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</row>
    <row r="809" spans="1:16" x14ac:dyDescent="0.25">
      <c r="A809" t="s">
        <v>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</row>
    <row r="810" spans="1:16" x14ac:dyDescent="0.25">
      <c r="A810" t="s">
        <v>8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</row>
    <row r="811" spans="1:16" x14ac:dyDescent="0.25">
      <c r="A811" t="s">
        <v>9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</row>
    <row r="812" spans="1:16" x14ac:dyDescent="0.25">
      <c r="A812" t="s">
        <v>10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</row>
    <row r="813" spans="1:16" x14ac:dyDescent="0.25">
      <c r="A813" t="s">
        <v>11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</row>
    <row r="814" spans="1:16" x14ac:dyDescent="0.25">
      <c r="A814" t="s">
        <v>12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</row>
    <row r="815" spans="1:16" x14ac:dyDescent="0.25">
      <c r="A815" t="s">
        <v>13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</row>
    <row r="816" spans="1:16" x14ac:dyDescent="0.25">
      <c r="A816" t="s">
        <v>14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</row>
    <row r="817" spans="1:16" x14ac:dyDescent="0.25">
      <c r="A817" t="s">
        <v>333</v>
      </c>
    </row>
    <row r="818" spans="1:16" x14ac:dyDescent="0.25">
      <c r="A818" t="s">
        <v>360</v>
      </c>
      <c r="B818" t="s">
        <v>18</v>
      </c>
      <c r="C818" t="s">
        <v>19</v>
      </c>
      <c r="D818" t="s">
        <v>20</v>
      </c>
      <c r="E818" t="s">
        <v>21</v>
      </c>
      <c r="F818" t="s">
        <v>22</v>
      </c>
      <c r="G818" t="s">
        <v>23</v>
      </c>
      <c r="H818" t="s">
        <v>361</v>
      </c>
      <c r="I818" t="s">
        <v>25</v>
      </c>
      <c r="J818" t="s">
        <v>362</v>
      </c>
      <c r="K818" t="s">
        <v>5</v>
      </c>
      <c r="L818" t="s">
        <v>6</v>
      </c>
      <c r="M818" t="s">
        <v>7</v>
      </c>
      <c r="N818" t="s">
        <v>8</v>
      </c>
      <c r="O818" t="s">
        <v>9</v>
      </c>
      <c r="P818" t="s">
        <v>363</v>
      </c>
    </row>
    <row r="819" spans="1:16" x14ac:dyDescent="0.25">
      <c r="A819" t="s">
        <v>364</v>
      </c>
      <c r="B819" t="s">
        <v>365</v>
      </c>
      <c r="C819" t="s">
        <v>365</v>
      </c>
      <c r="D819" t="s">
        <v>365</v>
      </c>
      <c r="E819" t="s">
        <v>365</v>
      </c>
      <c r="F819" t="s">
        <v>365</v>
      </c>
      <c r="G819" t="s">
        <v>365</v>
      </c>
      <c r="H819" t="s">
        <v>365</v>
      </c>
      <c r="I819" t="s">
        <v>365</v>
      </c>
      <c r="J819" t="s">
        <v>365</v>
      </c>
      <c r="K819" t="s">
        <v>365</v>
      </c>
      <c r="L819" t="s">
        <v>365</v>
      </c>
      <c r="M819" t="s">
        <v>365</v>
      </c>
      <c r="N819" t="s">
        <v>365</v>
      </c>
      <c r="O819" t="s">
        <v>365</v>
      </c>
      <c r="P819" t="s">
        <v>365</v>
      </c>
    </row>
    <row r="820" spans="1:16" x14ac:dyDescent="0.25">
      <c r="A820" t="s">
        <v>1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</row>
    <row r="821" spans="1:16" x14ac:dyDescent="0.25">
      <c r="A821" t="s">
        <v>2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</row>
    <row r="822" spans="1:16" x14ac:dyDescent="0.25">
      <c r="A822" t="s">
        <v>3</v>
      </c>
      <c r="B822">
        <v>22406.2484</v>
      </c>
      <c r="C822">
        <v>0</v>
      </c>
      <c r="D822">
        <v>22406.2484</v>
      </c>
      <c r="E822">
        <v>13541.739299999999</v>
      </c>
      <c r="F822">
        <v>370.74528500000002</v>
      </c>
      <c r="G822">
        <v>3957.61571</v>
      </c>
      <c r="H822">
        <v>61.160291800000003</v>
      </c>
      <c r="I822">
        <v>3875.7452600000001</v>
      </c>
      <c r="J822">
        <v>0</v>
      </c>
      <c r="K822">
        <v>269.38772599999999</v>
      </c>
      <c r="L822">
        <v>82.261213799999993</v>
      </c>
      <c r="M822">
        <v>0</v>
      </c>
      <c r="N822">
        <v>0</v>
      </c>
      <c r="O822">
        <v>247.59362100000001</v>
      </c>
      <c r="P822">
        <v>0</v>
      </c>
    </row>
    <row r="823" spans="1:16" x14ac:dyDescent="0.25">
      <c r="A823" t="s">
        <v>4</v>
      </c>
      <c r="B823">
        <v>13988.9151</v>
      </c>
      <c r="C823">
        <v>0</v>
      </c>
      <c r="D823">
        <v>13988.9151</v>
      </c>
      <c r="E823">
        <v>4506.7850399999998</v>
      </c>
      <c r="F823">
        <v>723.00061900000003</v>
      </c>
      <c r="G823">
        <v>6997.1725900000001</v>
      </c>
      <c r="H823">
        <v>223.60258999999999</v>
      </c>
      <c r="I823">
        <v>1427.7532200000001</v>
      </c>
      <c r="J823">
        <v>0</v>
      </c>
      <c r="K823">
        <v>0</v>
      </c>
      <c r="L823">
        <v>0</v>
      </c>
      <c r="M823">
        <v>456.07231100000001</v>
      </c>
      <c r="N823">
        <v>0</v>
      </c>
      <c r="O823">
        <v>-345.47128900000001</v>
      </c>
      <c r="P823">
        <v>0</v>
      </c>
    </row>
    <row r="824" spans="1:16" x14ac:dyDescent="0.25">
      <c r="A824" t="s">
        <v>5</v>
      </c>
      <c r="B824">
        <v>269.38772599999999</v>
      </c>
      <c r="C824">
        <v>269.38772599999999</v>
      </c>
      <c r="D824">
        <v>0</v>
      </c>
      <c r="E824">
        <v>120.353917</v>
      </c>
      <c r="F824">
        <v>18.4021589</v>
      </c>
      <c r="G824">
        <v>56.143424400000001</v>
      </c>
      <c r="H824">
        <v>0.82100336799999996</v>
      </c>
      <c r="I824">
        <v>73.667222300000006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25">
      <c r="A825" t="s">
        <v>6</v>
      </c>
      <c r="B825">
        <v>82.261213799999993</v>
      </c>
      <c r="C825">
        <v>82.261213799999993</v>
      </c>
      <c r="D825">
        <v>0</v>
      </c>
      <c r="E825">
        <v>12.556603600000001</v>
      </c>
      <c r="F825">
        <v>0.390876854</v>
      </c>
      <c r="G825">
        <v>68.834200800000005</v>
      </c>
      <c r="H825">
        <v>0.110049858</v>
      </c>
      <c r="I825">
        <v>0.36948270799999999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</row>
    <row r="826" spans="1:16" x14ac:dyDescent="0.25">
      <c r="A826" t="s">
        <v>7</v>
      </c>
      <c r="B826">
        <v>456.07231100000001</v>
      </c>
      <c r="C826">
        <v>456.07231100000001</v>
      </c>
      <c r="D826">
        <v>0</v>
      </c>
      <c r="E826">
        <v>0</v>
      </c>
      <c r="F826">
        <v>355.73505999999998</v>
      </c>
      <c r="G826">
        <v>100.33725200000001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</row>
    <row r="827" spans="1:16" x14ac:dyDescent="0.25">
      <c r="A827" t="s">
        <v>8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</row>
    <row r="828" spans="1:16" x14ac:dyDescent="0.25">
      <c r="A828" t="s">
        <v>9</v>
      </c>
      <c r="B828">
        <v>-97.877668799999995</v>
      </c>
      <c r="C828">
        <v>-97.877668799999995</v>
      </c>
      <c r="D828" s="74">
        <v>-4.26325641E-14</v>
      </c>
      <c r="E828">
        <v>-13.641856600000001</v>
      </c>
      <c r="F828">
        <v>-0.30954215499999999</v>
      </c>
      <c r="G828">
        <v>-83.367498400000002</v>
      </c>
      <c r="H828">
        <v>-0.31593198099999997</v>
      </c>
      <c r="I828">
        <v>-0.24283970199999999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</row>
    <row r="829" spans="1:16" x14ac:dyDescent="0.25">
      <c r="A829" t="s">
        <v>10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</row>
    <row r="830" spans="1:16" x14ac:dyDescent="0.25">
      <c r="A830" t="s">
        <v>11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</row>
    <row r="831" spans="1:16" x14ac:dyDescent="0.25">
      <c r="A831" t="s">
        <v>12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</row>
    <row r="832" spans="1:16" x14ac:dyDescent="0.25">
      <c r="A832" t="s">
        <v>13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</row>
    <row r="833" spans="1:16" x14ac:dyDescent="0.25">
      <c r="A833" t="s">
        <v>14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</row>
    <row r="834" spans="1:16" x14ac:dyDescent="0.25">
      <c r="A834" t="s">
        <v>334</v>
      </c>
    </row>
    <row r="835" spans="1:16" x14ac:dyDescent="0.25">
      <c r="A835" t="s">
        <v>360</v>
      </c>
      <c r="B835" t="s">
        <v>366</v>
      </c>
      <c r="C835" t="s">
        <v>367</v>
      </c>
      <c r="D835" t="s">
        <v>368</v>
      </c>
      <c r="E835" t="s">
        <v>21</v>
      </c>
      <c r="F835" t="s">
        <v>22</v>
      </c>
      <c r="G835" t="s">
        <v>23</v>
      </c>
      <c r="H835" t="s">
        <v>361</v>
      </c>
      <c r="I835" t="s">
        <v>25</v>
      </c>
      <c r="J835" t="s">
        <v>362</v>
      </c>
      <c r="K835" t="s">
        <v>5</v>
      </c>
      <c r="L835" t="s">
        <v>6</v>
      </c>
      <c r="M835" t="s">
        <v>7</v>
      </c>
      <c r="N835" t="s">
        <v>8</v>
      </c>
      <c r="O835" t="s">
        <v>9</v>
      </c>
      <c r="P835" t="s">
        <v>363</v>
      </c>
    </row>
    <row r="836" spans="1:16" x14ac:dyDescent="0.25">
      <c r="A836" t="s">
        <v>364</v>
      </c>
      <c r="B836" t="s">
        <v>369</v>
      </c>
      <c r="C836" t="s">
        <v>369</v>
      </c>
      <c r="D836" t="s">
        <v>369</v>
      </c>
      <c r="E836" t="s">
        <v>369</v>
      </c>
      <c r="F836" t="s">
        <v>369</v>
      </c>
      <c r="G836" t="s">
        <v>369</v>
      </c>
      <c r="H836" t="s">
        <v>369</v>
      </c>
      <c r="I836" t="s">
        <v>369</v>
      </c>
      <c r="J836" t="s">
        <v>369</v>
      </c>
      <c r="K836" t="s">
        <v>369</v>
      </c>
      <c r="L836" t="s">
        <v>369</v>
      </c>
      <c r="M836" t="s">
        <v>369</v>
      </c>
      <c r="N836" t="s">
        <v>369</v>
      </c>
      <c r="O836" t="s">
        <v>369</v>
      </c>
      <c r="P836" t="s">
        <v>369</v>
      </c>
    </row>
    <row r="837" spans="1:16" x14ac:dyDescent="0.25">
      <c r="A837" t="s">
        <v>1</v>
      </c>
      <c r="B837">
        <v>908.49681499999997</v>
      </c>
      <c r="C837">
        <v>0</v>
      </c>
      <c r="D837">
        <v>908.49681499999997</v>
      </c>
      <c r="E837">
        <v>261.13042999999999</v>
      </c>
      <c r="F837">
        <v>0</v>
      </c>
      <c r="G837">
        <v>42.794254000000002</v>
      </c>
      <c r="H837">
        <v>0</v>
      </c>
      <c r="I837">
        <v>0</v>
      </c>
      <c r="J837">
        <v>0</v>
      </c>
      <c r="K837">
        <v>0</v>
      </c>
      <c r="L837">
        <v>66.519369800000007</v>
      </c>
      <c r="M837">
        <v>370.94592899999998</v>
      </c>
      <c r="N837">
        <v>0</v>
      </c>
      <c r="O837">
        <v>167.106832</v>
      </c>
      <c r="P837">
        <v>0</v>
      </c>
    </row>
    <row r="838" spans="1:16" x14ac:dyDescent="0.25">
      <c r="A838" t="s">
        <v>2</v>
      </c>
      <c r="B838">
        <v>197.93830299999999</v>
      </c>
      <c r="C838">
        <v>0</v>
      </c>
      <c r="D838">
        <v>197.93830299999999</v>
      </c>
      <c r="E838">
        <v>0</v>
      </c>
      <c r="F838">
        <v>1.45421265E-2</v>
      </c>
      <c r="G838">
        <v>3.29460387</v>
      </c>
      <c r="H838">
        <v>0</v>
      </c>
      <c r="I838">
        <v>0</v>
      </c>
      <c r="J838">
        <v>0</v>
      </c>
      <c r="K838">
        <v>132.79056600000001</v>
      </c>
      <c r="L838">
        <v>6.5429485E-4</v>
      </c>
      <c r="M838">
        <v>0</v>
      </c>
      <c r="N838">
        <v>0</v>
      </c>
      <c r="O838">
        <v>61.837936300000003</v>
      </c>
      <c r="P838">
        <v>0</v>
      </c>
    </row>
    <row r="839" spans="1:16" x14ac:dyDescent="0.25">
      <c r="A839" t="s">
        <v>3</v>
      </c>
      <c r="B839">
        <v>7072.1129300000002</v>
      </c>
      <c r="C839">
        <v>0</v>
      </c>
      <c r="D839">
        <v>7072.1129300000002</v>
      </c>
      <c r="E839">
        <v>4163.3491299999996</v>
      </c>
      <c r="F839">
        <v>136.215644</v>
      </c>
      <c r="G839">
        <v>1212.3640700000001</v>
      </c>
      <c r="H839">
        <v>30.715769600000002</v>
      </c>
      <c r="I839">
        <v>754.55841799999996</v>
      </c>
      <c r="J839">
        <v>0</v>
      </c>
      <c r="K839">
        <v>56.012227799999998</v>
      </c>
      <c r="L839">
        <v>17.104097199999998</v>
      </c>
      <c r="M839">
        <v>0</v>
      </c>
      <c r="N839">
        <v>0</v>
      </c>
      <c r="O839">
        <v>51.480705700000001</v>
      </c>
      <c r="P839">
        <v>650.31286699999998</v>
      </c>
    </row>
    <row r="840" spans="1:16" x14ac:dyDescent="0.25">
      <c r="A840" t="s">
        <v>4</v>
      </c>
      <c r="B840">
        <v>8410.5053700000008</v>
      </c>
      <c r="C840">
        <v>0</v>
      </c>
      <c r="D840">
        <v>8410.5053700000008</v>
      </c>
      <c r="E840">
        <v>3528.7684300000001</v>
      </c>
      <c r="F840">
        <v>507.23817500000001</v>
      </c>
      <c r="G840">
        <v>3401.3485599999999</v>
      </c>
      <c r="H840">
        <v>105.43075899999999</v>
      </c>
      <c r="I840">
        <v>436.325264</v>
      </c>
      <c r="J840">
        <v>0</v>
      </c>
      <c r="K840">
        <v>0</v>
      </c>
      <c r="L840">
        <v>0</v>
      </c>
      <c r="M840">
        <v>193.653549</v>
      </c>
      <c r="N840">
        <v>0</v>
      </c>
      <c r="O840">
        <v>-105.576964</v>
      </c>
      <c r="P840">
        <v>343.31759899999997</v>
      </c>
    </row>
    <row r="841" spans="1:16" x14ac:dyDescent="0.25">
      <c r="A841" t="s">
        <v>5</v>
      </c>
      <c r="B841">
        <v>508.751217</v>
      </c>
      <c r="C841">
        <v>491.11098700000002</v>
      </c>
      <c r="D841">
        <v>17.640230599999999</v>
      </c>
      <c r="E841">
        <v>253.18822</v>
      </c>
      <c r="F841">
        <v>40.840027300000003</v>
      </c>
      <c r="G841">
        <v>136.327223</v>
      </c>
      <c r="H841">
        <v>3.8243297699999999</v>
      </c>
      <c r="I841">
        <v>74.571416900000003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</row>
    <row r="842" spans="1:16" x14ac:dyDescent="0.25">
      <c r="A842" t="s">
        <v>6</v>
      </c>
      <c r="B842">
        <v>182.25198700000001</v>
      </c>
      <c r="C842">
        <v>159.02617100000001</v>
      </c>
      <c r="D842">
        <v>23.225815900000001</v>
      </c>
      <c r="E842">
        <v>27.925136899999998</v>
      </c>
      <c r="F842">
        <v>1.12532063</v>
      </c>
      <c r="G842">
        <v>152.324175</v>
      </c>
      <c r="H842">
        <v>0.50333629000000002</v>
      </c>
      <c r="I842">
        <v>0.37401775399999998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</row>
    <row r="843" spans="1:16" x14ac:dyDescent="0.25">
      <c r="A843" t="s">
        <v>7</v>
      </c>
      <c r="B843">
        <v>1076.2124699999999</v>
      </c>
      <c r="C843">
        <v>786.31713400000001</v>
      </c>
      <c r="D843">
        <v>289.895332</v>
      </c>
      <c r="E843">
        <v>0</v>
      </c>
      <c r="F843">
        <v>859.27727300000004</v>
      </c>
      <c r="G843">
        <v>216.935193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25">
      <c r="A844" t="s">
        <v>8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</row>
    <row r="845" spans="1:16" x14ac:dyDescent="0.25">
      <c r="A845" t="s">
        <v>9</v>
      </c>
      <c r="B845">
        <v>594.23619599999995</v>
      </c>
      <c r="C845">
        <v>526.78474900000003</v>
      </c>
      <c r="D845">
        <v>67.451447099999996</v>
      </c>
      <c r="E845">
        <v>75.286921399999997</v>
      </c>
      <c r="F845">
        <v>2.3873151300000002</v>
      </c>
      <c r="G845">
        <v>512.01561900000002</v>
      </c>
      <c r="H845">
        <v>3.9245075699999998</v>
      </c>
      <c r="I845">
        <v>0.62183279800000002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</row>
    <row r="846" spans="1:16" x14ac:dyDescent="0.25">
      <c r="A846" t="s">
        <v>10</v>
      </c>
      <c r="B846">
        <v>325.410865</v>
      </c>
      <c r="C846">
        <v>0</v>
      </c>
      <c r="D846">
        <v>325.410865</v>
      </c>
      <c r="E846">
        <v>0</v>
      </c>
      <c r="F846">
        <v>-170.83545699999999</v>
      </c>
      <c r="G846">
        <v>1.83153411</v>
      </c>
      <c r="H846">
        <v>0</v>
      </c>
      <c r="I846">
        <v>0</v>
      </c>
      <c r="J846">
        <v>0</v>
      </c>
      <c r="K846">
        <v>212.55924200000001</v>
      </c>
      <c r="L846">
        <v>36.645099000000002</v>
      </c>
      <c r="M846">
        <v>4.11502328</v>
      </c>
      <c r="N846">
        <v>0</v>
      </c>
      <c r="O846">
        <v>241.09542400000001</v>
      </c>
      <c r="P846">
        <v>0</v>
      </c>
    </row>
    <row r="847" spans="1:16" x14ac:dyDescent="0.25">
      <c r="A847" t="s">
        <v>11</v>
      </c>
      <c r="B847">
        <v>53.055973799999997</v>
      </c>
      <c r="C847">
        <v>0</v>
      </c>
      <c r="D847">
        <v>53.055973799999997</v>
      </c>
      <c r="E847">
        <v>16.680997900000001</v>
      </c>
      <c r="F847">
        <v>2.6760477200000001</v>
      </c>
      <c r="G847">
        <v>25.898688400000001</v>
      </c>
      <c r="H847">
        <v>0.82762197500000001</v>
      </c>
      <c r="I847">
        <v>5.2845539099999996</v>
      </c>
      <c r="J847">
        <v>0</v>
      </c>
      <c r="K847">
        <v>0</v>
      </c>
      <c r="L847">
        <v>0</v>
      </c>
      <c r="M847">
        <v>1.68806393</v>
      </c>
      <c r="N847">
        <v>0</v>
      </c>
      <c r="O847">
        <v>0</v>
      </c>
      <c r="P847">
        <v>0</v>
      </c>
    </row>
    <row r="848" spans="1:16" x14ac:dyDescent="0.25">
      <c r="A848" t="s">
        <v>12</v>
      </c>
      <c r="B848">
        <v>9679.0870900000009</v>
      </c>
      <c r="C848">
        <v>993.63046599999996</v>
      </c>
      <c r="D848">
        <v>8685.4566200000008</v>
      </c>
      <c r="E848">
        <v>4742.4018800000003</v>
      </c>
      <c r="F848">
        <v>445.72476</v>
      </c>
      <c r="G848">
        <v>3006.3623699999998</v>
      </c>
      <c r="H848">
        <v>119.028491</v>
      </c>
      <c r="I848">
        <v>1132.18703</v>
      </c>
      <c r="J848">
        <v>0</v>
      </c>
      <c r="K848">
        <v>55.110986199999999</v>
      </c>
      <c r="L848">
        <v>16.828890699999999</v>
      </c>
      <c r="M848">
        <v>110.79031000000001</v>
      </c>
      <c r="N848">
        <v>0</v>
      </c>
      <c r="O848">
        <v>50.652376699999998</v>
      </c>
      <c r="P848">
        <v>0</v>
      </c>
    </row>
    <row r="849" spans="1:16" x14ac:dyDescent="0.25">
      <c r="A849" t="s">
        <v>13</v>
      </c>
      <c r="B849">
        <v>3246.4756499999999</v>
      </c>
      <c r="C849">
        <v>0</v>
      </c>
      <c r="D849">
        <v>3246.4756499999999</v>
      </c>
      <c r="E849">
        <v>2724.8487599999999</v>
      </c>
      <c r="F849">
        <v>419.05651</v>
      </c>
      <c r="G849">
        <v>0</v>
      </c>
      <c r="H849">
        <v>0</v>
      </c>
      <c r="I849">
        <v>0</v>
      </c>
      <c r="J849">
        <v>0</v>
      </c>
      <c r="K849">
        <v>34.637964400000001</v>
      </c>
      <c r="L849">
        <v>4.3598896399999996</v>
      </c>
      <c r="M849">
        <v>45.5815269</v>
      </c>
      <c r="N849">
        <v>0</v>
      </c>
      <c r="O849">
        <v>17.991007100000001</v>
      </c>
      <c r="P849">
        <v>0</v>
      </c>
    </row>
    <row r="850" spans="1:16" x14ac:dyDescent="0.25">
      <c r="A850" t="s">
        <v>14</v>
      </c>
      <c r="B850">
        <v>276.50023299999998</v>
      </c>
      <c r="C850">
        <v>0</v>
      </c>
      <c r="D850">
        <v>276.50023299999998</v>
      </c>
      <c r="E850">
        <v>57.187963000000003</v>
      </c>
      <c r="F850">
        <v>52.001367399999999</v>
      </c>
      <c r="G850">
        <v>43.966904599999999</v>
      </c>
      <c r="H850">
        <v>4.0356649999999998</v>
      </c>
      <c r="I850" s="74">
        <v>2.1457672100000001E-12</v>
      </c>
      <c r="J850">
        <v>0</v>
      </c>
      <c r="K850">
        <v>0</v>
      </c>
      <c r="L850">
        <v>17.5681701</v>
      </c>
      <c r="M850">
        <v>59.542731600000003</v>
      </c>
      <c r="N850">
        <v>0</v>
      </c>
      <c r="O850">
        <v>42.197431700000003</v>
      </c>
      <c r="P850">
        <v>0</v>
      </c>
    </row>
    <row r="851" spans="1:16" x14ac:dyDescent="0.25">
      <c r="A851" t="s">
        <v>335</v>
      </c>
    </row>
    <row r="852" spans="1:16" x14ac:dyDescent="0.25">
      <c r="A852" t="s">
        <v>360</v>
      </c>
      <c r="B852" t="s">
        <v>18</v>
      </c>
      <c r="C852" t="s">
        <v>19</v>
      </c>
      <c r="D852" t="s">
        <v>20</v>
      </c>
      <c r="E852" t="s">
        <v>21</v>
      </c>
      <c r="F852" t="s">
        <v>22</v>
      </c>
      <c r="G852" t="s">
        <v>23</v>
      </c>
      <c r="H852" t="s">
        <v>361</v>
      </c>
      <c r="I852" t="s">
        <v>25</v>
      </c>
      <c r="J852" t="s">
        <v>362</v>
      </c>
      <c r="K852" t="s">
        <v>5</v>
      </c>
      <c r="L852" t="s">
        <v>6</v>
      </c>
      <c r="M852" t="s">
        <v>7</v>
      </c>
      <c r="N852" t="s">
        <v>8</v>
      </c>
      <c r="O852" t="s">
        <v>9</v>
      </c>
      <c r="P852" t="s">
        <v>363</v>
      </c>
    </row>
    <row r="853" spans="1:16" x14ac:dyDescent="0.25">
      <c r="A853" t="s">
        <v>364</v>
      </c>
      <c r="B853" t="s">
        <v>370</v>
      </c>
      <c r="C853" t="s">
        <v>370</v>
      </c>
      <c r="D853" t="s">
        <v>370</v>
      </c>
      <c r="E853" t="s">
        <v>370</v>
      </c>
      <c r="F853" t="s">
        <v>370</v>
      </c>
      <c r="G853" t="s">
        <v>370</v>
      </c>
      <c r="H853" t="s">
        <v>370</v>
      </c>
      <c r="I853" t="s">
        <v>370</v>
      </c>
      <c r="J853" t="s">
        <v>370</v>
      </c>
      <c r="K853" t="s">
        <v>370</v>
      </c>
      <c r="L853" t="s">
        <v>370</v>
      </c>
      <c r="M853" t="s">
        <v>370</v>
      </c>
      <c r="N853" t="s">
        <v>370</v>
      </c>
      <c r="O853" t="s">
        <v>370</v>
      </c>
      <c r="P853" t="s">
        <v>370</v>
      </c>
    </row>
    <row r="854" spans="1:16" x14ac:dyDescent="0.25">
      <c r="A854" t="s">
        <v>1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</row>
    <row r="855" spans="1:16" x14ac:dyDescent="0.25">
      <c r="A855" t="s">
        <v>2</v>
      </c>
      <c r="B855">
        <v>49.8371517</v>
      </c>
      <c r="C855">
        <v>0</v>
      </c>
      <c r="D855">
        <v>49.8371517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19.692041</v>
      </c>
      <c r="L855">
        <v>6.0132331099999998</v>
      </c>
      <c r="M855">
        <v>0</v>
      </c>
      <c r="N855">
        <v>0</v>
      </c>
      <c r="O855">
        <v>24.131877599999999</v>
      </c>
      <c r="P855">
        <v>0</v>
      </c>
    </row>
    <row r="856" spans="1:16" x14ac:dyDescent="0.25">
      <c r="A856" t="s">
        <v>3</v>
      </c>
      <c r="B856">
        <v>442.67026399999997</v>
      </c>
      <c r="C856">
        <v>0</v>
      </c>
      <c r="D856">
        <v>442.67026399999997</v>
      </c>
      <c r="E856">
        <v>267.53810800000002</v>
      </c>
      <c r="F856">
        <v>7.3246493600000004</v>
      </c>
      <c r="G856">
        <v>78.188849700000006</v>
      </c>
      <c r="H856">
        <v>1.2083166299999999</v>
      </c>
      <c r="I856">
        <v>76.5713717</v>
      </c>
      <c r="J856">
        <v>0</v>
      </c>
      <c r="K856">
        <v>5.3221732499999996</v>
      </c>
      <c r="L856">
        <v>1.62519814</v>
      </c>
      <c r="M856">
        <v>0</v>
      </c>
      <c r="N856">
        <v>0</v>
      </c>
      <c r="O856">
        <v>4.8915968100000002</v>
      </c>
      <c r="P856">
        <v>0</v>
      </c>
    </row>
    <row r="857" spans="1:16" x14ac:dyDescent="0.25">
      <c r="A857" t="s">
        <v>4</v>
      </c>
      <c r="B857">
        <v>244.28859700000001</v>
      </c>
      <c r="C857">
        <v>0</v>
      </c>
      <c r="D857">
        <v>244.28859700000001</v>
      </c>
      <c r="E857">
        <v>78.702042800000001</v>
      </c>
      <c r="F857">
        <v>12.625768799999999</v>
      </c>
      <c r="G857">
        <v>122.191712</v>
      </c>
      <c r="H857">
        <v>3.9047748000000002</v>
      </c>
      <c r="I857">
        <v>24.932872199999998</v>
      </c>
      <c r="J857">
        <v>0</v>
      </c>
      <c r="K857">
        <v>0</v>
      </c>
      <c r="L857">
        <v>0</v>
      </c>
      <c r="M857">
        <v>7.9643964199999999</v>
      </c>
      <c r="N857">
        <v>0</v>
      </c>
      <c r="O857">
        <v>-6.0329693999999998</v>
      </c>
      <c r="P857">
        <v>0</v>
      </c>
    </row>
    <row r="858" spans="1:16" x14ac:dyDescent="0.25">
      <c r="A858" t="s">
        <v>5</v>
      </c>
      <c r="B858">
        <v>19.692041</v>
      </c>
      <c r="C858">
        <v>25.014214299999999</v>
      </c>
      <c r="D858">
        <v>-5.3221732499999996</v>
      </c>
      <c r="E858">
        <v>8.7977811999999993</v>
      </c>
      <c r="F858">
        <v>1.34518403</v>
      </c>
      <c r="G858">
        <v>4.1040422699999999</v>
      </c>
      <c r="H858">
        <v>6.0014731199999997E-2</v>
      </c>
      <c r="I858">
        <v>5.3850187700000003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</row>
    <row r="859" spans="1:16" x14ac:dyDescent="0.25">
      <c r="A859" t="s">
        <v>6</v>
      </c>
      <c r="B859">
        <v>6.0132331099999998</v>
      </c>
      <c r="C859">
        <v>7.63843125</v>
      </c>
      <c r="D859">
        <v>-1.62519814</v>
      </c>
      <c r="E859">
        <v>0.91787831600000003</v>
      </c>
      <c r="F859">
        <v>2.8572805199999999E-2</v>
      </c>
      <c r="G859">
        <v>5.0317285199999997</v>
      </c>
      <c r="H859">
        <v>8.0445621700000001E-3</v>
      </c>
      <c r="I859">
        <v>2.70089092E-2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</row>
    <row r="860" spans="1:16" x14ac:dyDescent="0.25">
      <c r="A860" t="s">
        <v>7</v>
      </c>
      <c r="B860">
        <v>21.606483600000001</v>
      </c>
      <c r="C860">
        <v>7.9643964199999999</v>
      </c>
      <c r="D860">
        <v>13.642087200000001</v>
      </c>
      <c r="E860">
        <v>0</v>
      </c>
      <c r="F860">
        <v>16.8529935</v>
      </c>
      <c r="G860">
        <v>4.75349003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</row>
    <row r="861" spans="1:16" x14ac:dyDescent="0.25">
      <c r="A861" t="s">
        <v>8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</row>
    <row r="862" spans="1:16" x14ac:dyDescent="0.25">
      <c r="A862" t="s">
        <v>9</v>
      </c>
      <c r="B862">
        <v>18.0989082</v>
      </c>
      <c r="C862">
        <v>22.990504999999999</v>
      </c>
      <c r="D862">
        <v>-4.8915968100000002</v>
      </c>
      <c r="E862">
        <v>2.5225642700000002</v>
      </c>
      <c r="F862">
        <v>5.7238541800000001E-2</v>
      </c>
      <c r="G862">
        <v>15.4157809</v>
      </c>
      <c r="H862">
        <v>5.8420107300000003E-2</v>
      </c>
      <c r="I862">
        <v>4.4904353799999998E-2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</row>
    <row r="863" spans="1:16" x14ac:dyDescent="0.25">
      <c r="A863" t="s">
        <v>10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</row>
    <row r="864" spans="1:16" x14ac:dyDescent="0.25">
      <c r="A864" t="s">
        <v>11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</row>
    <row r="865" spans="1:16" x14ac:dyDescent="0.25">
      <c r="A865" t="s">
        <v>12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</row>
    <row r="866" spans="1:16" x14ac:dyDescent="0.25">
      <c r="A866" t="s">
        <v>13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</row>
    <row r="867" spans="1:16" x14ac:dyDescent="0.25">
      <c r="A867" t="s">
        <v>14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</row>
    <row r="868" spans="1:16" x14ac:dyDescent="0.25">
      <c r="A868" t="s">
        <v>336</v>
      </c>
    </row>
    <row r="869" spans="1:16" x14ac:dyDescent="0.25">
      <c r="A869" t="s">
        <v>360</v>
      </c>
      <c r="B869" t="s">
        <v>18</v>
      </c>
      <c r="C869" t="s">
        <v>19</v>
      </c>
      <c r="D869" t="s">
        <v>20</v>
      </c>
      <c r="E869" t="s">
        <v>21</v>
      </c>
      <c r="F869" t="s">
        <v>22</v>
      </c>
      <c r="G869" t="s">
        <v>23</v>
      </c>
      <c r="H869" t="s">
        <v>361</v>
      </c>
      <c r="I869" t="s">
        <v>25</v>
      </c>
      <c r="J869" t="s">
        <v>362</v>
      </c>
      <c r="K869" t="s">
        <v>5</v>
      </c>
      <c r="L869" t="s">
        <v>6</v>
      </c>
      <c r="M869" t="s">
        <v>7</v>
      </c>
      <c r="N869" t="s">
        <v>8</v>
      </c>
      <c r="O869" t="s">
        <v>9</v>
      </c>
      <c r="P869" t="s">
        <v>363</v>
      </c>
    </row>
    <row r="870" spans="1:16" x14ac:dyDescent="0.25">
      <c r="A870" t="s">
        <v>364</v>
      </c>
      <c r="B870" t="s">
        <v>365</v>
      </c>
      <c r="C870" t="s">
        <v>365</v>
      </c>
      <c r="D870" t="s">
        <v>365</v>
      </c>
      <c r="E870" t="s">
        <v>365</v>
      </c>
      <c r="F870" t="s">
        <v>365</v>
      </c>
      <c r="G870" t="s">
        <v>365</v>
      </c>
      <c r="H870" t="s">
        <v>365</v>
      </c>
      <c r="I870" t="s">
        <v>365</v>
      </c>
      <c r="J870" t="s">
        <v>365</v>
      </c>
      <c r="K870" t="s">
        <v>365</v>
      </c>
      <c r="L870" t="s">
        <v>365</v>
      </c>
      <c r="M870" t="s">
        <v>365</v>
      </c>
      <c r="N870" t="s">
        <v>365</v>
      </c>
      <c r="O870" t="s">
        <v>365</v>
      </c>
      <c r="P870" t="s">
        <v>365</v>
      </c>
    </row>
    <row r="871" spans="1:16" x14ac:dyDescent="0.25">
      <c r="A871" t="s">
        <v>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</row>
    <row r="872" spans="1:16" x14ac:dyDescent="0.25">
      <c r="A872" t="s">
        <v>2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</row>
    <row r="873" spans="1:16" x14ac:dyDescent="0.25">
      <c r="A873" t="s">
        <v>3</v>
      </c>
      <c r="B873">
        <v>21454.022199999999</v>
      </c>
      <c r="C873">
        <v>0</v>
      </c>
      <c r="D873">
        <v>21454.022199999999</v>
      </c>
      <c r="E873">
        <v>12654.3253</v>
      </c>
      <c r="F873">
        <v>666.41148199999998</v>
      </c>
      <c r="G873">
        <v>3551.7515800000001</v>
      </c>
      <c r="H873">
        <v>212.46748600000001</v>
      </c>
      <c r="I873">
        <v>3765.8410699999999</v>
      </c>
      <c r="J873">
        <v>0</v>
      </c>
      <c r="K873">
        <v>267.29245100000003</v>
      </c>
      <c r="L873">
        <v>92.698181700000006</v>
      </c>
      <c r="M873">
        <v>0</v>
      </c>
      <c r="N873">
        <v>0</v>
      </c>
      <c r="O873">
        <v>243.23468099999999</v>
      </c>
      <c r="P873">
        <v>0</v>
      </c>
    </row>
    <row r="874" spans="1:16" x14ac:dyDescent="0.25">
      <c r="A874" t="s">
        <v>4</v>
      </c>
      <c r="B874">
        <v>4530.9863100000002</v>
      </c>
      <c r="C874">
        <v>0</v>
      </c>
      <c r="D874">
        <v>4530.9863100000002</v>
      </c>
      <c r="E874">
        <v>1284.31737</v>
      </c>
      <c r="F874">
        <v>407.731897</v>
      </c>
      <c r="G874">
        <v>2061.2435599999999</v>
      </c>
      <c r="H874">
        <v>220.465419</v>
      </c>
      <c r="I874">
        <v>420.74221799999998</v>
      </c>
      <c r="J874">
        <v>0</v>
      </c>
      <c r="K874">
        <v>0</v>
      </c>
      <c r="L874">
        <v>0</v>
      </c>
      <c r="M874">
        <v>236.499887</v>
      </c>
      <c r="N874">
        <v>0</v>
      </c>
      <c r="O874">
        <v>-100.014036</v>
      </c>
      <c r="P874">
        <v>0</v>
      </c>
    </row>
    <row r="875" spans="1:16" x14ac:dyDescent="0.25">
      <c r="A875" t="s">
        <v>5</v>
      </c>
      <c r="B875">
        <v>267.29245100000003</v>
      </c>
      <c r="C875">
        <v>267.29245100000003</v>
      </c>
      <c r="D875" s="74">
        <v>1.1368683799999999E-13</v>
      </c>
      <c r="E875">
        <v>115.89649300000001</v>
      </c>
      <c r="F875">
        <v>23.6653628</v>
      </c>
      <c r="G875">
        <v>54.563482899999997</v>
      </c>
      <c r="H875">
        <v>1.6108779200000001</v>
      </c>
      <c r="I875">
        <v>71.556234900000007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</row>
    <row r="876" spans="1:16" x14ac:dyDescent="0.25">
      <c r="A876" t="s">
        <v>6</v>
      </c>
      <c r="B876">
        <v>92.698181700000006</v>
      </c>
      <c r="C876">
        <v>92.698181700000006</v>
      </c>
      <c r="D876">
        <v>0</v>
      </c>
      <c r="E876">
        <v>15.6737906</v>
      </c>
      <c r="F876">
        <v>0.82664200499999996</v>
      </c>
      <c r="G876">
        <v>75.388392999999994</v>
      </c>
      <c r="H876">
        <v>0.449949288</v>
      </c>
      <c r="I876">
        <v>0.35940678599999998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</row>
    <row r="877" spans="1:16" x14ac:dyDescent="0.25">
      <c r="A877" t="s">
        <v>7</v>
      </c>
      <c r="B877">
        <v>236.499887</v>
      </c>
      <c r="C877">
        <v>236.499887</v>
      </c>
      <c r="D877" s="74">
        <v>-2.8421709399999999E-14</v>
      </c>
      <c r="E877">
        <v>0</v>
      </c>
      <c r="F877">
        <v>204.85897299999999</v>
      </c>
      <c r="G877">
        <v>31.6409144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</row>
    <row r="878" spans="1:16" x14ac:dyDescent="0.25">
      <c r="A878" t="s">
        <v>8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</row>
    <row r="879" spans="1:16" x14ac:dyDescent="0.25">
      <c r="A879" t="s">
        <v>9</v>
      </c>
      <c r="B879">
        <v>143.22064599999999</v>
      </c>
      <c r="C879">
        <v>143.22064599999999</v>
      </c>
      <c r="D879">
        <v>0</v>
      </c>
      <c r="E879">
        <v>19.251706800000001</v>
      </c>
      <c r="F879">
        <v>1.78113622</v>
      </c>
      <c r="G879">
        <v>120.50616100000001</v>
      </c>
      <c r="H879">
        <v>1.3301501200000001</v>
      </c>
      <c r="I879">
        <v>0.35149150699999998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</row>
    <row r="880" spans="1:16" x14ac:dyDescent="0.25">
      <c r="A880" t="s">
        <v>10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</row>
    <row r="881" spans="1:16" x14ac:dyDescent="0.25">
      <c r="A881" t="s">
        <v>11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</row>
    <row r="882" spans="1:16" x14ac:dyDescent="0.25">
      <c r="A882" t="s">
        <v>12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</row>
    <row r="883" spans="1:16" x14ac:dyDescent="0.25">
      <c r="A883" t="s">
        <v>13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</row>
    <row r="884" spans="1:16" x14ac:dyDescent="0.25">
      <c r="A884" t="s">
        <v>14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</row>
    <row r="885" spans="1:16" x14ac:dyDescent="0.25">
      <c r="A885" t="s">
        <v>337</v>
      </c>
    </row>
    <row r="886" spans="1:16" x14ac:dyDescent="0.25">
      <c r="A886" t="s">
        <v>360</v>
      </c>
      <c r="B886" t="s">
        <v>366</v>
      </c>
      <c r="C886" t="s">
        <v>367</v>
      </c>
      <c r="D886" t="s">
        <v>368</v>
      </c>
      <c r="E886" t="s">
        <v>21</v>
      </c>
      <c r="F886" t="s">
        <v>22</v>
      </c>
      <c r="G886" t="s">
        <v>23</v>
      </c>
      <c r="H886" t="s">
        <v>361</v>
      </c>
      <c r="I886" t="s">
        <v>25</v>
      </c>
      <c r="J886" t="s">
        <v>362</v>
      </c>
      <c r="K886" t="s">
        <v>5</v>
      </c>
      <c r="L886" t="s">
        <v>6</v>
      </c>
      <c r="M886" t="s">
        <v>7</v>
      </c>
      <c r="N886" t="s">
        <v>8</v>
      </c>
      <c r="O886" t="s">
        <v>9</v>
      </c>
      <c r="P886" t="s">
        <v>363</v>
      </c>
    </row>
    <row r="887" spans="1:16" x14ac:dyDescent="0.25">
      <c r="A887" t="s">
        <v>364</v>
      </c>
      <c r="B887" t="s">
        <v>369</v>
      </c>
      <c r="C887" t="s">
        <v>369</v>
      </c>
      <c r="D887" t="s">
        <v>369</v>
      </c>
      <c r="E887" t="s">
        <v>369</v>
      </c>
      <c r="F887" t="s">
        <v>369</v>
      </c>
      <c r="G887" t="s">
        <v>369</v>
      </c>
      <c r="H887" t="s">
        <v>369</v>
      </c>
      <c r="I887" t="s">
        <v>369</v>
      </c>
      <c r="J887" t="s">
        <v>369</v>
      </c>
      <c r="K887" t="s">
        <v>369</v>
      </c>
      <c r="L887" t="s">
        <v>369</v>
      </c>
      <c r="M887" t="s">
        <v>369</v>
      </c>
      <c r="N887" t="s">
        <v>369</v>
      </c>
      <c r="O887" t="s">
        <v>369</v>
      </c>
      <c r="P887" t="s">
        <v>369</v>
      </c>
    </row>
    <row r="888" spans="1:16" x14ac:dyDescent="0.25">
      <c r="A888" t="s">
        <v>1</v>
      </c>
      <c r="B888">
        <v>1275.1974600000001</v>
      </c>
      <c r="C888">
        <v>0</v>
      </c>
      <c r="D888">
        <v>1275.1974600000001</v>
      </c>
      <c r="E888">
        <v>353.38683600000002</v>
      </c>
      <c r="F888">
        <v>0</v>
      </c>
      <c r="G888">
        <v>84.453503699999999</v>
      </c>
      <c r="H888">
        <v>0</v>
      </c>
      <c r="I888">
        <v>0</v>
      </c>
      <c r="J888">
        <v>0</v>
      </c>
      <c r="K888">
        <v>0</v>
      </c>
      <c r="L888">
        <v>78.218142299999997</v>
      </c>
      <c r="M888">
        <v>592.032149</v>
      </c>
      <c r="N888">
        <v>0</v>
      </c>
      <c r="O888">
        <v>167.106832</v>
      </c>
      <c r="P888">
        <v>0</v>
      </c>
    </row>
    <row r="889" spans="1:16" x14ac:dyDescent="0.25">
      <c r="A889" t="s">
        <v>2</v>
      </c>
      <c r="B889">
        <v>190.044466</v>
      </c>
      <c r="C889">
        <v>0</v>
      </c>
      <c r="D889">
        <v>190.044466</v>
      </c>
      <c r="E889">
        <v>0</v>
      </c>
      <c r="F889">
        <v>2.9993553100000001E-2</v>
      </c>
      <c r="G889">
        <v>20.793561100000002</v>
      </c>
      <c r="H889">
        <v>0</v>
      </c>
      <c r="I889">
        <v>0</v>
      </c>
      <c r="J889">
        <v>0</v>
      </c>
      <c r="K889">
        <v>141.39718400000001</v>
      </c>
      <c r="L889">
        <v>8.9268585200000001E-4</v>
      </c>
      <c r="M889">
        <v>0</v>
      </c>
      <c r="N889">
        <v>0</v>
      </c>
      <c r="O889">
        <v>27.8228346</v>
      </c>
      <c r="P889">
        <v>0</v>
      </c>
    </row>
    <row r="890" spans="1:16" x14ac:dyDescent="0.25">
      <c r="A890" t="s">
        <v>3</v>
      </c>
      <c r="B890">
        <v>6378.6527999999998</v>
      </c>
      <c r="C890">
        <v>0</v>
      </c>
      <c r="D890">
        <v>6378.6527999999998</v>
      </c>
      <c r="E890">
        <v>3410.8521500000002</v>
      </c>
      <c r="F890">
        <v>220.18766600000001</v>
      </c>
      <c r="G890">
        <v>964.24933099999998</v>
      </c>
      <c r="H890">
        <v>100.89333999999999</v>
      </c>
      <c r="I890">
        <v>579.53868199999999</v>
      </c>
      <c r="J890">
        <v>0</v>
      </c>
      <c r="K890">
        <v>44.672707600000003</v>
      </c>
      <c r="L890">
        <v>15.4926888</v>
      </c>
      <c r="M890">
        <v>0</v>
      </c>
      <c r="N890">
        <v>0</v>
      </c>
      <c r="O890">
        <v>40.651921700000003</v>
      </c>
      <c r="P890">
        <v>1002.11431</v>
      </c>
    </row>
    <row r="891" spans="1:16" x14ac:dyDescent="0.25">
      <c r="A891" t="s">
        <v>4</v>
      </c>
      <c r="B891">
        <v>10706.8709</v>
      </c>
      <c r="C891">
        <v>0</v>
      </c>
      <c r="D891">
        <v>10706.8709</v>
      </c>
      <c r="E891">
        <v>3782.2078299999998</v>
      </c>
      <c r="F891">
        <v>1102.83322</v>
      </c>
      <c r="G891">
        <v>4054.8250800000001</v>
      </c>
      <c r="H891">
        <v>440.70326699999998</v>
      </c>
      <c r="I891">
        <v>574.84122000000002</v>
      </c>
      <c r="J891">
        <v>0</v>
      </c>
      <c r="K891">
        <v>0</v>
      </c>
      <c r="L891">
        <v>0</v>
      </c>
      <c r="M891">
        <v>419.92542200000003</v>
      </c>
      <c r="N891">
        <v>0</v>
      </c>
      <c r="O891">
        <v>-136.64469099999999</v>
      </c>
      <c r="P891">
        <v>468.17957200000001</v>
      </c>
    </row>
    <row r="892" spans="1:16" x14ac:dyDescent="0.25">
      <c r="A892" t="s">
        <v>5</v>
      </c>
      <c r="B892">
        <v>515.96457299999997</v>
      </c>
      <c r="C892">
        <v>493.91760299999999</v>
      </c>
      <c r="D892">
        <v>22.046969099999998</v>
      </c>
      <c r="E892">
        <v>245.52629999999999</v>
      </c>
      <c r="F892">
        <v>52.778298100000001</v>
      </c>
      <c r="G892">
        <v>135.68637899999999</v>
      </c>
      <c r="H892">
        <v>7.30054946</v>
      </c>
      <c r="I892">
        <v>74.673045700000003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</row>
    <row r="893" spans="1:16" x14ac:dyDescent="0.25">
      <c r="A893" t="s">
        <v>6</v>
      </c>
      <c r="B893">
        <v>210.871352</v>
      </c>
      <c r="C893">
        <v>184.834518</v>
      </c>
      <c r="D893">
        <v>26.036833600000001</v>
      </c>
      <c r="E893">
        <v>35.106985399999999</v>
      </c>
      <c r="F893">
        <v>2.41529829</v>
      </c>
      <c r="G893">
        <v>170.97551799999999</v>
      </c>
      <c r="H893">
        <v>1.9984884599999999</v>
      </c>
      <c r="I893">
        <v>0.375061647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</row>
    <row r="894" spans="1:16" x14ac:dyDescent="0.25">
      <c r="A894" t="s">
        <v>7</v>
      </c>
      <c r="B894">
        <v>1905.35527</v>
      </c>
      <c r="C894">
        <v>1442.65409</v>
      </c>
      <c r="D894">
        <v>462.70118000000002</v>
      </c>
      <c r="E894">
        <v>0</v>
      </c>
      <c r="F894">
        <v>1658.5706</v>
      </c>
      <c r="G894">
        <v>246.78466800000001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</row>
    <row r="895" spans="1:16" x14ac:dyDescent="0.25">
      <c r="A895" t="s">
        <v>8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</row>
    <row r="896" spans="1:16" x14ac:dyDescent="0.25">
      <c r="A896" t="s">
        <v>9</v>
      </c>
      <c r="B896">
        <v>599.43343900000002</v>
      </c>
      <c r="C896">
        <v>484.54756800000001</v>
      </c>
      <c r="D896">
        <v>114.88587099999999</v>
      </c>
      <c r="E896">
        <v>71.856435000000005</v>
      </c>
      <c r="F896">
        <v>8.9868254200000006</v>
      </c>
      <c r="G896">
        <v>507.137114</v>
      </c>
      <c r="H896">
        <v>10.8301178</v>
      </c>
      <c r="I896">
        <v>0.62294698999999998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</row>
    <row r="897" spans="1:16" x14ac:dyDescent="0.25">
      <c r="A897" t="s">
        <v>10</v>
      </c>
      <c r="B897">
        <v>185.71808799999999</v>
      </c>
      <c r="C897">
        <v>0</v>
      </c>
      <c r="D897">
        <v>185.71808799999999</v>
      </c>
      <c r="E897">
        <v>0</v>
      </c>
      <c r="F897">
        <v>-339.25405499999999</v>
      </c>
      <c r="G897">
        <v>11.559543400000001</v>
      </c>
      <c r="H897">
        <v>0</v>
      </c>
      <c r="I897">
        <v>0</v>
      </c>
      <c r="J897">
        <v>0</v>
      </c>
      <c r="K897">
        <v>204.041257</v>
      </c>
      <c r="L897">
        <v>41.167411199999997</v>
      </c>
      <c r="M897">
        <v>5.7781111000000003</v>
      </c>
      <c r="N897">
        <v>0</v>
      </c>
      <c r="O897">
        <v>262.42582099999998</v>
      </c>
      <c r="P897">
        <v>0</v>
      </c>
    </row>
    <row r="898" spans="1:16" x14ac:dyDescent="0.25">
      <c r="A898" t="s">
        <v>11</v>
      </c>
      <c r="B898">
        <v>171.40756999999999</v>
      </c>
      <c r="C898">
        <v>0</v>
      </c>
      <c r="D898">
        <v>171.40756999999999</v>
      </c>
      <c r="E898">
        <v>47.536537000000003</v>
      </c>
      <c r="F898">
        <v>15.091411799999999</v>
      </c>
      <c r="G898">
        <v>76.292965199999998</v>
      </c>
      <c r="H898">
        <v>8.1601033800000007</v>
      </c>
      <c r="I898">
        <v>15.5729639</v>
      </c>
      <c r="J898">
        <v>0</v>
      </c>
      <c r="K898">
        <v>0</v>
      </c>
      <c r="L898">
        <v>0</v>
      </c>
      <c r="M898">
        <v>8.7535883999999999</v>
      </c>
      <c r="N898">
        <v>0</v>
      </c>
      <c r="O898">
        <v>0</v>
      </c>
      <c r="P898">
        <v>0</v>
      </c>
    </row>
    <row r="899" spans="1:16" x14ac:dyDescent="0.25">
      <c r="A899" t="s">
        <v>12</v>
      </c>
      <c r="B899">
        <v>12282.0424</v>
      </c>
      <c r="C899">
        <v>1470.2938799999999</v>
      </c>
      <c r="D899">
        <v>10811.7485</v>
      </c>
      <c r="E899">
        <v>5509.2902000000004</v>
      </c>
      <c r="F899">
        <v>978.81789500000002</v>
      </c>
      <c r="G899">
        <v>3562.9346300000002</v>
      </c>
      <c r="H899">
        <v>426.12544500000001</v>
      </c>
      <c r="I899">
        <v>1412.0333599999999</v>
      </c>
      <c r="J899">
        <v>0</v>
      </c>
      <c r="K899">
        <v>67.981082999999998</v>
      </c>
      <c r="L899">
        <v>23.576134499999998</v>
      </c>
      <c r="M899">
        <v>239.42122499999999</v>
      </c>
      <c r="N899">
        <v>0</v>
      </c>
      <c r="O899">
        <v>61.862416899999999</v>
      </c>
      <c r="P899">
        <v>0</v>
      </c>
    </row>
    <row r="900" spans="1:16" x14ac:dyDescent="0.25">
      <c r="A900" t="s">
        <v>13</v>
      </c>
      <c r="B900">
        <v>3797.4268299999999</v>
      </c>
      <c r="C900">
        <v>0</v>
      </c>
      <c r="D900">
        <v>3797.4268299999999</v>
      </c>
      <c r="E900">
        <v>2799.2062799999999</v>
      </c>
      <c r="F900">
        <v>848.34285699999998</v>
      </c>
      <c r="G900">
        <v>0</v>
      </c>
      <c r="H900">
        <v>0</v>
      </c>
      <c r="I900">
        <v>0</v>
      </c>
      <c r="J900">
        <v>0</v>
      </c>
      <c r="K900">
        <v>35.825372000000002</v>
      </c>
      <c r="L900">
        <v>5.62626297</v>
      </c>
      <c r="M900">
        <v>89.361492999999996</v>
      </c>
      <c r="N900">
        <v>0</v>
      </c>
      <c r="O900">
        <v>19.064568900000001</v>
      </c>
      <c r="P900">
        <v>0</v>
      </c>
    </row>
    <row r="901" spans="1:16" x14ac:dyDescent="0.25">
      <c r="A901" t="s">
        <v>14</v>
      </c>
      <c r="B901">
        <v>408.44264199999998</v>
      </c>
      <c r="C901">
        <v>0</v>
      </c>
      <c r="D901">
        <v>408.44264199999998</v>
      </c>
      <c r="E901">
        <v>77.042904899999996</v>
      </c>
      <c r="F901">
        <v>95.768929499999999</v>
      </c>
      <c r="G901">
        <v>70.820931999999999</v>
      </c>
      <c r="H901">
        <v>14.416923600000001</v>
      </c>
      <c r="I901">
        <v>0</v>
      </c>
      <c r="J901">
        <v>0</v>
      </c>
      <c r="K901">
        <v>0</v>
      </c>
      <c r="L901">
        <v>20.752985800000001</v>
      </c>
      <c r="M901">
        <v>87.382102399999994</v>
      </c>
      <c r="N901">
        <v>0</v>
      </c>
      <c r="O901">
        <v>42.257863899999997</v>
      </c>
      <c r="P901">
        <v>0</v>
      </c>
    </row>
    <row r="902" spans="1:16" x14ac:dyDescent="0.25">
      <c r="A902" t="s">
        <v>338</v>
      </c>
    </row>
    <row r="903" spans="1:16" x14ac:dyDescent="0.25">
      <c r="A903" t="s">
        <v>360</v>
      </c>
      <c r="B903" t="s">
        <v>18</v>
      </c>
      <c r="C903" t="s">
        <v>19</v>
      </c>
      <c r="D903" t="s">
        <v>20</v>
      </c>
      <c r="E903" t="s">
        <v>21</v>
      </c>
      <c r="F903" t="s">
        <v>22</v>
      </c>
      <c r="G903" t="s">
        <v>23</v>
      </c>
      <c r="H903" t="s">
        <v>361</v>
      </c>
      <c r="I903" t="s">
        <v>25</v>
      </c>
      <c r="J903" t="s">
        <v>362</v>
      </c>
      <c r="K903" t="s">
        <v>5</v>
      </c>
      <c r="L903" t="s">
        <v>6</v>
      </c>
      <c r="M903" t="s">
        <v>7</v>
      </c>
      <c r="N903" t="s">
        <v>8</v>
      </c>
      <c r="O903" t="s">
        <v>9</v>
      </c>
      <c r="P903" t="s">
        <v>363</v>
      </c>
    </row>
    <row r="904" spans="1:16" x14ac:dyDescent="0.25">
      <c r="A904" t="s">
        <v>364</v>
      </c>
      <c r="B904" t="s">
        <v>370</v>
      </c>
      <c r="C904" t="s">
        <v>370</v>
      </c>
      <c r="D904" t="s">
        <v>370</v>
      </c>
      <c r="E904" t="s">
        <v>370</v>
      </c>
      <c r="F904" t="s">
        <v>370</v>
      </c>
      <c r="G904" t="s">
        <v>370</v>
      </c>
      <c r="H904" t="s">
        <v>370</v>
      </c>
      <c r="I904" t="s">
        <v>370</v>
      </c>
      <c r="J904" t="s">
        <v>370</v>
      </c>
      <c r="K904" t="s">
        <v>370</v>
      </c>
      <c r="L904" t="s">
        <v>370</v>
      </c>
      <c r="M904" t="s">
        <v>370</v>
      </c>
      <c r="N904" t="s">
        <v>370</v>
      </c>
      <c r="O904" t="s">
        <v>370</v>
      </c>
      <c r="P904" t="s">
        <v>370</v>
      </c>
    </row>
    <row r="905" spans="1:16" x14ac:dyDescent="0.25">
      <c r="A905" t="s">
        <v>1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</row>
    <row r="906" spans="1:16" x14ac:dyDescent="0.25">
      <c r="A906" t="s">
        <v>2</v>
      </c>
      <c r="B906">
        <v>50.022076300000002</v>
      </c>
      <c r="C906">
        <v>0</v>
      </c>
      <c r="D906">
        <v>50.022076300000002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19.538878</v>
      </c>
      <c r="L906">
        <v>6.7761676499999997</v>
      </c>
      <c r="M906">
        <v>0</v>
      </c>
      <c r="N906">
        <v>0</v>
      </c>
      <c r="O906">
        <v>23.707030700000001</v>
      </c>
      <c r="P906">
        <v>0</v>
      </c>
    </row>
    <row r="907" spans="1:16" x14ac:dyDescent="0.25">
      <c r="A907" t="s">
        <v>3</v>
      </c>
      <c r="B907">
        <v>423.85755499999999</v>
      </c>
      <c r="C907">
        <v>0</v>
      </c>
      <c r="D907">
        <v>423.85755499999999</v>
      </c>
      <c r="E907">
        <v>250.005864</v>
      </c>
      <c r="F907">
        <v>13.165994599999999</v>
      </c>
      <c r="G907">
        <v>70.170372999999998</v>
      </c>
      <c r="H907">
        <v>4.1976254199999996</v>
      </c>
      <c r="I907">
        <v>74.400043499999995</v>
      </c>
      <c r="J907">
        <v>0</v>
      </c>
      <c r="K907">
        <v>5.28077782</v>
      </c>
      <c r="L907">
        <v>1.83139666</v>
      </c>
      <c r="M907">
        <v>0</v>
      </c>
      <c r="N907">
        <v>0</v>
      </c>
      <c r="O907">
        <v>4.8054791899999998</v>
      </c>
      <c r="P907">
        <v>0</v>
      </c>
    </row>
    <row r="908" spans="1:16" x14ac:dyDescent="0.25">
      <c r="A908" t="s">
        <v>4</v>
      </c>
      <c r="B908">
        <v>268.50289299999997</v>
      </c>
      <c r="C908">
        <v>0</v>
      </c>
      <c r="D908">
        <v>268.50289299999997</v>
      </c>
      <c r="E908">
        <v>76.107696099999998</v>
      </c>
      <c r="F908">
        <v>24.161890199999998</v>
      </c>
      <c r="G908">
        <v>122.147766</v>
      </c>
      <c r="H908">
        <v>13.064617399999999</v>
      </c>
      <c r="I908">
        <v>24.932872199999998</v>
      </c>
      <c r="J908">
        <v>0</v>
      </c>
      <c r="K908">
        <v>0</v>
      </c>
      <c r="L908">
        <v>0</v>
      </c>
      <c r="M908">
        <v>14.0148081</v>
      </c>
      <c r="N908">
        <v>0</v>
      </c>
      <c r="O908">
        <v>-5.9267576599999998</v>
      </c>
      <c r="P908">
        <v>0</v>
      </c>
    </row>
    <row r="909" spans="1:16" x14ac:dyDescent="0.25">
      <c r="A909" t="s">
        <v>5</v>
      </c>
      <c r="B909">
        <v>19.538878</v>
      </c>
      <c r="C909">
        <v>24.8196558</v>
      </c>
      <c r="D909">
        <v>-5.28077782</v>
      </c>
      <c r="E909">
        <v>8.4719467900000005</v>
      </c>
      <c r="F909">
        <v>1.7299202899999999</v>
      </c>
      <c r="G909">
        <v>3.9885497299999999</v>
      </c>
      <c r="H909">
        <v>0.11775397</v>
      </c>
      <c r="I909">
        <v>5.2307071699999996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</row>
    <row r="910" spans="1:16" x14ac:dyDescent="0.25">
      <c r="A910" t="s">
        <v>6</v>
      </c>
      <c r="B910">
        <v>6.7761676499999997</v>
      </c>
      <c r="C910">
        <v>8.6075643100000008</v>
      </c>
      <c r="D910">
        <v>-1.83139666</v>
      </c>
      <c r="E910">
        <v>1.1457423499999999</v>
      </c>
      <c r="F910">
        <v>6.0426911399999998E-2</v>
      </c>
      <c r="G910">
        <v>5.5108350599999998</v>
      </c>
      <c r="H910">
        <v>3.2890955899999998E-2</v>
      </c>
      <c r="I910">
        <v>2.6272366799999999E-2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</row>
    <row r="911" spans="1:16" x14ac:dyDescent="0.25">
      <c r="A911" t="s">
        <v>7</v>
      </c>
      <c r="B911">
        <v>37.811468599999998</v>
      </c>
      <c r="C911">
        <v>14.0148081</v>
      </c>
      <c r="D911">
        <v>23.7966604</v>
      </c>
      <c r="E911">
        <v>0</v>
      </c>
      <c r="F911">
        <v>32.752737000000003</v>
      </c>
      <c r="G911">
        <v>5.0587315400000001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</row>
    <row r="912" spans="1:16" x14ac:dyDescent="0.25">
      <c r="A912" t="s">
        <v>8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</row>
    <row r="913" spans="1:16" x14ac:dyDescent="0.25">
      <c r="A913" t="s">
        <v>9</v>
      </c>
      <c r="B913">
        <v>17.780273000000001</v>
      </c>
      <c r="C913">
        <v>22.585752200000002</v>
      </c>
      <c r="D913">
        <v>-4.8054791899999998</v>
      </c>
      <c r="E913">
        <v>2.3900227599999999</v>
      </c>
      <c r="F913">
        <v>0.221120972</v>
      </c>
      <c r="G913">
        <v>14.960360100000001</v>
      </c>
      <c r="H913">
        <v>0.165132842</v>
      </c>
      <c r="I913">
        <v>4.3636271300000001E-2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</row>
    <row r="914" spans="1:16" x14ac:dyDescent="0.25">
      <c r="A914" t="s">
        <v>10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</row>
    <row r="915" spans="1:16" x14ac:dyDescent="0.25">
      <c r="A915" t="s">
        <v>11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</row>
    <row r="916" spans="1:16" x14ac:dyDescent="0.25">
      <c r="A916" t="s">
        <v>12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</row>
    <row r="917" spans="1:16" x14ac:dyDescent="0.25">
      <c r="A917" t="s">
        <v>13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</row>
    <row r="918" spans="1:16" x14ac:dyDescent="0.25">
      <c r="A918" t="s">
        <v>14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</row>
    <row r="919" spans="1:16" x14ac:dyDescent="0.25">
      <c r="A919" t="s">
        <v>339</v>
      </c>
    </row>
    <row r="920" spans="1:16" x14ac:dyDescent="0.25">
      <c r="A920" t="s">
        <v>360</v>
      </c>
      <c r="B920" t="s">
        <v>18</v>
      </c>
      <c r="C920" t="s">
        <v>19</v>
      </c>
      <c r="D920" t="s">
        <v>20</v>
      </c>
      <c r="E920" t="s">
        <v>21</v>
      </c>
      <c r="F920" t="s">
        <v>22</v>
      </c>
      <c r="G920" t="s">
        <v>23</v>
      </c>
      <c r="H920" t="s">
        <v>361</v>
      </c>
      <c r="I920" t="s">
        <v>25</v>
      </c>
      <c r="J920" t="s">
        <v>362</v>
      </c>
      <c r="K920" t="s">
        <v>5</v>
      </c>
      <c r="L920" t="s">
        <v>6</v>
      </c>
      <c r="M920" t="s">
        <v>7</v>
      </c>
      <c r="N920" t="s">
        <v>8</v>
      </c>
      <c r="O920" t="s">
        <v>9</v>
      </c>
      <c r="P920" t="s">
        <v>363</v>
      </c>
    </row>
    <row r="921" spans="1:16" x14ac:dyDescent="0.25">
      <c r="A921" t="s">
        <v>364</v>
      </c>
      <c r="B921" t="s">
        <v>365</v>
      </c>
      <c r="C921" t="s">
        <v>365</v>
      </c>
      <c r="D921" t="s">
        <v>365</v>
      </c>
      <c r="E921" t="s">
        <v>365</v>
      </c>
      <c r="F921" t="s">
        <v>365</v>
      </c>
      <c r="G921" t="s">
        <v>365</v>
      </c>
      <c r="H921" t="s">
        <v>365</v>
      </c>
      <c r="I921" t="s">
        <v>365</v>
      </c>
      <c r="J921" t="s">
        <v>365</v>
      </c>
      <c r="K921" t="s">
        <v>365</v>
      </c>
      <c r="L921" t="s">
        <v>365</v>
      </c>
      <c r="M921" t="s">
        <v>365</v>
      </c>
      <c r="N921" t="s">
        <v>365</v>
      </c>
      <c r="O921" t="s">
        <v>365</v>
      </c>
      <c r="P921" t="s">
        <v>365</v>
      </c>
    </row>
    <row r="922" spans="1:16" x14ac:dyDescent="0.25">
      <c r="A922" t="s">
        <v>1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</row>
    <row r="923" spans="1:16" x14ac:dyDescent="0.25">
      <c r="A923" t="s">
        <v>2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</row>
    <row r="924" spans="1:16" x14ac:dyDescent="0.25">
      <c r="A924" t="s">
        <v>3</v>
      </c>
      <c r="B924">
        <v>18714.182000000001</v>
      </c>
      <c r="C924">
        <v>0</v>
      </c>
      <c r="D924">
        <v>18714.182000000001</v>
      </c>
      <c r="E924">
        <v>11461.220600000001</v>
      </c>
      <c r="F924">
        <v>568.71930999999995</v>
      </c>
      <c r="G924">
        <v>2624.2125599999999</v>
      </c>
      <c r="H924">
        <v>263.048766</v>
      </c>
      <c r="I924">
        <v>3058.0485600000002</v>
      </c>
      <c r="J924">
        <v>0</v>
      </c>
      <c r="K924">
        <v>254.818005</v>
      </c>
      <c r="L924">
        <v>273.425117</v>
      </c>
      <c r="M924">
        <v>0</v>
      </c>
      <c r="N924">
        <v>0</v>
      </c>
      <c r="O924">
        <v>210.68913699999999</v>
      </c>
      <c r="P924">
        <v>0</v>
      </c>
    </row>
    <row r="925" spans="1:16" x14ac:dyDescent="0.25">
      <c r="A925" t="s">
        <v>4</v>
      </c>
      <c r="B925">
        <v>3738.3669100000002</v>
      </c>
      <c r="C925">
        <v>0</v>
      </c>
      <c r="D925">
        <v>3738.3669100000002</v>
      </c>
      <c r="E925">
        <v>969.99666999999999</v>
      </c>
      <c r="F925">
        <v>464.53937300000001</v>
      </c>
      <c r="G925">
        <v>1606.3804399999999</v>
      </c>
      <c r="H925">
        <v>234.59103099999999</v>
      </c>
      <c r="I925">
        <v>329.321687</v>
      </c>
      <c r="J925">
        <v>0</v>
      </c>
      <c r="K925">
        <v>0</v>
      </c>
      <c r="L925">
        <v>0</v>
      </c>
      <c r="M925">
        <v>201.345854</v>
      </c>
      <c r="N925">
        <v>0</v>
      </c>
      <c r="O925">
        <v>-67.808140899999998</v>
      </c>
      <c r="P925">
        <v>0</v>
      </c>
    </row>
    <row r="926" spans="1:16" x14ac:dyDescent="0.25">
      <c r="A926" t="s">
        <v>5</v>
      </c>
      <c r="B926">
        <v>254.818005</v>
      </c>
      <c r="C926">
        <v>254.818005</v>
      </c>
      <c r="D926">
        <v>0</v>
      </c>
      <c r="E926">
        <v>110.66530899999999</v>
      </c>
      <c r="F926">
        <v>26.159126000000001</v>
      </c>
      <c r="G926">
        <v>46.648540599999997</v>
      </c>
      <c r="H926">
        <v>1.89830152</v>
      </c>
      <c r="I926">
        <v>69.446727800000005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</row>
    <row r="927" spans="1:16" x14ac:dyDescent="0.25">
      <c r="A927" t="s">
        <v>6</v>
      </c>
      <c r="B927">
        <v>273.425117</v>
      </c>
      <c r="C927">
        <v>273.425117</v>
      </c>
      <c r="D927">
        <v>0</v>
      </c>
      <c r="E927">
        <v>23.977044299999999</v>
      </c>
      <c r="F927">
        <v>2.61858865</v>
      </c>
      <c r="G927">
        <v>79.940246200000004</v>
      </c>
      <c r="H927">
        <v>1.7110878599999999</v>
      </c>
      <c r="I927">
        <v>165.17814999999999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</row>
    <row r="928" spans="1:16" x14ac:dyDescent="0.25">
      <c r="A928" t="s">
        <v>7</v>
      </c>
      <c r="B928">
        <v>201.345854</v>
      </c>
      <c r="C928">
        <v>201.345854</v>
      </c>
      <c r="D928">
        <v>0</v>
      </c>
      <c r="E928">
        <v>3.0773964299999998</v>
      </c>
      <c r="F928">
        <v>171.462547</v>
      </c>
      <c r="G928">
        <v>26.585020799999999</v>
      </c>
      <c r="H928">
        <v>0.22088951500000001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</row>
    <row r="929" spans="1:16" x14ac:dyDescent="0.25">
      <c r="A929" t="s">
        <v>8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</row>
    <row r="930" spans="1:16" x14ac:dyDescent="0.25">
      <c r="A930" t="s">
        <v>9</v>
      </c>
      <c r="B930">
        <v>142.88099700000001</v>
      </c>
      <c r="C930">
        <v>142.88099700000001</v>
      </c>
      <c r="D930">
        <v>0</v>
      </c>
      <c r="E930">
        <v>19.7509446</v>
      </c>
      <c r="F930">
        <v>3.1168668899999998</v>
      </c>
      <c r="G930">
        <v>116.62838499999999</v>
      </c>
      <c r="H930">
        <v>2.9915633000000001</v>
      </c>
      <c r="I930">
        <v>0.39323641100000001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</row>
    <row r="931" spans="1:16" x14ac:dyDescent="0.25">
      <c r="A931" t="s">
        <v>10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</row>
    <row r="932" spans="1:16" x14ac:dyDescent="0.25">
      <c r="A932" t="s">
        <v>11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25">
      <c r="A933" t="s">
        <v>12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</row>
    <row r="934" spans="1:16" x14ac:dyDescent="0.25">
      <c r="A934" t="s">
        <v>13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</row>
    <row r="935" spans="1:16" x14ac:dyDescent="0.25">
      <c r="A935" t="s">
        <v>14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</row>
    <row r="936" spans="1:16" x14ac:dyDescent="0.25">
      <c r="A936" t="s">
        <v>340</v>
      </c>
    </row>
    <row r="937" spans="1:16" x14ac:dyDescent="0.25">
      <c r="A937" t="s">
        <v>360</v>
      </c>
      <c r="B937" t="s">
        <v>366</v>
      </c>
      <c r="C937" t="s">
        <v>367</v>
      </c>
      <c r="D937" t="s">
        <v>368</v>
      </c>
      <c r="E937" t="s">
        <v>21</v>
      </c>
      <c r="F937" t="s">
        <v>22</v>
      </c>
      <c r="G937" t="s">
        <v>23</v>
      </c>
      <c r="H937" t="s">
        <v>361</v>
      </c>
      <c r="I937" t="s">
        <v>25</v>
      </c>
      <c r="J937" t="s">
        <v>362</v>
      </c>
      <c r="K937" t="s">
        <v>5</v>
      </c>
      <c r="L937" t="s">
        <v>6</v>
      </c>
      <c r="M937" t="s">
        <v>7</v>
      </c>
      <c r="N937" t="s">
        <v>8</v>
      </c>
      <c r="O937" t="s">
        <v>9</v>
      </c>
      <c r="P937" t="s">
        <v>363</v>
      </c>
    </row>
    <row r="938" spans="1:16" x14ac:dyDescent="0.25">
      <c r="A938" t="s">
        <v>364</v>
      </c>
      <c r="B938" t="s">
        <v>369</v>
      </c>
      <c r="C938" t="s">
        <v>369</v>
      </c>
      <c r="D938" t="s">
        <v>369</v>
      </c>
      <c r="E938" t="s">
        <v>369</v>
      </c>
      <c r="F938" t="s">
        <v>369</v>
      </c>
      <c r="G938" t="s">
        <v>369</v>
      </c>
      <c r="H938" t="s">
        <v>369</v>
      </c>
      <c r="I938" t="s">
        <v>369</v>
      </c>
      <c r="J938" t="s">
        <v>369</v>
      </c>
      <c r="K938" t="s">
        <v>369</v>
      </c>
      <c r="L938" t="s">
        <v>369</v>
      </c>
      <c r="M938" t="s">
        <v>369</v>
      </c>
      <c r="N938" t="s">
        <v>369</v>
      </c>
      <c r="O938" t="s">
        <v>369</v>
      </c>
      <c r="P938" t="s">
        <v>369</v>
      </c>
    </row>
    <row r="939" spans="1:16" x14ac:dyDescent="0.25">
      <c r="A939" t="s">
        <v>1</v>
      </c>
      <c r="B939">
        <v>1839.39859</v>
      </c>
      <c r="C939">
        <v>0</v>
      </c>
      <c r="D939">
        <v>1839.39859</v>
      </c>
      <c r="E939">
        <v>605.95166400000005</v>
      </c>
      <c r="F939">
        <v>0</v>
      </c>
      <c r="G939">
        <v>238.80935600000001</v>
      </c>
      <c r="H939">
        <v>0</v>
      </c>
      <c r="I939">
        <v>0</v>
      </c>
      <c r="J939">
        <v>0</v>
      </c>
      <c r="K939">
        <v>0</v>
      </c>
      <c r="L939">
        <v>189.49981199999999</v>
      </c>
      <c r="M939">
        <v>638.03093100000001</v>
      </c>
      <c r="N939">
        <v>0</v>
      </c>
      <c r="O939">
        <v>167.106832</v>
      </c>
      <c r="P939">
        <v>0</v>
      </c>
    </row>
    <row r="940" spans="1:16" x14ac:dyDescent="0.25">
      <c r="A940" t="s">
        <v>2</v>
      </c>
      <c r="B940">
        <v>544.69769699999995</v>
      </c>
      <c r="C940">
        <v>0</v>
      </c>
      <c r="D940">
        <v>544.69769699999995</v>
      </c>
      <c r="E940">
        <v>0</v>
      </c>
      <c r="F940">
        <v>127.069896</v>
      </c>
      <c r="G940">
        <v>67.752490300000005</v>
      </c>
      <c r="H940">
        <v>0</v>
      </c>
      <c r="I940">
        <v>0</v>
      </c>
      <c r="J940">
        <v>0</v>
      </c>
      <c r="K940">
        <v>176.83704</v>
      </c>
      <c r="L940">
        <v>2.7323519299999998E-3</v>
      </c>
      <c r="M940">
        <v>0</v>
      </c>
      <c r="N940">
        <v>0</v>
      </c>
      <c r="O940">
        <v>173.035538</v>
      </c>
      <c r="P940">
        <v>0</v>
      </c>
    </row>
    <row r="941" spans="1:16" x14ac:dyDescent="0.25">
      <c r="A941" t="s">
        <v>3</v>
      </c>
      <c r="B941">
        <v>6226.1534700000002</v>
      </c>
      <c r="C941">
        <v>0</v>
      </c>
      <c r="D941">
        <v>6226.1534700000002</v>
      </c>
      <c r="E941">
        <v>3208.41122</v>
      </c>
      <c r="F941">
        <v>206.989555</v>
      </c>
      <c r="G941">
        <v>773.41012000000001</v>
      </c>
      <c r="H941">
        <v>129.06485599999999</v>
      </c>
      <c r="I941">
        <v>487.35664000000003</v>
      </c>
      <c r="J941">
        <v>0</v>
      </c>
      <c r="K941">
        <v>43.982963900000001</v>
      </c>
      <c r="L941">
        <v>47.194651899999997</v>
      </c>
      <c r="M941">
        <v>0</v>
      </c>
      <c r="N941">
        <v>0</v>
      </c>
      <c r="O941">
        <v>36.366083000000003</v>
      </c>
      <c r="P941">
        <v>1293.3773799999999</v>
      </c>
    </row>
    <row r="942" spans="1:16" x14ac:dyDescent="0.25">
      <c r="A942" t="s">
        <v>4</v>
      </c>
      <c r="B942">
        <v>11635.063700000001</v>
      </c>
      <c r="C942">
        <v>0</v>
      </c>
      <c r="D942">
        <v>11635.063700000001</v>
      </c>
      <c r="E942">
        <v>3705.8699200000001</v>
      </c>
      <c r="F942">
        <v>1577.25487</v>
      </c>
      <c r="G942">
        <v>4144.2894800000004</v>
      </c>
      <c r="H942">
        <v>619.11748299999999</v>
      </c>
      <c r="I942">
        <v>609.47020899999995</v>
      </c>
      <c r="J942">
        <v>0</v>
      </c>
      <c r="K942">
        <v>0</v>
      </c>
      <c r="L942">
        <v>0</v>
      </c>
      <c r="M942">
        <v>475.71327200000002</v>
      </c>
      <c r="N942">
        <v>0</v>
      </c>
      <c r="O942">
        <v>-125.491407</v>
      </c>
      <c r="P942">
        <v>628.83986200000004</v>
      </c>
    </row>
    <row r="943" spans="1:16" x14ac:dyDescent="0.25">
      <c r="A943" t="s">
        <v>5</v>
      </c>
      <c r="B943">
        <v>562.80584999999996</v>
      </c>
      <c r="C943">
        <v>535.43997300000001</v>
      </c>
      <c r="D943">
        <v>27.3658772</v>
      </c>
      <c r="E943">
        <v>264.193287</v>
      </c>
      <c r="F943">
        <v>65.097473800000003</v>
      </c>
      <c r="G943">
        <v>134.706953</v>
      </c>
      <c r="H943">
        <v>9.2162706300000004</v>
      </c>
      <c r="I943">
        <v>89.591865299999995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</row>
    <row r="944" spans="1:16" x14ac:dyDescent="0.25">
      <c r="A944" t="s">
        <v>6</v>
      </c>
      <c r="B944">
        <v>508.29334899999998</v>
      </c>
      <c r="C944">
        <v>477.34710999999999</v>
      </c>
      <c r="D944">
        <v>30.946238399999999</v>
      </c>
      <c r="E944">
        <v>59.305884200000001</v>
      </c>
      <c r="F944">
        <v>8.50480473</v>
      </c>
      <c r="G944">
        <v>219.32707199999999</v>
      </c>
      <c r="H944">
        <v>8.0624867299999998</v>
      </c>
      <c r="I944">
        <v>213.09310099999999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</row>
    <row r="945" spans="1:16" x14ac:dyDescent="0.25">
      <c r="A945" t="s">
        <v>7</v>
      </c>
      <c r="B945">
        <v>2212.8716800000002</v>
      </c>
      <c r="C945">
        <v>1607.44973</v>
      </c>
      <c r="D945">
        <v>605.42195000000004</v>
      </c>
      <c r="E945">
        <v>36.987060900000003</v>
      </c>
      <c r="F945">
        <v>1884.0678499999999</v>
      </c>
      <c r="G945">
        <v>289.22680000000003</v>
      </c>
      <c r="H945">
        <v>2.5899723799999999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</row>
    <row r="946" spans="1:16" x14ac:dyDescent="0.25">
      <c r="A946" t="s">
        <v>8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</row>
    <row r="947" spans="1:16" x14ac:dyDescent="0.25">
      <c r="A947" t="s">
        <v>9</v>
      </c>
      <c r="B947">
        <v>604.57526099999995</v>
      </c>
      <c r="C947">
        <v>624.63911499999995</v>
      </c>
      <c r="D947">
        <v>-20.063853900000002</v>
      </c>
      <c r="E947">
        <v>72.432450500000002</v>
      </c>
      <c r="F947">
        <v>14.6765525</v>
      </c>
      <c r="G947">
        <v>495.96946300000002</v>
      </c>
      <c r="H947">
        <v>20.748731500000002</v>
      </c>
      <c r="I947">
        <v>0.74806302700000005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</row>
    <row r="948" spans="1:16" x14ac:dyDescent="0.25">
      <c r="A948" t="s">
        <v>10</v>
      </c>
      <c r="B948">
        <v>262.70317599999998</v>
      </c>
      <c r="C948">
        <v>0</v>
      </c>
      <c r="D948">
        <v>262.70317599999998</v>
      </c>
      <c r="E948">
        <v>-11.631500000000001</v>
      </c>
      <c r="F948">
        <v>-303.43084800000003</v>
      </c>
      <c r="G948">
        <v>37.664921800000002</v>
      </c>
      <c r="H948">
        <v>0</v>
      </c>
      <c r="I948">
        <v>0</v>
      </c>
      <c r="J948">
        <v>0</v>
      </c>
      <c r="K948">
        <v>197.42875900000001</v>
      </c>
      <c r="L948">
        <v>92.047269999999997</v>
      </c>
      <c r="M948">
        <v>5.7814198299999999</v>
      </c>
      <c r="N948">
        <v>0</v>
      </c>
      <c r="O948">
        <v>244.843153</v>
      </c>
      <c r="P948">
        <v>0</v>
      </c>
    </row>
    <row r="949" spans="1:16" x14ac:dyDescent="0.25">
      <c r="A949" t="s">
        <v>11</v>
      </c>
      <c r="B949">
        <v>352.19562000000002</v>
      </c>
      <c r="C949">
        <v>0</v>
      </c>
      <c r="D949">
        <v>352.19562000000002</v>
      </c>
      <c r="E949">
        <v>89.756402100000003</v>
      </c>
      <c r="F949">
        <v>42.985078299999998</v>
      </c>
      <c r="G949">
        <v>148.64270400000001</v>
      </c>
      <c r="H949">
        <v>21.707339399999999</v>
      </c>
      <c r="I949">
        <v>30.473021899999999</v>
      </c>
      <c r="J949">
        <v>0</v>
      </c>
      <c r="K949">
        <v>0</v>
      </c>
      <c r="L949">
        <v>0</v>
      </c>
      <c r="M949">
        <v>18.631073700000002</v>
      </c>
      <c r="N949">
        <v>0</v>
      </c>
      <c r="O949">
        <v>0</v>
      </c>
      <c r="P949">
        <v>0</v>
      </c>
    </row>
    <row r="950" spans="1:16" x14ac:dyDescent="0.25">
      <c r="A950" t="s">
        <v>12</v>
      </c>
      <c r="B950">
        <v>13671.350899999999</v>
      </c>
      <c r="C950">
        <v>1922.2172399999999</v>
      </c>
      <c r="D950">
        <v>11749.133599999999</v>
      </c>
      <c r="E950">
        <v>5929.3192300000001</v>
      </c>
      <c r="F950">
        <v>1402.0206000000001</v>
      </c>
      <c r="G950">
        <v>3742.1095799999998</v>
      </c>
      <c r="H950">
        <v>586.66220999999996</v>
      </c>
      <c r="I950">
        <v>1508.4174499999999</v>
      </c>
      <c r="J950">
        <v>0</v>
      </c>
      <c r="K950">
        <v>80.714671899999999</v>
      </c>
      <c r="L950">
        <v>86.608552799999998</v>
      </c>
      <c r="M950">
        <v>268.76190600000001</v>
      </c>
      <c r="N950">
        <v>0</v>
      </c>
      <c r="O950">
        <v>66.736667999999995</v>
      </c>
      <c r="P950">
        <v>0</v>
      </c>
    </row>
    <row r="951" spans="1:16" x14ac:dyDescent="0.25">
      <c r="A951" t="s">
        <v>13</v>
      </c>
      <c r="B951">
        <v>4190.2789199999997</v>
      </c>
      <c r="C951">
        <v>0</v>
      </c>
      <c r="D951">
        <v>4190.2789199999997</v>
      </c>
      <c r="E951">
        <v>2888.7213200000001</v>
      </c>
      <c r="F951">
        <v>1133.8545300000001</v>
      </c>
      <c r="G951">
        <v>0</v>
      </c>
      <c r="H951">
        <v>0</v>
      </c>
      <c r="I951">
        <v>0</v>
      </c>
      <c r="J951">
        <v>0</v>
      </c>
      <c r="K951">
        <v>36.476538099999999</v>
      </c>
      <c r="L951">
        <v>9.9116845199999997</v>
      </c>
      <c r="M951">
        <v>101.615211</v>
      </c>
      <c r="N951">
        <v>0</v>
      </c>
      <c r="O951">
        <v>19.699636000000002</v>
      </c>
      <c r="P951">
        <v>0</v>
      </c>
    </row>
    <row r="952" spans="1:16" x14ac:dyDescent="0.25">
      <c r="A952" t="s">
        <v>14</v>
      </c>
      <c r="B952">
        <v>632.92399899999998</v>
      </c>
      <c r="C952">
        <v>0</v>
      </c>
      <c r="D952">
        <v>632.92399899999998</v>
      </c>
      <c r="E952">
        <v>131.83643599999999</v>
      </c>
      <c r="F952">
        <v>120.509846</v>
      </c>
      <c r="G952">
        <v>168.060148</v>
      </c>
      <c r="H952">
        <v>19.176635900000001</v>
      </c>
      <c r="I952" s="74">
        <v>2.62260437E-12</v>
      </c>
      <c r="J952">
        <v>0</v>
      </c>
      <c r="K952">
        <v>0</v>
      </c>
      <c r="L952">
        <v>52.082407199999999</v>
      </c>
      <c r="M952">
        <v>98.915914000000001</v>
      </c>
      <c r="N952">
        <v>0</v>
      </c>
      <c r="O952">
        <v>42.342611699999999</v>
      </c>
      <c r="P952">
        <v>0</v>
      </c>
    </row>
    <row r="953" spans="1:16" x14ac:dyDescent="0.25">
      <c r="A953" t="s">
        <v>341</v>
      </c>
    </row>
    <row r="954" spans="1:16" x14ac:dyDescent="0.25">
      <c r="A954" t="s">
        <v>360</v>
      </c>
      <c r="B954" t="s">
        <v>18</v>
      </c>
      <c r="C954" t="s">
        <v>19</v>
      </c>
      <c r="D954" t="s">
        <v>20</v>
      </c>
      <c r="E954" t="s">
        <v>21</v>
      </c>
      <c r="F954" t="s">
        <v>22</v>
      </c>
      <c r="G954" t="s">
        <v>23</v>
      </c>
      <c r="H954" t="s">
        <v>361</v>
      </c>
      <c r="I954" t="s">
        <v>25</v>
      </c>
      <c r="J954" t="s">
        <v>362</v>
      </c>
      <c r="K954" t="s">
        <v>5</v>
      </c>
      <c r="L954" t="s">
        <v>6</v>
      </c>
      <c r="M954" t="s">
        <v>7</v>
      </c>
      <c r="N954" t="s">
        <v>8</v>
      </c>
      <c r="O954" t="s">
        <v>9</v>
      </c>
      <c r="P954" t="s">
        <v>363</v>
      </c>
    </row>
    <row r="955" spans="1:16" x14ac:dyDescent="0.25">
      <c r="A955" t="s">
        <v>364</v>
      </c>
      <c r="B955" t="s">
        <v>370</v>
      </c>
      <c r="C955" t="s">
        <v>370</v>
      </c>
      <c r="D955" t="s">
        <v>370</v>
      </c>
      <c r="E955" t="s">
        <v>370</v>
      </c>
      <c r="F955" t="s">
        <v>370</v>
      </c>
      <c r="G955" t="s">
        <v>370</v>
      </c>
      <c r="H955" t="s">
        <v>370</v>
      </c>
      <c r="I955" t="s">
        <v>370</v>
      </c>
      <c r="J955" t="s">
        <v>370</v>
      </c>
      <c r="K955" t="s">
        <v>370</v>
      </c>
      <c r="L955" t="s">
        <v>370</v>
      </c>
      <c r="M955" t="s">
        <v>370</v>
      </c>
      <c r="N955" t="s">
        <v>370</v>
      </c>
      <c r="O955" t="s">
        <v>370</v>
      </c>
      <c r="P955" t="s">
        <v>370</v>
      </c>
    </row>
    <row r="956" spans="1:16" x14ac:dyDescent="0.25">
      <c r="A956" t="s">
        <v>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</row>
    <row r="957" spans="1:16" x14ac:dyDescent="0.25">
      <c r="A957" t="s">
        <v>2</v>
      </c>
      <c r="B957">
        <v>59.149134099999998</v>
      </c>
      <c r="C957">
        <v>0</v>
      </c>
      <c r="D957">
        <v>59.149134099999998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18.6270053</v>
      </c>
      <c r="L957">
        <v>19.9871713</v>
      </c>
      <c r="M957">
        <v>0</v>
      </c>
      <c r="N957">
        <v>0</v>
      </c>
      <c r="O957">
        <v>20.534957500000001</v>
      </c>
      <c r="P957">
        <v>0</v>
      </c>
    </row>
    <row r="958" spans="1:16" x14ac:dyDescent="0.25">
      <c r="A958" t="s">
        <v>3</v>
      </c>
      <c r="B958">
        <v>369.72775300000001</v>
      </c>
      <c r="C958">
        <v>0</v>
      </c>
      <c r="D958">
        <v>369.72775300000001</v>
      </c>
      <c r="E958">
        <v>226.434226</v>
      </c>
      <c r="F958">
        <v>11.235933899999999</v>
      </c>
      <c r="G958">
        <v>51.845397900000002</v>
      </c>
      <c r="H958">
        <v>5.1969372299999996</v>
      </c>
      <c r="I958">
        <v>60.416502399999999</v>
      </c>
      <c r="J958">
        <v>0</v>
      </c>
      <c r="K958">
        <v>5.0343257499999998</v>
      </c>
      <c r="L958">
        <v>5.4019381800000001</v>
      </c>
      <c r="M958">
        <v>0</v>
      </c>
      <c r="N958">
        <v>0</v>
      </c>
      <c r="O958">
        <v>4.1624913899999996</v>
      </c>
      <c r="P958">
        <v>0</v>
      </c>
    </row>
    <row r="959" spans="1:16" x14ac:dyDescent="0.25">
      <c r="A959" t="s">
        <v>4</v>
      </c>
      <c r="B959">
        <v>283.030933</v>
      </c>
      <c r="C959">
        <v>0</v>
      </c>
      <c r="D959">
        <v>283.030933</v>
      </c>
      <c r="E959">
        <v>73.438233699999998</v>
      </c>
      <c r="F959">
        <v>35.170173400000003</v>
      </c>
      <c r="G959">
        <v>121.618708</v>
      </c>
      <c r="H959">
        <v>17.760835100000001</v>
      </c>
      <c r="I959">
        <v>24.932872199999998</v>
      </c>
      <c r="J959">
        <v>0</v>
      </c>
      <c r="K959">
        <v>0</v>
      </c>
      <c r="L959">
        <v>0</v>
      </c>
      <c r="M959">
        <v>15.2438501</v>
      </c>
      <c r="N959">
        <v>0</v>
      </c>
      <c r="O959">
        <v>-5.1337393799999997</v>
      </c>
      <c r="P959">
        <v>0</v>
      </c>
    </row>
    <row r="960" spans="1:16" x14ac:dyDescent="0.25">
      <c r="A960" t="s">
        <v>5</v>
      </c>
      <c r="B960">
        <v>18.6270053</v>
      </c>
      <c r="C960">
        <v>23.661331000000001</v>
      </c>
      <c r="D960">
        <v>-5.0343257499999998</v>
      </c>
      <c r="E960">
        <v>8.0895512000000007</v>
      </c>
      <c r="F960">
        <v>1.91221252</v>
      </c>
      <c r="G960">
        <v>3.4099733799999998</v>
      </c>
      <c r="H960">
        <v>0.138764419</v>
      </c>
      <c r="I960">
        <v>5.0765037800000004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</row>
    <row r="961" spans="1:16" x14ac:dyDescent="0.25">
      <c r="A961" t="s">
        <v>6</v>
      </c>
      <c r="B961">
        <v>19.9871713</v>
      </c>
      <c r="C961">
        <v>25.389109399999999</v>
      </c>
      <c r="D961">
        <v>-5.4019381800000001</v>
      </c>
      <c r="E961">
        <v>1.7527039799999999</v>
      </c>
      <c r="F961">
        <v>0.19141686899999999</v>
      </c>
      <c r="G961">
        <v>5.8435721100000002</v>
      </c>
      <c r="H961">
        <v>0.12507924100000001</v>
      </c>
      <c r="I961">
        <v>12.074399100000001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</row>
    <row r="962" spans="1:16" x14ac:dyDescent="0.25">
      <c r="A962" t="s">
        <v>7</v>
      </c>
      <c r="B962">
        <v>40.558433299999997</v>
      </c>
      <c r="C962">
        <v>15.2438501</v>
      </c>
      <c r="D962">
        <v>25.314583200000001</v>
      </c>
      <c r="E962">
        <v>0.61990041299999998</v>
      </c>
      <c r="F962">
        <v>34.538840299999997</v>
      </c>
      <c r="G962">
        <v>5.3551973999999998</v>
      </c>
      <c r="H962">
        <v>4.4495242999999997E-2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</row>
    <row r="963" spans="1:16" x14ac:dyDescent="0.25">
      <c r="A963" t="s">
        <v>8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</row>
    <row r="964" spans="1:16" x14ac:dyDescent="0.25">
      <c r="A964" t="s">
        <v>9</v>
      </c>
      <c r="B964">
        <v>15.401218099999999</v>
      </c>
      <c r="C964">
        <v>19.563709500000002</v>
      </c>
      <c r="D964">
        <v>-4.1624913899999996</v>
      </c>
      <c r="E964">
        <v>2.1289647500000002</v>
      </c>
      <c r="F964">
        <v>0.33596872999999999</v>
      </c>
      <c r="G964">
        <v>12.571435299999999</v>
      </c>
      <c r="H964">
        <v>0.32246218900000001</v>
      </c>
      <c r="I964">
        <v>4.2387160600000001E-2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</row>
    <row r="965" spans="1:16" x14ac:dyDescent="0.25">
      <c r="A965" t="s">
        <v>10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</row>
    <row r="966" spans="1:16" x14ac:dyDescent="0.25">
      <c r="A966" t="s">
        <v>11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</row>
    <row r="967" spans="1:16" x14ac:dyDescent="0.25">
      <c r="A967" t="s">
        <v>12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</row>
    <row r="968" spans="1:16" x14ac:dyDescent="0.25">
      <c r="A968" t="s">
        <v>13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</row>
    <row r="969" spans="1:16" x14ac:dyDescent="0.25">
      <c r="A969" t="s">
        <v>14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</row>
    <row r="970" spans="1:16" x14ac:dyDescent="0.25">
      <c r="A970" t="s">
        <v>342</v>
      </c>
    </row>
    <row r="971" spans="1:16" x14ac:dyDescent="0.25">
      <c r="A971" t="s">
        <v>360</v>
      </c>
      <c r="B971" t="s">
        <v>18</v>
      </c>
      <c r="C971" t="s">
        <v>19</v>
      </c>
      <c r="D971" t="s">
        <v>20</v>
      </c>
      <c r="E971" t="s">
        <v>21</v>
      </c>
      <c r="F971" t="s">
        <v>22</v>
      </c>
      <c r="G971" t="s">
        <v>23</v>
      </c>
      <c r="H971" t="s">
        <v>361</v>
      </c>
      <c r="I971" t="s">
        <v>25</v>
      </c>
      <c r="J971" t="s">
        <v>362</v>
      </c>
      <c r="K971" t="s">
        <v>5</v>
      </c>
      <c r="L971" t="s">
        <v>6</v>
      </c>
      <c r="M971" t="s">
        <v>7</v>
      </c>
      <c r="N971" t="s">
        <v>8</v>
      </c>
      <c r="O971" t="s">
        <v>9</v>
      </c>
      <c r="P971" t="s">
        <v>363</v>
      </c>
    </row>
    <row r="972" spans="1:16" x14ac:dyDescent="0.25">
      <c r="A972" t="s">
        <v>364</v>
      </c>
      <c r="B972" t="s">
        <v>365</v>
      </c>
      <c r="C972" t="s">
        <v>365</v>
      </c>
      <c r="D972" t="s">
        <v>365</v>
      </c>
      <c r="E972" t="s">
        <v>365</v>
      </c>
      <c r="F972" t="s">
        <v>365</v>
      </c>
      <c r="G972" t="s">
        <v>365</v>
      </c>
      <c r="H972" t="s">
        <v>365</v>
      </c>
      <c r="I972" t="s">
        <v>365</v>
      </c>
      <c r="J972" t="s">
        <v>365</v>
      </c>
      <c r="K972" t="s">
        <v>365</v>
      </c>
      <c r="L972" t="s">
        <v>365</v>
      </c>
      <c r="M972" t="s">
        <v>365</v>
      </c>
      <c r="N972" t="s">
        <v>365</v>
      </c>
      <c r="O972" t="s">
        <v>365</v>
      </c>
      <c r="P972" t="s">
        <v>365</v>
      </c>
    </row>
    <row r="973" spans="1:16" x14ac:dyDescent="0.25">
      <c r="A973" t="s">
        <v>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</row>
    <row r="974" spans="1:16" x14ac:dyDescent="0.25">
      <c r="A974" t="s">
        <v>2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</row>
    <row r="975" spans="1:16" x14ac:dyDescent="0.25">
      <c r="A975" t="s">
        <v>3</v>
      </c>
      <c r="B975">
        <v>16139.9362</v>
      </c>
      <c r="C975">
        <v>0</v>
      </c>
      <c r="D975">
        <v>16139.9362</v>
      </c>
      <c r="E975">
        <v>10484.682000000001</v>
      </c>
      <c r="F975">
        <v>347.14712100000003</v>
      </c>
      <c r="G975">
        <v>2105.6770499999998</v>
      </c>
      <c r="H975">
        <v>323.36822899999999</v>
      </c>
      <c r="I975">
        <v>1828.71219</v>
      </c>
      <c r="J975">
        <v>0</v>
      </c>
      <c r="K975">
        <v>244.362809</v>
      </c>
      <c r="L975">
        <v>608.09940099999994</v>
      </c>
      <c r="M975">
        <v>0</v>
      </c>
      <c r="N975">
        <v>0</v>
      </c>
      <c r="O975">
        <v>197.88741300000001</v>
      </c>
      <c r="P975">
        <v>0</v>
      </c>
    </row>
    <row r="976" spans="1:16" x14ac:dyDescent="0.25">
      <c r="A976" t="s">
        <v>4</v>
      </c>
      <c r="B976">
        <v>3062.0118699999998</v>
      </c>
      <c r="C976">
        <v>0</v>
      </c>
      <c r="D976">
        <v>3062.0118699999998</v>
      </c>
      <c r="E976">
        <v>718.74911099999997</v>
      </c>
      <c r="F976">
        <v>467.88109400000002</v>
      </c>
      <c r="G976">
        <v>1233.46522</v>
      </c>
      <c r="H976">
        <v>267.07320199999998</v>
      </c>
      <c r="I976">
        <v>252.722363</v>
      </c>
      <c r="J976">
        <v>0</v>
      </c>
      <c r="K976">
        <v>0</v>
      </c>
      <c r="L976">
        <v>0</v>
      </c>
      <c r="M976">
        <v>170.99524700000001</v>
      </c>
      <c r="N976">
        <v>0</v>
      </c>
      <c r="O976">
        <v>-48.8743737</v>
      </c>
      <c r="P976">
        <v>0</v>
      </c>
    </row>
    <row r="977" spans="1:16" x14ac:dyDescent="0.25">
      <c r="A977" t="s">
        <v>5</v>
      </c>
      <c r="B977">
        <v>244.362809</v>
      </c>
      <c r="C977">
        <v>244.362809</v>
      </c>
      <c r="D977">
        <v>0</v>
      </c>
      <c r="E977">
        <v>105.52814600000001</v>
      </c>
      <c r="F977">
        <v>28.100518399999999</v>
      </c>
      <c r="G977">
        <v>40.983634899999998</v>
      </c>
      <c r="H977">
        <v>2.4148569900000001</v>
      </c>
      <c r="I977">
        <v>67.335652400000001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</row>
    <row r="978" spans="1:16" x14ac:dyDescent="0.25">
      <c r="A978" t="s">
        <v>6</v>
      </c>
      <c r="B978">
        <v>608.09940099999994</v>
      </c>
      <c r="C978">
        <v>608.09940099999994</v>
      </c>
      <c r="D978" s="74">
        <v>-1.1368683799999999E-13</v>
      </c>
      <c r="E978">
        <v>33.426594799999997</v>
      </c>
      <c r="F978">
        <v>8.2510987199999999</v>
      </c>
      <c r="G978">
        <v>83.008829300000002</v>
      </c>
      <c r="H978">
        <v>10.0040894</v>
      </c>
      <c r="I978">
        <v>473.40878900000001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</row>
    <row r="979" spans="1:16" x14ac:dyDescent="0.25">
      <c r="A979" t="s">
        <v>7</v>
      </c>
      <c r="B979">
        <v>170.99524700000001</v>
      </c>
      <c r="C979">
        <v>170.99524700000001</v>
      </c>
      <c r="D979" s="74">
        <v>-2.8421709399999999E-14</v>
      </c>
      <c r="E979">
        <v>9.7106802200000004</v>
      </c>
      <c r="F979">
        <v>137.53047100000001</v>
      </c>
      <c r="G979">
        <v>21.870632400000002</v>
      </c>
      <c r="H979">
        <v>1.8834636899999999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25">
      <c r="A980" t="s">
        <v>8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25">
      <c r="A981" t="s">
        <v>9</v>
      </c>
      <c r="B981">
        <v>149.01303899999999</v>
      </c>
      <c r="C981">
        <v>149.01303899999999</v>
      </c>
      <c r="D981" s="74">
        <v>-2.8421709399999999E-14</v>
      </c>
      <c r="E981">
        <v>19.994464300000001</v>
      </c>
      <c r="F981">
        <v>5.1549557899999998</v>
      </c>
      <c r="G981">
        <v>117.487796</v>
      </c>
      <c r="H981">
        <v>5.9522763999999997</v>
      </c>
      <c r="I981">
        <v>0.42354664400000003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</row>
    <row r="982" spans="1:16" x14ac:dyDescent="0.25">
      <c r="A982" t="s">
        <v>10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25">
      <c r="A983" t="s">
        <v>11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</row>
    <row r="984" spans="1:16" x14ac:dyDescent="0.25">
      <c r="A984" t="s">
        <v>12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</row>
    <row r="985" spans="1:16" x14ac:dyDescent="0.25">
      <c r="A985" t="s">
        <v>13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</row>
    <row r="986" spans="1:16" x14ac:dyDescent="0.25">
      <c r="A986" t="s">
        <v>14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</row>
    <row r="987" spans="1:16" x14ac:dyDescent="0.25">
      <c r="A987" t="s">
        <v>343</v>
      </c>
    </row>
    <row r="988" spans="1:16" x14ac:dyDescent="0.25">
      <c r="A988" t="s">
        <v>360</v>
      </c>
      <c r="B988" t="s">
        <v>366</v>
      </c>
      <c r="C988" t="s">
        <v>367</v>
      </c>
      <c r="D988" t="s">
        <v>368</v>
      </c>
      <c r="E988" t="s">
        <v>21</v>
      </c>
      <c r="F988" t="s">
        <v>22</v>
      </c>
      <c r="G988" t="s">
        <v>23</v>
      </c>
      <c r="H988" t="s">
        <v>361</v>
      </c>
      <c r="I988" t="s">
        <v>25</v>
      </c>
      <c r="J988" t="s">
        <v>362</v>
      </c>
      <c r="K988" t="s">
        <v>5</v>
      </c>
      <c r="L988" t="s">
        <v>6</v>
      </c>
      <c r="M988" t="s">
        <v>7</v>
      </c>
      <c r="N988" t="s">
        <v>8</v>
      </c>
      <c r="O988" t="s">
        <v>9</v>
      </c>
      <c r="P988" t="s">
        <v>363</v>
      </c>
    </row>
    <row r="989" spans="1:16" x14ac:dyDescent="0.25">
      <c r="A989" t="s">
        <v>364</v>
      </c>
      <c r="B989" t="s">
        <v>369</v>
      </c>
      <c r="C989" t="s">
        <v>369</v>
      </c>
      <c r="D989" t="s">
        <v>369</v>
      </c>
      <c r="E989" t="s">
        <v>369</v>
      </c>
      <c r="F989" t="s">
        <v>369</v>
      </c>
      <c r="G989" t="s">
        <v>369</v>
      </c>
      <c r="H989" t="s">
        <v>369</v>
      </c>
      <c r="I989" t="s">
        <v>369</v>
      </c>
      <c r="J989" t="s">
        <v>369</v>
      </c>
      <c r="K989" t="s">
        <v>369</v>
      </c>
      <c r="L989" t="s">
        <v>369</v>
      </c>
      <c r="M989" t="s">
        <v>369</v>
      </c>
      <c r="N989" t="s">
        <v>369</v>
      </c>
      <c r="O989" t="s">
        <v>369</v>
      </c>
      <c r="P989" t="s">
        <v>369</v>
      </c>
    </row>
    <row r="990" spans="1:16" x14ac:dyDescent="0.25">
      <c r="A990" t="s">
        <v>1</v>
      </c>
      <c r="B990">
        <v>2271.4559399999998</v>
      </c>
      <c r="C990">
        <v>0</v>
      </c>
      <c r="D990">
        <v>2271.4559399999998</v>
      </c>
      <c r="E990">
        <v>684.34458700000005</v>
      </c>
      <c r="F990">
        <v>0</v>
      </c>
      <c r="G990">
        <v>331.08990499999999</v>
      </c>
      <c r="H990">
        <v>0</v>
      </c>
      <c r="I990">
        <v>0</v>
      </c>
      <c r="J990">
        <v>0</v>
      </c>
      <c r="K990">
        <v>0</v>
      </c>
      <c r="L990">
        <v>378.06532800000002</v>
      </c>
      <c r="M990">
        <v>710.84929</v>
      </c>
      <c r="N990">
        <v>0</v>
      </c>
      <c r="O990">
        <v>167.106832</v>
      </c>
      <c r="P990">
        <v>0</v>
      </c>
    </row>
    <row r="991" spans="1:16" x14ac:dyDescent="0.25">
      <c r="A991" t="s">
        <v>2</v>
      </c>
      <c r="B991">
        <v>894.51242100000002</v>
      </c>
      <c r="C991">
        <v>0</v>
      </c>
      <c r="D991">
        <v>894.51242100000002</v>
      </c>
      <c r="E991">
        <v>0</v>
      </c>
      <c r="F991">
        <v>260.80214799999999</v>
      </c>
      <c r="G991">
        <v>93.038938400000006</v>
      </c>
      <c r="H991">
        <v>0</v>
      </c>
      <c r="I991">
        <v>0</v>
      </c>
      <c r="J991">
        <v>0</v>
      </c>
      <c r="K991">
        <v>194.13785999999999</v>
      </c>
      <c r="L991">
        <v>6.2620622700000003E-3</v>
      </c>
      <c r="M991">
        <v>0</v>
      </c>
      <c r="N991">
        <v>0</v>
      </c>
      <c r="O991">
        <v>346.52721200000002</v>
      </c>
      <c r="P991">
        <v>0</v>
      </c>
    </row>
    <row r="992" spans="1:16" x14ac:dyDescent="0.25">
      <c r="A992" t="s">
        <v>3</v>
      </c>
      <c r="B992">
        <v>6022.3548799999999</v>
      </c>
      <c r="C992">
        <v>0</v>
      </c>
      <c r="D992">
        <v>6022.3548799999999</v>
      </c>
      <c r="E992">
        <v>3020.8582200000001</v>
      </c>
      <c r="F992">
        <v>140.118469</v>
      </c>
      <c r="G992">
        <v>661.38925700000004</v>
      </c>
      <c r="H992">
        <v>163.85939099999999</v>
      </c>
      <c r="I992">
        <v>301.45124399999997</v>
      </c>
      <c r="J992">
        <v>0</v>
      </c>
      <c r="K992">
        <v>43.516214900000001</v>
      </c>
      <c r="L992">
        <v>108.290555</v>
      </c>
      <c r="M992">
        <v>0</v>
      </c>
      <c r="N992">
        <v>0</v>
      </c>
      <c r="O992">
        <v>35.23986</v>
      </c>
      <c r="P992">
        <v>1547.63167</v>
      </c>
    </row>
    <row r="993" spans="1:16" x14ac:dyDescent="0.25">
      <c r="A993" t="s">
        <v>4</v>
      </c>
      <c r="B993">
        <v>12743.332</v>
      </c>
      <c r="C993">
        <v>0</v>
      </c>
      <c r="D993">
        <v>12743.332</v>
      </c>
      <c r="E993">
        <v>3660.4977699999999</v>
      </c>
      <c r="F993">
        <v>2070.5268299999998</v>
      </c>
      <c r="G993">
        <v>4269.8179700000001</v>
      </c>
      <c r="H993">
        <v>944.63387699999998</v>
      </c>
      <c r="I993">
        <v>644.099199</v>
      </c>
      <c r="J993">
        <v>0</v>
      </c>
      <c r="K993">
        <v>0</v>
      </c>
      <c r="L993">
        <v>0</v>
      </c>
      <c r="M993">
        <v>543.77990399999999</v>
      </c>
      <c r="N993">
        <v>0</v>
      </c>
      <c r="O993">
        <v>-124.56335300000001</v>
      </c>
      <c r="P993">
        <v>734.53980000000001</v>
      </c>
    </row>
    <row r="994" spans="1:16" x14ac:dyDescent="0.25">
      <c r="A994" t="s">
        <v>5</v>
      </c>
      <c r="B994">
        <v>579.25859300000002</v>
      </c>
      <c r="C994">
        <v>552.81435199999999</v>
      </c>
      <c r="D994">
        <v>26.444240499999999</v>
      </c>
      <c r="E994">
        <v>267.73566099999999</v>
      </c>
      <c r="F994">
        <v>73.838115700000003</v>
      </c>
      <c r="G994">
        <v>129.76080400000001</v>
      </c>
      <c r="H994">
        <v>12.08644</v>
      </c>
      <c r="I994">
        <v>95.837571600000004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</row>
    <row r="995" spans="1:16" x14ac:dyDescent="0.25">
      <c r="A995" t="s">
        <v>6</v>
      </c>
      <c r="B995">
        <v>1088.87716</v>
      </c>
      <c r="C995">
        <v>999.54022499999996</v>
      </c>
      <c r="D995">
        <v>89.336934799999995</v>
      </c>
      <c r="E995">
        <v>86.926718800000003</v>
      </c>
      <c r="F995">
        <v>28.9570978</v>
      </c>
      <c r="G995">
        <v>248.994283</v>
      </c>
      <c r="H995">
        <v>50.205205399999997</v>
      </c>
      <c r="I995">
        <v>673.79385400000001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</row>
    <row r="996" spans="1:16" x14ac:dyDescent="0.25">
      <c r="A996" t="s">
        <v>7</v>
      </c>
      <c r="B996">
        <v>2524.2454899999998</v>
      </c>
      <c r="C996">
        <v>1833.33485</v>
      </c>
      <c r="D996">
        <v>690.91064700000004</v>
      </c>
      <c r="E996">
        <v>150.29224600000001</v>
      </c>
      <c r="F996">
        <v>2018.4553900000001</v>
      </c>
      <c r="G996">
        <v>324.203352</v>
      </c>
      <c r="H996">
        <v>31.294499500000001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</row>
    <row r="997" spans="1:16" x14ac:dyDescent="0.25">
      <c r="A997" t="s">
        <v>8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</row>
    <row r="998" spans="1:16" x14ac:dyDescent="0.25">
      <c r="A998" t="s">
        <v>9</v>
      </c>
      <c r="B998">
        <v>616.94938999999999</v>
      </c>
      <c r="C998">
        <v>797.70770700000003</v>
      </c>
      <c r="D998">
        <v>-180.75831700000001</v>
      </c>
      <c r="E998">
        <v>70.162416399999998</v>
      </c>
      <c r="F998">
        <v>22.7660278</v>
      </c>
      <c r="G998">
        <v>486.60486800000001</v>
      </c>
      <c r="H998">
        <v>36.6155325</v>
      </c>
      <c r="I998">
        <v>0.800545226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</row>
    <row r="999" spans="1:16" x14ac:dyDescent="0.25">
      <c r="A999" t="s">
        <v>10</v>
      </c>
      <c r="B999">
        <v>368.11116299999998</v>
      </c>
      <c r="C999">
        <v>0</v>
      </c>
      <c r="D999">
        <v>368.11116299999998</v>
      </c>
      <c r="E999">
        <v>-45.449750000000002</v>
      </c>
      <c r="F999">
        <v>-255.53147200000001</v>
      </c>
      <c r="G999">
        <v>51.722148199999999</v>
      </c>
      <c r="H999">
        <v>0</v>
      </c>
      <c r="I999">
        <v>0</v>
      </c>
      <c r="J999">
        <v>0</v>
      </c>
      <c r="K999">
        <v>193.04139599999999</v>
      </c>
      <c r="L999">
        <v>176.409188</v>
      </c>
      <c r="M999">
        <v>6.1282367100000004</v>
      </c>
      <c r="N999">
        <v>0</v>
      </c>
      <c r="O999">
        <v>241.791416</v>
      </c>
      <c r="P999">
        <v>0</v>
      </c>
    </row>
    <row r="1000" spans="1:16" x14ac:dyDescent="0.25">
      <c r="A1000" t="s">
        <v>11</v>
      </c>
      <c r="B1000">
        <v>460.57387999999997</v>
      </c>
      <c r="C1000">
        <v>0</v>
      </c>
      <c r="D1000">
        <v>460.57387999999997</v>
      </c>
      <c r="E1000">
        <v>106.412463</v>
      </c>
      <c r="F1000">
        <v>69.270874599999999</v>
      </c>
      <c r="G1000">
        <v>182.61736999999999</v>
      </c>
      <c r="H1000">
        <v>39.540803400000001</v>
      </c>
      <c r="I1000">
        <v>37.416128499999999</v>
      </c>
      <c r="J1000">
        <v>0</v>
      </c>
      <c r="K1000">
        <v>0</v>
      </c>
      <c r="L1000">
        <v>0</v>
      </c>
      <c r="M1000">
        <v>25.3162406</v>
      </c>
      <c r="N1000">
        <v>0</v>
      </c>
      <c r="O1000">
        <v>0</v>
      </c>
      <c r="P1000">
        <v>0</v>
      </c>
    </row>
    <row r="1001" spans="1:16" x14ac:dyDescent="0.25">
      <c r="A1001" t="s">
        <v>12</v>
      </c>
      <c r="B1001">
        <v>14391.677900000001</v>
      </c>
      <c r="C1001">
        <v>2282.1714700000002</v>
      </c>
      <c r="D1001">
        <v>12109.5064</v>
      </c>
      <c r="E1001">
        <v>5900.2283500000003</v>
      </c>
      <c r="F1001">
        <v>1775.91192</v>
      </c>
      <c r="G1001">
        <v>3818.8386700000001</v>
      </c>
      <c r="H1001">
        <v>894.23114499999997</v>
      </c>
      <c r="I1001">
        <v>1324.6132299999999</v>
      </c>
      <c r="J1001">
        <v>0</v>
      </c>
      <c r="K1001">
        <v>85.029748999999995</v>
      </c>
      <c r="L1001">
        <v>211.597418</v>
      </c>
      <c r="M1001">
        <v>312.36947300000003</v>
      </c>
      <c r="N1001">
        <v>0</v>
      </c>
      <c r="O1001">
        <v>68.857929299999995</v>
      </c>
      <c r="P1001">
        <v>0</v>
      </c>
    </row>
    <row r="1002" spans="1:16" x14ac:dyDescent="0.25">
      <c r="A1002" t="s">
        <v>13</v>
      </c>
      <c r="B1002">
        <v>4460.1561400000001</v>
      </c>
      <c r="C1002">
        <v>0</v>
      </c>
      <c r="D1002">
        <v>4460.1561400000001</v>
      </c>
      <c r="E1002">
        <v>2877.6404200000002</v>
      </c>
      <c r="F1002">
        <v>1387.1826900000001</v>
      </c>
      <c r="G1002">
        <v>0</v>
      </c>
      <c r="H1002">
        <v>0</v>
      </c>
      <c r="I1002">
        <v>0</v>
      </c>
      <c r="J1002">
        <v>0</v>
      </c>
      <c r="K1002">
        <v>37.089131899999998</v>
      </c>
      <c r="L1002">
        <v>20.2038324</v>
      </c>
      <c r="M1002">
        <v>117.403704</v>
      </c>
      <c r="N1002">
        <v>0</v>
      </c>
      <c r="O1002">
        <v>20.636360799999999</v>
      </c>
      <c r="P1002">
        <v>0</v>
      </c>
    </row>
    <row r="1003" spans="1:16" x14ac:dyDescent="0.25">
      <c r="A1003" t="s">
        <v>14</v>
      </c>
      <c r="B1003">
        <v>811.68059600000004</v>
      </c>
      <c r="C1003">
        <v>0</v>
      </c>
      <c r="D1003">
        <v>811.68059600000004</v>
      </c>
      <c r="E1003">
        <v>149.68734799999999</v>
      </c>
      <c r="F1003">
        <v>144.062141</v>
      </c>
      <c r="G1003">
        <v>225.31095500000001</v>
      </c>
      <c r="H1003">
        <v>28.053062099999998</v>
      </c>
      <c r="I1003" s="74">
        <v>-1.0728836099999999E-12</v>
      </c>
      <c r="J1003">
        <v>0</v>
      </c>
      <c r="K1003">
        <v>0</v>
      </c>
      <c r="L1003">
        <v>104.96764</v>
      </c>
      <c r="M1003">
        <v>117.487999</v>
      </c>
      <c r="N1003">
        <v>0</v>
      </c>
      <c r="O1003">
        <v>42.111450300000001</v>
      </c>
      <c r="P1003">
        <v>0</v>
      </c>
    </row>
    <row r="1004" spans="1:16" x14ac:dyDescent="0.25">
      <c r="A1004" t="s">
        <v>344</v>
      </c>
    </row>
    <row r="1005" spans="1:16" x14ac:dyDescent="0.25">
      <c r="A1005" t="s">
        <v>360</v>
      </c>
      <c r="B1005" t="s">
        <v>18</v>
      </c>
      <c r="C1005" t="s">
        <v>19</v>
      </c>
      <c r="D1005" t="s">
        <v>20</v>
      </c>
      <c r="E1005" t="s">
        <v>21</v>
      </c>
      <c r="F1005" t="s">
        <v>22</v>
      </c>
      <c r="G1005" t="s">
        <v>23</v>
      </c>
      <c r="H1005" t="s">
        <v>361</v>
      </c>
      <c r="I1005" t="s">
        <v>25</v>
      </c>
      <c r="J1005" t="s">
        <v>362</v>
      </c>
      <c r="K1005" t="s">
        <v>5</v>
      </c>
      <c r="L1005" t="s">
        <v>6</v>
      </c>
      <c r="M1005" t="s">
        <v>7</v>
      </c>
      <c r="N1005" t="s">
        <v>8</v>
      </c>
      <c r="O1005" t="s">
        <v>9</v>
      </c>
      <c r="P1005" t="s">
        <v>363</v>
      </c>
    </row>
    <row r="1006" spans="1:16" x14ac:dyDescent="0.25">
      <c r="A1006" t="s">
        <v>364</v>
      </c>
      <c r="B1006" t="s">
        <v>370</v>
      </c>
      <c r="C1006" t="s">
        <v>370</v>
      </c>
      <c r="D1006" t="s">
        <v>370</v>
      </c>
      <c r="E1006" t="s">
        <v>370</v>
      </c>
      <c r="F1006" t="s">
        <v>370</v>
      </c>
      <c r="G1006" t="s">
        <v>370</v>
      </c>
      <c r="H1006" t="s">
        <v>370</v>
      </c>
      <c r="I1006" t="s">
        <v>370</v>
      </c>
      <c r="J1006" t="s">
        <v>370</v>
      </c>
      <c r="K1006" t="s">
        <v>370</v>
      </c>
      <c r="L1006" t="s">
        <v>370</v>
      </c>
      <c r="M1006" t="s">
        <v>370</v>
      </c>
      <c r="N1006" t="s">
        <v>370</v>
      </c>
      <c r="O1006" t="s">
        <v>370</v>
      </c>
      <c r="P1006" t="s">
        <v>370</v>
      </c>
    </row>
    <row r="1007" spans="1:16" x14ac:dyDescent="0.25">
      <c r="A1007" t="s">
        <v>1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</row>
    <row r="1008" spans="1:16" x14ac:dyDescent="0.25">
      <c r="A1008" t="s">
        <v>2</v>
      </c>
      <c r="B1008">
        <v>81.601577899999995</v>
      </c>
      <c r="C1008">
        <v>0</v>
      </c>
      <c r="D1008">
        <v>81.601577899999995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17.8627383</v>
      </c>
      <c r="L1008">
        <v>44.451610700000003</v>
      </c>
      <c r="M1008">
        <v>0</v>
      </c>
      <c r="N1008">
        <v>0</v>
      </c>
      <c r="O1008">
        <v>19.287228800000001</v>
      </c>
      <c r="P1008">
        <v>0</v>
      </c>
    </row>
    <row r="1009" spans="1:16" x14ac:dyDescent="0.25">
      <c r="A1009" t="s">
        <v>3</v>
      </c>
      <c r="B1009">
        <v>318.86952600000001</v>
      </c>
      <c r="C1009">
        <v>0</v>
      </c>
      <c r="D1009">
        <v>318.86952600000001</v>
      </c>
      <c r="E1009">
        <v>207.14118999999999</v>
      </c>
      <c r="F1009">
        <v>6.8584309399999999</v>
      </c>
      <c r="G1009">
        <v>41.600923000000002</v>
      </c>
      <c r="H1009">
        <v>6.3886419800000001</v>
      </c>
      <c r="I1009">
        <v>36.129051599999997</v>
      </c>
      <c r="J1009">
        <v>0</v>
      </c>
      <c r="K1009">
        <v>4.8277671</v>
      </c>
      <c r="L1009">
        <v>12.0139488</v>
      </c>
      <c r="M1009">
        <v>0</v>
      </c>
      <c r="N1009">
        <v>0</v>
      </c>
      <c r="O1009">
        <v>3.9095734200000001</v>
      </c>
      <c r="P1009">
        <v>0</v>
      </c>
    </row>
    <row r="1010" spans="1:16" x14ac:dyDescent="0.25">
      <c r="A1010" t="s">
        <v>4</v>
      </c>
      <c r="B1010">
        <v>302.08941399999998</v>
      </c>
      <c r="C1010">
        <v>0</v>
      </c>
      <c r="D1010">
        <v>302.08941399999998</v>
      </c>
      <c r="E1010">
        <v>70.909750599999995</v>
      </c>
      <c r="F1010">
        <v>46.159822900000002</v>
      </c>
      <c r="G1010">
        <v>121.690184</v>
      </c>
      <c r="H1010">
        <v>26.348685400000001</v>
      </c>
      <c r="I1010">
        <v>24.932872199999998</v>
      </c>
      <c r="J1010">
        <v>0</v>
      </c>
      <c r="K1010">
        <v>0</v>
      </c>
      <c r="L1010">
        <v>0</v>
      </c>
      <c r="M1010">
        <v>16.869906499999999</v>
      </c>
      <c r="N1010">
        <v>0</v>
      </c>
      <c r="O1010">
        <v>-4.8218072100000002</v>
      </c>
      <c r="P1010">
        <v>0</v>
      </c>
    </row>
    <row r="1011" spans="1:16" x14ac:dyDescent="0.25">
      <c r="A1011" t="s">
        <v>5</v>
      </c>
      <c r="B1011">
        <v>17.8627383</v>
      </c>
      <c r="C1011">
        <v>22.690505399999999</v>
      </c>
      <c r="D1011">
        <v>-4.8277671</v>
      </c>
      <c r="E1011">
        <v>7.7140284399999999</v>
      </c>
      <c r="F1011">
        <v>2.0541268499999998</v>
      </c>
      <c r="G1011">
        <v>2.9958730099999999</v>
      </c>
      <c r="H1011">
        <v>0.176524237</v>
      </c>
      <c r="I1011">
        <v>4.9221857499999997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</row>
    <row r="1012" spans="1:16" x14ac:dyDescent="0.25">
      <c r="A1012" t="s">
        <v>6</v>
      </c>
      <c r="B1012">
        <v>44.451610700000003</v>
      </c>
      <c r="C1012">
        <v>56.465559599999999</v>
      </c>
      <c r="D1012">
        <v>-12.0139488</v>
      </c>
      <c r="E1012">
        <v>2.44345904</v>
      </c>
      <c r="F1012">
        <v>0.60314913599999997</v>
      </c>
      <c r="G1012">
        <v>6.0678832399999996</v>
      </c>
      <c r="H1012">
        <v>0.73129144000000001</v>
      </c>
      <c r="I1012">
        <v>34.605827900000001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</row>
    <row r="1013" spans="1:16" x14ac:dyDescent="0.25">
      <c r="A1013" t="s">
        <v>7</v>
      </c>
      <c r="B1013">
        <v>44.049740800000002</v>
      </c>
      <c r="C1013">
        <v>16.869906499999999</v>
      </c>
      <c r="D1013">
        <v>27.1798343</v>
      </c>
      <c r="E1013">
        <v>2.50154875</v>
      </c>
      <c r="F1013">
        <v>35.428947299999997</v>
      </c>
      <c r="G1013">
        <v>5.6340495199999996</v>
      </c>
      <c r="H1013">
        <v>0.48519528200000001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</row>
    <row r="1014" spans="1:16" x14ac:dyDescent="0.25">
      <c r="A1014" t="s">
        <v>8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</row>
    <row r="1015" spans="1:16" x14ac:dyDescent="0.25">
      <c r="A1015" t="s">
        <v>9</v>
      </c>
      <c r="B1015">
        <v>14.465421600000001</v>
      </c>
      <c r="C1015">
        <v>18.3749951</v>
      </c>
      <c r="D1015">
        <v>-3.9095734200000001</v>
      </c>
      <c r="E1015">
        <v>1.9409600600000001</v>
      </c>
      <c r="F1015">
        <v>0.50041667199999995</v>
      </c>
      <c r="G1015">
        <v>11.4051127</v>
      </c>
      <c r="H1015">
        <v>0.57781646799999997</v>
      </c>
      <c r="I1015">
        <v>4.1115736100000001E-2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</row>
    <row r="1016" spans="1:16" x14ac:dyDescent="0.25">
      <c r="A1016" t="s">
        <v>10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</row>
    <row r="1017" spans="1:16" x14ac:dyDescent="0.25">
      <c r="A1017" t="s">
        <v>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</row>
    <row r="1018" spans="1:16" x14ac:dyDescent="0.25">
      <c r="A1018" t="s">
        <v>12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</row>
    <row r="1019" spans="1:16" x14ac:dyDescent="0.25">
      <c r="A1019" t="s">
        <v>13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</row>
    <row r="1020" spans="1:16" x14ac:dyDescent="0.25">
      <c r="A1020" t="s">
        <v>14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</row>
    <row r="1021" spans="1:16" x14ac:dyDescent="0.25">
      <c r="A1021" t="s">
        <v>345</v>
      </c>
    </row>
    <row r="1022" spans="1:16" x14ac:dyDescent="0.25">
      <c r="A1022" t="s">
        <v>360</v>
      </c>
      <c r="B1022" t="s">
        <v>18</v>
      </c>
      <c r="C1022" t="s">
        <v>19</v>
      </c>
      <c r="D1022" t="s">
        <v>20</v>
      </c>
      <c r="E1022" t="s">
        <v>21</v>
      </c>
      <c r="F1022" t="s">
        <v>22</v>
      </c>
      <c r="G1022" t="s">
        <v>23</v>
      </c>
      <c r="H1022" t="s">
        <v>361</v>
      </c>
      <c r="I1022" t="s">
        <v>25</v>
      </c>
      <c r="J1022" t="s">
        <v>362</v>
      </c>
      <c r="K1022" t="s">
        <v>5</v>
      </c>
      <c r="L1022" t="s">
        <v>6</v>
      </c>
      <c r="M1022" t="s">
        <v>7</v>
      </c>
      <c r="N1022" t="s">
        <v>8</v>
      </c>
      <c r="O1022" t="s">
        <v>9</v>
      </c>
      <c r="P1022" t="s">
        <v>363</v>
      </c>
    </row>
    <row r="1023" spans="1:16" x14ac:dyDescent="0.25">
      <c r="A1023" t="s">
        <v>364</v>
      </c>
      <c r="B1023" t="s">
        <v>365</v>
      </c>
      <c r="C1023" t="s">
        <v>365</v>
      </c>
      <c r="D1023" t="s">
        <v>365</v>
      </c>
      <c r="E1023" t="s">
        <v>365</v>
      </c>
      <c r="F1023" t="s">
        <v>365</v>
      </c>
      <c r="G1023" t="s">
        <v>365</v>
      </c>
      <c r="H1023" t="s">
        <v>365</v>
      </c>
      <c r="I1023" t="s">
        <v>365</v>
      </c>
      <c r="J1023" t="s">
        <v>365</v>
      </c>
      <c r="K1023" t="s">
        <v>365</v>
      </c>
      <c r="L1023" t="s">
        <v>365</v>
      </c>
      <c r="M1023" t="s">
        <v>365</v>
      </c>
      <c r="N1023" t="s">
        <v>365</v>
      </c>
      <c r="O1023" t="s">
        <v>365</v>
      </c>
      <c r="P1023" t="s">
        <v>365</v>
      </c>
    </row>
    <row r="1024" spans="1:16" x14ac:dyDescent="0.25">
      <c r="A1024" t="s">
        <v>1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</row>
    <row r="1025" spans="1:16" x14ac:dyDescent="0.25">
      <c r="A1025" t="s">
        <v>2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</row>
    <row r="1026" spans="1:16" x14ac:dyDescent="0.25">
      <c r="A1026" t="s">
        <v>3</v>
      </c>
      <c r="B1026">
        <v>26336.189399999999</v>
      </c>
      <c r="C1026">
        <v>0</v>
      </c>
      <c r="D1026">
        <v>26336.189399999999</v>
      </c>
      <c r="E1026">
        <v>15931.857599999999</v>
      </c>
      <c r="F1026">
        <v>0</v>
      </c>
      <c r="G1026">
        <v>6215.9005399999996</v>
      </c>
      <c r="H1026">
        <v>0</v>
      </c>
      <c r="I1026">
        <v>3926.2105200000001</v>
      </c>
      <c r="J1026">
        <v>0</v>
      </c>
      <c r="K1026">
        <v>262.22080999999997</v>
      </c>
      <c r="L1026">
        <v>0</v>
      </c>
      <c r="M1026">
        <v>0</v>
      </c>
      <c r="N1026">
        <v>0</v>
      </c>
      <c r="O1026">
        <v>0</v>
      </c>
      <c r="P1026">
        <v>0</v>
      </c>
    </row>
    <row r="1027" spans="1:16" x14ac:dyDescent="0.25">
      <c r="A1027" t="s">
        <v>4</v>
      </c>
      <c r="B1027">
        <v>29035.4663</v>
      </c>
      <c r="C1027">
        <v>0</v>
      </c>
      <c r="D1027">
        <v>29035.4663</v>
      </c>
      <c r="E1027">
        <v>10263.648999999999</v>
      </c>
      <c r="F1027">
        <v>0</v>
      </c>
      <c r="G1027">
        <v>15625.6351</v>
      </c>
      <c r="H1027">
        <v>0</v>
      </c>
      <c r="I1027">
        <v>3146.1821799999998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</row>
    <row r="1028" spans="1:16" x14ac:dyDescent="0.25">
      <c r="A1028" t="s">
        <v>5</v>
      </c>
      <c r="B1028">
        <v>262.22080999999997</v>
      </c>
      <c r="C1028">
        <v>262.22080999999997</v>
      </c>
      <c r="D1028">
        <v>0</v>
      </c>
      <c r="E1028">
        <v>128.847286</v>
      </c>
      <c r="F1028">
        <v>0</v>
      </c>
      <c r="G1028">
        <v>58.802023900000002</v>
      </c>
      <c r="H1028">
        <v>0</v>
      </c>
      <c r="I1028">
        <v>74.571500599999993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</row>
    <row r="1029" spans="1:16" x14ac:dyDescent="0.25">
      <c r="A1029" t="s">
        <v>6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</row>
    <row r="1030" spans="1:16" x14ac:dyDescent="0.25">
      <c r="A1030" t="s">
        <v>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</row>
    <row r="1031" spans="1:16" x14ac:dyDescent="0.25">
      <c r="A1031" t="s">
        <v>8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</row>
    <row r="1032" spans="1:16" x14ac:dyDescent="0.25">
      <c r="A1032" t="s">
        <v>9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</row>
    <row r="1033" spans="1:16" x14ac:dyDescent="0.25">
      <c r="A1033" t="s">
        <v>10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</row>
    <row r="1034" spans="1:16" x14ac:dyDescent="0.25">
      <c r="A1034" t="s">
        <v>11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</row>
    <row r="1035" spans="1:16" x14ac:dyDescent="0.25">
      <c r="A1035" t="s">
        <v>12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</row>
    <row r="1036" spans="1:16" x14ac:dyDescent="0.25">
      <c r="A1036" t="s">
        <v>13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</row>
    <row r="1037" spans="1:16" x14ac:dyDescent="0.25">
      <c r="A1037" t="s">
        <v>14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</row>
    <row r="1038" spans="1:16" x14ac:dyDescent="0.25">
      <c r="A1038" t="s">
        <v>346</v>
      </c>
    </row>
    <row r="1039" spans="1:16" x14ac:dyDescent="0.25">
      <c r="A1039" t="s">
        <v>360</v>
      </c>
      <c r="B1039" t="s">
        <v>366</v>
      </c>
      <c r="C1039" t="s">
        <v>367</v>
      </c>
      <c r="D1039" t="s">
        <v>368</v>
      </c>
      <c r="E1039" t="s">
        <v>21</v>
      </c>
      <c r="F1039" t="s">
        <v>22</v>
      </c>
      <c r="G1039" t="s">
        <v>23</v>
      </c>
      <c r="H1039" t="s">
        <v>361</v>
      </c>
      <c r="I1039" t="s">
        <v>25</v>
      </c>
      <c r="J1039" t="s">
        <v>362</v>
      </c>
      <c r="K1039" t="s">
        <v>5</v>
      </c>
      <c r="L1039" t="s">
        <v>6</v>
      </c>
      <c r="M1039" t="s">
        <v>7</v>
      </c>
      <c r="N1039" t="s">
        <v>8</v>
      </c>
      <c r="O1039" t="s">
        <v>9</v>
      </c>
      <c r="P1039" t="s">
        <v>363</v>
      </c>
    </row>
    <row r="1040" spans="1:16" x14ac:dyDescent="0.25">
      <c r="A1040" t="s">
        <v>364</v>
      </c>
      <c r="B1040" t="s">
        <v>369</v>
      </c>
      <c r="C1040" t="s">
        <v>369</v>
      </c>
      <c r="D1040" t="s">
        <v>369</v>
      </c>
      <c r="E1040" t="s">
        <v>369</v>
      </c>
      <c r="F1040" t="s">
        <v>369</v>
      </c>
      <c r="G1040" t="s">
        <v>369</v>
      </c>
      <c r="H1040" t="s">
        <v>369</v>
      </c>
      <c r="I1040" t="s">
        <v>369</v>
      </c>
      <c r="J1040" t="s">
        <v>369</v>
      </c>
      <c r="K1040" t="s">
        <v>369</v>
      </c>
      <c r="L1040" t="s">
        <v>369</v>
      </c>
      <c r="M1040" t="s">
        <v>369</v>
      </c>
      <c r="N1040" t="s">
        <v>369</v>
      </c>
      <c r="O1040" t="s">
        <v>369</v>
      </c>
      <c r="P1040" t="s">
        <v>369</v>
      </c>
    </row>
    <row r="1041" spans="1:16" x14ac:dyDescent="0.25">
      <c r="A1041" t="s">
        <v>1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</row>
    <row r="1042" spans="1:16" x14ac:dyDescent="0.25">
      <c r="A1042" t="s">
        <v>2</v>
      </c>
      <c r="B1042">
        <v>109.19140400000001</v>
      </c>
      <c r="C1042">
        <v>0</v>
      </c>
      <c r="D1042">
        <v>109.19140400000001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109.19140400000001</v>
      </c>
      <c r="L1042">
        <v>0</v>
      </c>
      <c r="M1042">
        <v>0</v>
      </c>
      <c r="N1042">
        <v>0</v>
      </c>
      <c r="O1042">
        <v>0</v>
      </c>
      <c r="P1042">
        <v>0</v>
      </c>
    </row>
    <row r="1043" spans="1:16" x14ac:dyDescent="0.25">
      <c r="A1043" t="s">
        <v>3</v>
      </c>
      <c r="B1043">
        <v>8016.9908699999996</v>
      </c>
      <c r="C1043">
        <v>0</v>
      </c>
      <c r="D1043">
        <v>8016.9908699999996</v>
      </c>
      <c r="E1043">
        <v>5115.9187099999999</v>
      </c>
      <c r="F1043">
        <v>0</v>
      </c>
      <c r="G1043">
        <v>1971.1320800000001</v>
      </c>
      <c r="H1043">
        <v>0</v>
      </c>
      <c r="I1043">
        <v>868.46659399999999</v>
      </c>
      <c r="J1043">
        <v>0</v>
      </c>
      <c r="K1043">
        <v>61.473485400000001</v>
      </c>
      <c r="L1043">
        <v>0</v>
      </c>
      <c r="M1043">
        <v>0</v>
      </c>
      <c r="N1043">
        <v>0</v>
      </c>
      <c r="O1043">
        <v>0</v>
      </c>
      <c r="P1043" s="74">
        <v>-1.05719082E-11</v>
      </c>
    </row>
    <row r="1044" spans="1:16" x14ac:dyDescent="0.25">
      <c r="A1044" t="s">
        <v>4</v>
      </c>
      <c r="B1044">
        <v>6820.9857899999997</v>
      </c>
      <c r="C1044">
        <v>0</v>
      </c>
      <c r="D1044">
        <v>6820.9857899999997</v>
      </c>
      <c r="E1044">
        <v>3379.0539399999998</v>
      </c>
      <c r="F1044">
        <v>0</v>
      </c>
      <c r="G1044">
        <v>3109.4935500000001</v>
      </c>
      <c r="H1044">
        <v>0</v>
      </c>
      <c r="I1044">
        <v>332.43829599999998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 s="74">
        <v>-1.8190963600000001E-11</v>
      </c>
    </row>
    <row r="1045" spans="1:16" x14ac:dyDescent="0.25">
      <c r="A1045" t="s">
        <v>5</v>
      </c>
      <c r="B1045">
        <v>445.03889600000002</v>
      </c>
      <c r="C1045">
        <v>454.90302300000002</v>
      </c>
      <c r="D1045">
        <v>-9.8641263099999996</v>
      </c>
      <c r="E1045">
        <v>249.186578</v>
      </c>
      <c r="F1045">
        <v>0</v>
      </c>
      <c r="G1045">
        <v>131.969516</v>
      </c>
      <c r="H1045">
        <v>0</v>
      </c>
      <c r="I1045">
        <v>63.882801999999998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</row>
    <row r="1046" spans="1:16" x14ac:dyDescent="0.25">
      <c r="A1046" t="s">
        <v>6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</row>
    <row r="1047" spans="1:16" x14ac:dyDescent="0.25">
      <c r="A1047" t="s">
        <v>7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</row>
    <row r="1048" spans="1:16" x14ac:dyDescent="0.25">
      <c r="A1048" t="s">
        <v>8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</row>
    <row r="1049" spans="1:16" x14ac:dyDescent="0.25">
      <c r="A1049" t="s">
        <v>9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</row>
    <row r="1050" spans="1:16" x14ac:dyDescent="0.25">
      <c r="A1050" t="s">
        <v>10</v>
      </c>
      <c r="B1050">
        <v>228.424845</v>
      </c>
      <c r="C1050">
        <v>0</v>
      </c>
      <c r="D1050">
        <v>228.424845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228.424845</v>
      </c>
      <c r="L1050">
        <v>0</v>
      </c>
      <c r="M1050">
        <v>0</v>
      </c>
      <c r="N1050">
        <v>0</v>
      </c>
      <c r="O1050">
        <v>0</v>
      </c>
      <c r="P1050">
        <v>0</v>
      </c>
    </row>
    <row r="1051" spans="1:16" x14ac:dyDescent="0.25">
      <c r="A1051" t="s">
        <v>11</v>
      </c>
      <c r="B1051">
        <v>107.469193</v>
      </c>
      <c r="C1051">
        <v>0</v>
      </c>
      <c r="D1051">
        <v>107.469193</v>
      </c>
      <c r="E1051">
        <v>37.988922600000002</v>
      </c>
      <c r="F1051">
        <v>0</v>
      </c>
      <c r="G1051">
        <v>57.835282599999999</v>
      </c>
      <c r="H1051">
        <v>0</v>
      </c>
      <c r="I1051">
        <v>11.644988100000001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</row>
    <row r="1052" spans="1:16" x14ac:dyDescent="0.25">
      <c r="A1052" t="s">
        <v>12</v>
      </c>
      <c r="B1052">
        <v>5484.8640699999996</v>
      </c>
      <c r="C1052" s="74">
        <v>-2.87628718E-11</v>
      </c>
      <c r="D1052">
        <v>5484.8640699999996</v>
      </c>
      <c r="E1052">
        <v>3139.8345300000001</v>
      </c>
      <c r="F1052">
        <v>0</v>
      </c>
      <c r="G1052">
        <v>1492.51161</v>
      </c>
      <c r="H1052">
        <v>0</v>
      </c>
      <c r="I1052">
        <v>829.42220099999997</v>
      </c>
      <c r="J1052">
        <v>0</v>
      </c>
      <c r="K1052">
        <v>23.095728000000001</v>
      </c>
      <c r="L1052">
        <v>0</v>
      </c>
      <c r="M1052">
        <v>0</v>
      </c>
      <c r="N1052">
        <v>0</v>
      </c>
      <c r="O1052">
        <v>0</v>
      </c>
      <c r="P1052">
        <v>0</v>
      </c>
    </row>
    <row r="1053" spans="1:16" x14ac:dyDescent="0.25">
      <c r="A1053" t="s">
        <v>13</v>
      </c>
      <c r="B1053">
        <v>2297.8942699999998</v>
      </c>
      <c r="C1053">
        <v>0</v>
      </c>
      <c r="D1053">
        <v>2297.8942699999998</v>
      </c>
      <c r="E1053">
        <v>2265.1767100000002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32.717560599999999</v>
      </c>
      <c r="L1053">
        <v>0</v>
      </c>
      <c r="M1053">
        <v>0</v>
      </c>
      <c r="N1053">
        <v>0</v>
      </c>
      <c r="O1053">
        <v>0</v>
      </c>
      <c r="P1053">
        <v>0</v>
      </c>
    </row>
    <row r="1054" spans="1:16" x14ac:dyDescent="0.25">
      <c r="A1054" t="s">
        <v>14</v>
      </c>
      <c r="B1054" s="74">
        <v>-6.4067840600000005E-11</v>
      </c>
      <c r="C1054">
        <v>0</v>
      </c>
      <c r="D1054" s="74">
        <v>-6.4067840600000005E-11</v>
      </c>
      <c r="E1054" s="74">
        <v>-2.4967193600000001E-11</v>
      </c>
      <c r="F1054">
        <v>0</v>
      </c>
      <c r="G1054" s="74">
        <v>-3.8146972699999999E-11</v>
      </c>
      <c r="H1054">
        <v>0</v>
      </c>
      <c r="I1054" s="74">
        <v>-9.5367431600000007E-13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</row>
    <row r="1055" spans="1:16" x14ac:dyDescent="0.25">
      <c r="A1055" t="s">
        <v>347</v>
      </c>
    </row>
    <row r="1056" spans="1:16" x14ac:dyDescent="0.25">
      <c r="A1056" t="s">
        <v>360</v>
      </c>
      <c r="B1056" t="s">
        <v>18</v>
      </c>
      <c r="C1056" t="s">
        <v>19</v>
      </c>
      <c r="D1056" t="s">
        <v>20</v>
      </c>
      <c r="E1056" t="s">
        <v>21</v>
      </c>
      <c r="F1056" t="s">
        <v>22</v>
      </c>
      <c r="G1056" t="s">
        <v>23</v>
      </c>
      <c r="H1056" t="s">
        <v>361</v>
      </c>
      <c r="I1056" t="s">
        <v>25</v>
      </c>
      <c r="J1056" t="s">
        <v>362</v>
      </c>
      <c r="K1056" t="s">
        <v>5</v>
      </c>
      <c r="L1056" t="s">
        <v>6</v>
      </c>
      <c r="M1056" t="s">
        <v>7</v>
      </c>
      <c r="N1056" t="s">
        <v>8</v>
      </c>
      <c r="O1056" t="s">
        <v>9</v>
      </c>
      <c r="P1056" t="s">
        <v>363</v>
      </c>
    </row>
    <row r="1057" spans="1:16" x14ac:dyDescent="0.25">
      <c r="A1057" t="s">
        <v>364</v>
      </c>
      <c r="B1057" t="s">
        <v>370</v>
      </c>
      <c r="C1057" t="s">
        <v>370</v>
      </c>
      <c r="D1057" t="s">
        <v>370</v>
      </c>
      <c r="E1057" t="s">
        <v>370</v>
      </c>
      <c r="F1057" t="s">
        <v>370</v>
      </c>
      <c r="G1057" t="s">
        <v>370</v>
      </c>
      <c r="H1057" t="s">
        <v>370</v>
      </c>
      <c r="I1057" t="s">
        <v>370</v>
      </c>
      <c r="J1057" t="s">
        <v>370</v>
      </c>
      <c r="K1057" t="s">
        <v>370</v>
      </c>
      <c r="L1057" t="s">
        <v>370</v>
      </c>
      <c r="M1057" t="s">
        <v>370</v>
      </c>
      <c r="N1057" t="s">
        <v>370</v>
      </c>
      <c r="O1057" t="s">
        <v>370</v>
      </c>
      <c r="P1057" t="s">
        <v>370</v>
      </c>
    </row>
    <row r="1058" spans="1:16" x14ac:dyDescent="0.25">
      <c r="A1058" t="s">
        <v>1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</row>
    <row r="1059" spans="1:16" x14ac:dyDescent="0.25">
      <c r="A1059" t="s">
        <v>2</v>
      </c>
      <c r="B1059">
        <v>19.1681448</v>
      </c>
      <c r="C1059">
        <v>0</v>
      </c>
      <c r="D1059">
        <v>19.1681448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19.1681448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25">
      <c r="A1060" t="s">
        <v>3</v>
      </c>
      <c r="B1060">
        <v>520.31235700000002</v>
      </c>
      <c r="C1060">
        <v>0</v>
      </c>
      <c r="D1060">
        <v>520.31235700000002</v>
      </c>
      <c r="E1060">
        <v>314.75860899999998</v>
      </c>
      <c r="F1060">
        <v>0</v>
      </c>
      <c r="G1060">
        <v>122.804777</v>
      </c>
      <c r="H1060">
        <v>0</v>
      </c>
      <c r="I1060">
        <v>77.568391300000002</v>
      </c>
      <c r="J1060">
        <v>0</v>
      </c>
      <c r="K1060">
        <v>5.1805796800000001</v>
      </c>
      <c r="L1060">
        <v>0</v>
      </c>
      <c r="M1060">
        <v>0</v>
      </c>
      <c r="N1060">
        <v>0</v>
      </c>
      <c r="O1060">
        <v>0</v>
      </c>
      <c r="P1060">
        <v>0</v>
      </c>
    </row>
    <row r="1061" spans="1:16" x14ac:dyDescent="0.25">
      <c r="A1061" t="s">
        <v>4</v>
      </c>
      <c r="B1061">
        <v>230.100334</v>
      </c>
      <c r="C1061">
        <v>0</v>
      </c>
      <c r="D1061">
        <v>230.100334</v>
      </c>
      <c r="E1061">
        <v>81.337390900000003</v>
      </c>
      <c r="F1061">
        <v>0</v>
      </c>
      <c r="G1061">
        <v>123.830071</v>
      </c>
      <c r="H1061">
        <v>0</v>
      </c>
      <c r="I1061">
        <v>24.932872199999998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</row>
    <row r="1062" spans="1:16" x14ac:dyDescent="0.25">
      <c r="A1062" t="s">
        <v>5</v>
      </c>
      <c r="B1062">
        <v>19.1681448</v>
      </c>
      <c r="C1062">
        <v>24.348724499999999</v>
      </c>
      <c r="D1062">
        <v>-5.1805796800000001</v>
      </c>
      <c r="E1062">
        <v>9.4186400599999995</v>
      </c>
      <c r="F1062">
        <v>0</v>
      </c>
      <c r="G1062">
        <v>4.2983839000000001</v>
      </c>
      <c r="H1062">
        <v>0</v>
      </c>
      <c r="I1062">
        <v>5.4511208399999997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</row>
    <row r="1063" spans="1:16" x14ac:dyDescent="0.25">
      <c r="A1063" t="s">
        <v>6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</row>
    <row r="1064" spans="1:16" x14ac:dyDescent="0.25">
      <c r="A1064" t="s">
        <v>7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</row>
    <row r="1065" spans="1:16" x14ac:dyDescent="0.25">
      <c r="A1065" t="s">
        <v>8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</row>
    <row r="1066" spans="1:16" x14ac:dyDescent="0.25">
      <c r="A1066" t="s">
        <v>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</row>
    <row r="1067" spans="1:16" x14ac:dyDescent="0.25">
      <c r="A1067" t="s">
        <v>10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</row>
    <row r="1068" spans="1:16" x14ac:dyDescent="0.25">
      <c r="A1068" t="s">
        <v>11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</row>
    <row r="1069" spans="1:16" x14ac:dyDescent="0.25">
      <c r="A1069" t="s">
        <v>12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</row>
    <row r="1070" spans="1:16" x14ac:dyDescent="0.25">
      <c r="A1070" t="s">
        <v>13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</row>
    <row r="1071" spans="1:16" x14ac:dyDescent="0.25">
      <c r="A1071" t="s">
        <v>14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</row>
    <row r="1072" spans="1:16" x14ac:dyDescent="0.25">
      <c r="A1072" t="s">
        <v>348</v>
      </c>
    </row>
    <row r="1073" spans="1:16" x14ac:dyDescent="0.25">
      <c r="A1073" t="s">
        <v>360</v>
      </c>
      <c r="B1073" t="s">
        <v>18</v>
      </c>
      <c r="C1073" t="s">
        <v>19</v>
      </c>
      <c r="D1073" t="s">
        <v>20</v>
      </c>
      <c r="E1073" t="s">
        <v>21</v>
      </c>
      <c r="F1073" t="s">
        <v>22</v>
      </c>
      <c r="G1073" t="s">
        <v>23</v>
      </c>
      <c r="H1073" t="s">
        <v>361</v>
      </c>
      <c r="I1073" t="s">
        <v>25</v>
      </c>
      <c r="J1073" t="s">
        <v>362</v>
      </c>
      <c r="K1073" t="s">
        <v>5</v>
      </c>
      <c r="L1073" t="s">
        <v>6</v>
      </c>
      <c r="M1073" t="s">
        <v>7</v>
      </c>
      <c r="N1073" t="s">
        <v>8</v>
      </c>
      <c r="O1073" t="s">
        <v>9</v>
      </c>
      <c r="P1073" t="s">
        <v>363</v>
      </c>
    </row>
    <row r="1074" spans="1:16" x14ac:dyDescent="0.25">
      <c r="A1074" t="s">
        <v>364</v>
      </c>
      <c r="B1074" t="s">
        <v>365</v>
      </c>
      <c r="C1074" t="s">
        <v>365</v>
      </c>
      <c r="D1074" t="s">
        <v>365</v>
      </c>
      <c r="E1074" t="s">
        <v>365</v>
      </c>
      <c r="F1074" t="s">
        <v>365</v>
      </c>
      <c r="G1074" t="s">
        <v>365</v>
      </c>
      <c r="H1074" t="s">
        <v>365</v>
      </c>
      <c r="I1074" t="s">
        <v>365</v>
      </c>
      <c r="J1074" t="s">
        <v>365</v>
      </c>
      <c r="K1074" t="s">
        <v>365</v>
      </c>
      <c r="L1074" t="s">
        <v>365</v>
      </c>
      <c r="M1074" t="s">
        <v>365</v>
      </c>
      <c r="N1074" t="s">
        <v>365</v>
      </c>
      <c r="O1074" t="s">
        <v>365</v>
      </c>
      <c r="P1074" t="s">
        <v>365</v>
      </c>
    </row>
    <row r="1075" spans="1:16" x14ac:dyDescent="0.25">
      <c r="A1075" t="s">
        <v>1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</row>
    <row r="1076" spans="1:16" x14ac:dyDescent="0.25">
      <c r="A1076" t="s">
        <v>2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</row>
    <row r="1077" spans="1:16" x14ac:dyDescent="0.25">
      <c r="A1077" t="s">
        <v>3</v>
      </c>
      <c r="B1077">
        <v>21772.5929</v>
      </c>
      <c r="C1077">
        <v>0</v>
      </c>
      <c r="D1077">
        <v>21772.5929</v>
      </c>
      <c r="E1077">
        <v>13057.142</v>
      </c>
      <c r="F1077">
        <v>350.72140999999999</v>
      </c>
      <c r="G1077">
        <v>3782.6258600000001</v>
      </c>
      <c r="H1077">
        <v>60.702489200000002</v>
      </c>
      <c r="I1077">
        <v>3875.6289900000002</v>
      </c>
      <c r="J1077">
        <v>0</v>
      </c>
      <c r="K1077">
        <v>269.09031800000002</v>
      </c>
      <c r="L1077">
        <v>102.061109</v>
      </c>
      <c r="M1077">
        <v>0</v>
      </c>
      <c r="N1077">
        <v>0</v>
      </c>
      <c r="O1077">
        <v>274.62070599999998</v>
      </c>
      <c r="P1077">
        <v>0</v>
      </c>
    </row>
    <row r="1078" spans="1:16" x14ac:dyDescent="0.25">
      <c r="A1078" t="s">
        <v>4</v>
      </c>
      <c r="B1078">
        <v>13959.424199999999</v>
      </c>
      <c r="C1078">
        <v>0</v>
      </c>
      <c r="D1078">
        <v>13959.424199999999</v>
      </c>
      <c r="E1078">
        <v>4506.7850399999998</v>
      </c>
      <c r="F1078">
        <v>728.48308099999997</v>
      </c>
      <c r="G1078">
        <v>6998.1175300000004</v>
      </c>
      <c r="H1078">
        <v>223.60258999999999</v>
      </c>
      <c r="I1078">
        <v>1427.7532200000001</v>
      </c>
      <c r="J1078">
        <v>0</v>
      </c>
      <c r="K1078">
        <v>0</v>
      </c>
      <c r="L1078">
        <v>0</v>
      </c>
      <c r="M1078">
        <v>457.86537199999998</v>
      </c>
      <c r="N1078">
        <v>0</v>
      </c>
      <c r="O1078">
        <v>-383.18260800000002</v>
      </c>
      <c r="P1078">
        <v>0</v>
      </c>
    </row>
    <row r="1079" spans="1:16" x14ac:dyDescent="0.25">
      <c r="A1079" t="s">
        <v>5</v>
      </c>
      <c r="B1079">
        <v>269.09031800000002</v>
      </c>
      <c r="C1079">
        <v>269.09031800000002</v>
      </c>
      <c r="D1079">
        <v>0</v>
      </c>
      <c r="E1079">
        <v>120.05650900000001</v>
      </c>
      <c r="F1079">
        <v>18.4021589</v>
      </c>
      <c r="G1079">
        <v>56.143424400000001</v>
      </c>
      <c r="H1079">
        <v>0.82100336799999996</v>
      </c>
      <c r="I1079">
        <v>73.667222300000006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</row>
    <row r="1080" spans="1:16" x14ac:dyDescent="0.25">
      <c r="A1080" t="s">
        <v>6</v>
      </c>
      <c r="B1080">
        <v>102.061109</v>
      </c>
      <c r="C1080">
        <v>102.061109</v>
      </c>
      <c r="D1080" s="74">
        <v>-1.4210854699999999E-14</v>
      </c>
      <c r="E1080">
        <v>17.116238200000002</v>
      </c>
      <c r="F1080">
        <v>0.39387945299999999</v>
      </c>
      <c r="G1080">
        <v>84.045196899999993</v>
      </c>
      <c r="H1080">
        <v>0.135452979</v>
      </c>
      <c r="I1080">
        <v>0.37034159100000003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</row>
    <row r="1081" spans="1:16" x14ac:dyDescent="0.25">
      <c r="A1081" t="s">
        <v>7</v>
      </c>
      <c r="B1081">
        <v>457.86537199999998</v>
      </c>
      <c r="C1081">
        <v>457.86537199999998</v>
      </c>
      <c r="D1081" s="74">
        <v>-5.68434189E-14</v>
      </c>
      <c r="E1081">
        <v>0</v>
      </c>
      <c r="F1081">
        <v>352.91989000000001</v>
      </c>
      <c r="G1081">
        <v>104.945482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</row>
    <row r="1082" spans="1:16" x14ac:dyDescent="0.25">
      <c r="A1082" t="s">
        <v>8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</row>
    <row r="1083" spans="1:16" x14ac:dyDescent="0.25">
      <c r="A1083" t="s">
        <v>9</v>
      </c>
      <c r="B1083">
        <v>-108.561903</v>
      </c>
      <c r="C1083">
        <v>-108.561903</v>
      </c>
      <c r="D1083" s="74">
        <v>2.8421709399999999E-14</v>
      </c>
      <c r="E1083">
        <v>-16.6606448</v>
      </c>
      <c r="F1083">
        <v>-0.45009022900000001</v>
      </c>
      <c r="G1083">
        <v>-90.841509299999998</v>
      </c>
      <c r="H1083">
        <v>-0.35449879000000001</v>
      </c>
      <c r="I1083">
        <v>-0.25515949399999999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</row>
    <row r="1084" spans="1:16" x14ac:dyDescent="0.25">
      <c r="A1084" t="s">
        <v>10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</row>
    <row r="1085" spans="1:16" x14ac:dyDescent="0.25">
      <c r="A1085" t="s">
        <v>11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</row>
    <row r="1086" spans="1:16" x14ac:dyDescent="0.25">
      <c r="A1086" t="s">
        <v>12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</row>
    <row r="1087" spans="1:16" x14ac:dyDescent="0.25">
      <c r="A1087" t="s">
        <v>13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</row>
    <row r="1088" spans="1:16" x14ac:dyDescent="0.25">
      <c r="A1088" t="s">
        <v>14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</row>
    <row r="1089" spans="1:16" x14ac:dyDescent="0.25">
      <c r="A1089" t="s">
        <v>349</v>
      </c>
    </row>
    <row r="1090" spans="1:16" x14ac:dyDescent="0.25">
      <c r="A1090" t="s">
        <v>360</v>
      </c>
      <c r="B1090" t="s">
        <v>366</v>
      </c>
      <c r="C1090" t="s">
        <v>367</v>
      </c>
      <c r="D1090" t="s">
        <v>368</v>
      </c>
      <c r="E1090" t="s">
        <v>21</v>
      </c>
      <c r="F1090" t="s">
        <v>22</v>
      </c>
      <c r="G1090" t="s">
        <v>23</v>
      </c>
      <c r="H1090" t="s">
        <v>361</v>
      </c>
      <c r="I1090" t="s">
        <v>25</v>
      </c>
      <c r="J1090" t="s">
        <v>362</v>
      </c>
      <c r="K1090" t="s">
        <v>5</v>
      </c>
      <c r="L1090" t="s">
        <v>6</v>
      </c>
      <c r="M1090" t="s">
        <v>7</v>
      </c>
      <c r="N1090" t="s">
        <v>8</v>
      </c>
      <c r="O1090" t="s">
        <v>9</v>
      </c>
      <c r="P1090" t="s">
        <v>363</v>
      </c>
    </row>
    <row r="1091" spans="1:16" x14ac:dyDescent="0.25">
      <c r="A1091" t="s">
        <v>364</v>
      </c>
      <c r="B1091" t="s">
        <v>369</v>
      </c>
      <c r="C1091" t="s">
        <v>369</v>
      </c>
      <c r="D1091" t="s">
        <v>369</v>
      </c>
      <c r="E1091" t="s">
        <v>369</v>
      </c>
      <c r="F1091" t="s">
        <v>369</v>
      </c>
      <c r="G1091" t="s">
        <v>369</v>
      </c>
      <c r="H1091" t="s">
        <v>369</v>
      </c>
      <c r="I1091" t="s">
        <v>369</v>
      </c>
      <c r="J1091" t="s">
        <v>369</v>
      </c>
      <c r="K1091" t="s">
        <v>369</v>
      </c>
      <c r="L1091" t="s">
        <v>369</v>
      </c>
      <c r="M1091" t="s">
        <v>369</v>
      </c>
      <c r="N1091" t="s">
        <v>369</v>
      </c>
      <c r="O1091" t="s">
        <v>369</v>
      </c>
      <c r="P1091" t="s">
        <v>369</v>
      </c>
    </row>
    <row r="1092" spans="1:16" x14ac:dyDescent="0.25">
      <c r="A1092" t="s">
        <v>1</v>
      </c>
      <c r="B1092">
        <v>1227.9572900000001</v>
      </c>
      <c r="C1092">
        <v>0</v>
      </c>
      <c r="D1092">
        <v>1227.9572900000001</v>
      </c>
      <c r="E1092">
        <v>521.37354000000005</v>
      </c>
      <c r="F1092">
        <v>0</v>
      </c>
      <c r="G1092">
        <v>49.887616700000002</v>
      </c>
      <c r="H1092">
        <v>0</v>
      </c>
      <c r="I1092">
        <v>0</v>
      </c>
      <c r="J1092">
        <v>0</v>
      </c>
      <c r="K1092">
        <v>0</v>
      </c>
      <c r="L1092">
        <v>87.748571600000005</v>
      </c>
      <c r="M1092">
        <v>376.39009199999998</v>
      </c>
      <c r="N1092">
        <v>0</v>
      </c>
      <c r="O1092">
        <v>192.55746400000001</v>
      </c>
      <c r="P1092">
        <v>0</v>
      </c>
    </row>
    <row r="1093" spans="1:16" x14ac:dyDescent="0.25">
      <c r="A1093" t="s">
        <v>2</v>
      </c>
      <c r="B1093">
        <v>228.64797999999999</v>
      </c>
      <c r="C1093">
        <v>0</v>
      </c>
      <c r="D1093">
        <v>228.64797999999999</v>
      </c>
      <c r="E1093">
        <v>0</v>
      </c>
      <c r="F1093">
        <v>4.2667174699999997</v>
      </c>
      <c r="G1093">
        <v>7.0696846400000002</v>
      </c>
      <c r="H1093">
        <v>0</v>
      </c>
      <c r="I1093">
        <v>0</v>
      </c>
      <c r="J1093">
        <v>0</v>
      </c>
      <c r="K1093">
        <v>148.72265899999999</v>
      </c>
      <c r="L1093">
        <v>8.1178060699999997E-4</v>
      </c>
      <c r="M1093">
        <v>0</v>
      </c>
      <c r="N1093">
        <v>0</v>
      </c>
      <c r="O1093">
        <v>68.588106999999994</v>
      </c>
      <c r="P1093">
        <v>0</v>
      </c>
    </row>
    <row r="1094" spans="1:16" x14ac:dyDescent="0.25">
      <c r="A1094" t="s">
        <v>3</v>
      </c>
      <c r="B1094">
        <v>6981.5577899999998</v>
      </c>
      <c r="C1094">
        <v>0</v>
      </c>
      <c r="D1094">
        <v>6981.5577899999998</v>
      </c>
      <c r="E1094">
        <v>4052.2729399999998</v>
      </c>
      <c r="F1094">
        <v>129.64827199999999</v>
      </c>
      <c r="G1094">
        <v>1159.4213500000001</v>
      </c>
      <c r="H1094">
        <v>30.4868953</v>
      </c>
      <c r="I1094">
        <v>754.53578100000004</v>
      </c>
      <c r="J1094">
        <v>0</v>
      </c>
      <c r="K1094">
        <v>55.950389299999998</v>
      </c>
      <c r="L1094">
        <v>21.220974600000002</v>
      </c>
      <c r="M1094">
        <v>0</v>
      </c>
      <c r="N1094">
        <v>0</v>
      </c>
      <c r="O1094">
        <v>57.100290899999997</v>
      </c>
      <c r="P1094">
        <v>720.92089999999996</v>
      </c>
    </row>
    <row r="1095" spans="1:16" x14ac:dyDescent="0.25">
      <c r="A1095" t="s">
        <v>4</v>
      </c>
      <c r="B1095">
        <v>8401.0953499999996</v>
      </c>
      <c r="C1095">
        <v>0</v>
      </c>
      <c r="D1095">
        <v>8401.0953499999996</v>
      </c>
      <c r="E1095">
        <v>3527.5549999999998</v>
      </c>
      <c r="F1095">
        <v>507.97382599999997</v>
      </c>
      <c r="G1095">
        <v>3380.9425299999998</v>
      </c>
      <c r="H1095">
        <v>105.3613</v>
      </c>
      <c r="I1095">
        <v>436.325264</v>
      </c>
      <c r="J1095">
        <v>0</v>
      </c>
      <c r="K1095">
        <v>0</v>
      </c>
      <c r="L1095">
        <v>0</v>
      </c>
      <c r="M1095">
        <v>194.21816100000001</v>
      </c>
      <c r="N1095">
        <v>0</v>
      </c>
      <c r="O1095">
        <v>-117.101646</v>
      </c>
      <c r="P1095">
        <v>365.82092</v>
      </c>
    </row>
    <row r="1096" spans="1:16" x14ac:dyDescent="0.25">
      <c r="A1096" t="s">
        <v>5</v>
      </c>
      <c r="B1096">
        <v>541.05214100000001</v>
      </c>
      <c r="C1096">
        <v>515.31897200000003</v>
      </c>
      <c r="D1096">
        <v>25.733169700000001</v>
      </c>
      <c r="E1096">
        <v>268.19440600000001</v>
      </c>
      <c r="F1096">
        <v>43.216572399999997</v>
      </c>
      <c r="G1096">
        <v>142.80259799999999</v>
      </c>
      <c r="H1096">
        <v>3.91902127</v>
      </c>
      <c r="I1096">
        <v>82.919543599999997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</row>
    <row r="1097" spans="1:16" x14ac:dyDescent="0.25">
      <c r="A1097" t="s">
        <v>6</v>
      </c>
      <c r="B1097">
        <v>240.86855399999999</v>
      </c>
      <c r="C1097">
        <v>210.59904700000001</v>
      </c>
      <c r="D1097">
        <v>30.269506700000001</v>
      </c>
      <c r="E1097">
        <v>40.715321799999998</v>
      </c>
      <c r="F1097">
        <v>1.1949080299999999</v>
      </c>
      <c r="G1097">
        <v>197.90421499999999</v>
      </c>
      <c r="H1097">
        <v>0.63725446100000005</v>
      </c>
      <c r="I1097">
        <v>0.41685507700000002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</row>
    <row r="1098" spans="1:16" x14ac:dyDescent="0.25">
      <c r="A1098" t="s">
        <v>7</v>
      </c>
      <c r="B1098">
        <v>1119.1857199999999</v>
      </c>
      <c r="C1098">
        <v>794.13783799999999</v>
      </c>
      <c r="D1098">
        <v>325.04788100000002</v>
      </c>
      <c r="E1098">
        <v>0</v>
      </c>
      <c r="F1098">
        <v>884.15322700000002</v>
      </c>
      <c r="G1098">
        <v>235.03249199999999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</row>
    <row r="1099" spans="1:16" x14ac:dyDescent="0.25">
      <c r="A1099" t="s">
        <v>8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</row>
    <row r="1100" spans="1:16" x14ac:dyDescent="0.25">
      <c r="A1100" t="s">
        <v>9</v>
      </c>
      <c r="B1100">
        <v>693.26601300000004</v>
      </c>
      <c r="C1100">
        <v>607.85582099999999</v>
      </c>
      <c r="D1100">
        <v>85.410192600000002</v>
      </c>
      <c r="E1100">
        <v>97.6944613</v>
      </c>
      <c r="F1100">
        <v>3.6182798699999998</v>
      </c>
      <c r="G1100">
        <v>586.69558800000004</v>
      </c>
      <c r="H1100">
        <v>4.5311592899999997</v>
      </c>
      <c r="I1100">
        <v>0.72652434899999996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</row>
    <row r="1101" spans="1:16" x14ac:dyDescent="0.25">
      <c r="A1101" t="s">
        <v>10</v>
      </c>
      <c r="B1101">
        <v>373.01319599999999</v>
      </c>
      <c r="C1101">
        <v>0</v>
      </c>
      <c r="D1101">
        <v>373.01319599999999</v>
      </c>
      <c r="E1101">
        <v>0</v>
      </c>
      <c r="F1101">
        <v>-167.88167999999999</v>
      </c>
      <c r="G1101">
        <v>3.9301746400000002</v>
      </c>
      <c r="H1101">
        <v>0</v>
      </c>
      <c r="I1101">
        <v>0</v>
      </c>
      <c r="J1101">
        <v>0</v>
      </c>
      <c r="K1101">
        <v>212.55924200000001</v>
      </c>
      <c r="L1101">
        <v>48.422496199999998</v>
      </c>
      <c r="M1101">
        <v>4.2129602400000001</v>
      </c>
      <c r="N1101">
        <v>0</v>
      </c>
      <c r="O1101">
        <v>271.77000399999997</v>
      </c>
      <c r="P1101">
        <v>0</v>
      </c>
    </row>
    <row r="1102" spans="1:16" x14ac:dyDescent="0.25">
      <c r="A1102" t="s">
        <v>11</v>
      </c>
      <c r="B1102">
        <v>53.0864002</v>
      </c>
      <c r="C1102">
        <v>0</v>
      </c>
      <c r="D1102">
        <v>53.0864002</v>
      </c>
      <c r="E1102">
        <v>16.680997900000001</v>
      </c>
      <c r="F1102">
        <v>2.6963399899999998</v>
      </c>
      <c r="G1102">
        <v>25.902185899999999</v>
      </c>
      <c r="H1102">
        <v>0.82762197500000001</v>
      </c>
      <c r="I1102">
        <v>5.2845539099999996</v>
      </c>
      <c r="J1102">
        <v>0</v>
      </c>
      <c r="K1102">
        <v>0</v>
      </c>
      <c r="L1102">
        <v>0</v>
      </c>
      <c r="M1102">
        <v>1.6947006</v>
      </c>
      <c r="N1102">
        <v>0</v>
      </c>
      <c r="O1102">
        <v>0</v>
      </c>
      <c r="P1102">
        <v>0</v>
      </c>
    </row>
    <row r="1103" spans="1:16" x14ac:dyDescent="0.25">
      <c r="A1103" t="s">
        <v>12</v>
      </c>
      <c r="B1103">
        <v>10312.1194</v>
      </c>
      <c r="C1103">
        <v>1086.74182</v>
      </c>
      <c r="D1103">
        <v>9225.3775499999992</v>
      </c>
      <c r="E1103">
        <v>5052.8692099999998</v>
      </c>
      <c r="F1103">
        <v>458.14814799999999</v>
      </c>
      <c r="G1103">
        <v>3163.7283299999999</v>
      </c>
      <c r="H1103">
        <v>120.956986</v>
      </c>
      <c r="I1103">
        <v>1253.1394600000001</v>
      </c>
      <c r="J1103">
        <v>0</v>
      </c>
      <c r="K1103">
        <v>63.448716900000001</v>
      </c>
      <c r="L1103">
        <v>24.064955099999999</v>
      </c>
      <c r="M1103">
        <v>111.01084</v>
      </c>
      <c r="N1103">
        <v>0</v>
      </c>
      <c r="O1103">
        <v>64.752725299999994</v>
      </c>
      <c r="P1103">
        <v>0</v>
      </c>
    </row>
    <row r="1104" spans="1:16" x14ac:dyDescent="0.25">
      <c r="A1104" t="s">
        <v>13</v>
      </c>
      <c r="B1104">
        <v>3347.3907399999998</v>
      </c>
      <c r="C1104">
        <v>0</v>
      </c>
      <c r="D1104">
        <v>3347.3907399999998</v>
      </c>
      <c r="E1104">
        <v>2812.1417200000001</v>
      </c>
      <c r="F1104">
        <v>427.83053100000001</v>
      </c>
      <c r="G1104">
        <v>0</v>
      </c>
      <c r="H1104">
        <v>0</v>
      </c>
      <c r="I1104">
        <v>0</v>
      </c>
      <c r="J1104">
        <v>0</v>
      </c>
      <c r="K1104">
        <v>34.637964400000001</v>
      </c>
      <c r="L1104">
        <v>5.9056492</v>
      </c>
      <c r="M1104">
        <v>45.4972323</v>
      </c>
      <c r="N1104">
        <v>0</v>
      </c>
      <c r="O1104">
        <v>21.377644700000001</v>
      </c>
      <c r="P1104">
        <v>0</v>
      </c>
    </row>
    <row r="1105" spans="1:16" x14ac:dyDescent="0.25">
      <c r="A1105" t="s">
        <v>14</v>
      </c>
      <c r="B1105">
        <v>354.16561300000001</v>
      </c>
      <c r="C1105">
        <v>0</v>
      </c>
      <c r="D1105">
        <v>354.16561300000001</v>
      </c>
      <c r="E1105">
        <v>113.520048</v>
      </c>
      <c r="F1105">
        <v>52.348716500000002</v>
      </c>
      <c r="G1105">
        <v>51.099919800000002</v>
      </c>
      <c r="H1105">
        <v>4.0362569300000004</v>
      </c>
      <c r="I1105" s="74">
        <v>2.8610229499999999E-12</v>
      </c>
      <c r="J1105">
        <v>0</v>
      </c>
      <c r="K1105">
        <v>0</v>
      </c>
      <c r="L1105">
        <v>23.2355889</v>
      </c>
      <c r="M1105">
        <v>61.113851699999998</v>
      </c>
      <c r="N1105">
        <v>0</v>
      </c>
      <c r="O1105">
        <v>48.811230999999999</v>
      </c>
      <c r="P1105">
        <v>0</v>
      </c>
    </row>
    <row r="1106" spans="1:16" x14ac:dyDescent="0.25">
      <c r="A1106" t="s">
        <v>350</v>
      </c>
    </row>
    <row r="1107" spans="1:16" x14ac:dyDescent="0.25">
      <c r="A1107" t="s">
        <v>360</v>
      </c>
      <c r="B1107" t="s">
        <v>18</v>
      </c>
      <c r="C1107" t="s">
        <v>19</v>
      </c>
      <c r="D1107" t="s">
        <v>20</v>
      </c>
      <c r="E1107" t="s">
        <v>21</v>
      </c>
      <c r="F1107" t="s">
        <v>22</v>
      </c>
      <c r="G1107" t="s">
        <v>23</v>
      </c>
      <c r="H1107" t="s">
        <v>361</v>
      </c>
      <c r="I1107" t="s">
        <v>25</v>
      </c>
      <c r="J1107" t="s">
        <v>362</v>
      </c>
      <c r="K1107" t="s">
        <v>5</v>
      </c>
      <c r="L1107" t="s">
        <v>6</v>
      </c>
      <c r="M1107" t="s">
        <v>7</v>
      </c>
      <c r="N1107" t="s">
        <v>8</v>
      </c>
      <c r="O1107" t="s">
        <v>9</v>
      </c>
      <c r="P1107" t="s">
        <v>363</v>
      </c>
    </row>
    <row r="1108" spans="1:16" x14ac:dyDescent="0.25">
      <c r="A1108" t="s">
        <v>364</v>
      </c>
      <c r="B1108" t="s">
        <v>370</v>
      </c>
      <c r="C1108" t="s">
        <v>370</v>
      </c>
      <c r="D1108" t="s">
        <v>370</v>
      </c>
      <c r="E1108" t="s">
        <v>370</v>
      </c>
      <c r="F1108" t="s">
        <v>370</v>
      </c>
      <c r="G1108" t="s">
        <v>370</v>
      </c>
      <c r="H1108" t="s">
        <v>370</v>
      </c>
      <c r="I1108" t="s">
        <v>370</v>
      </c>
      <c r="J1108" t="s">
        <v>370</v>
      </c>
      <c r="K1108" t="s">
        <v>370</v>
      </c>
      <c r="L1108" t="s">
        <v>370</v>
      </c>
      <c r="M1108" t="s">
        <v>370</v>
      </c>
      <c r="N1108" t="s">
        <v>370</v>
      </c>
      <c r="O1108" t="s">
        <v>370</v>
      </c>
      <c r="P1108" t="s">
        <v>370</v>
      </c>
    </row>
    <row r="1109" spans="1:16" x14ac:dyDescent="0.25">
      <c r="A1109" t="s">
        <v>1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</row>
    <row r="1110" spans="1:16" x14ac:dyDescent="0.25">
      <c r="A1110" t="s">
        <v>2</v>
      </c>
      <c r="B1110">
        <v>53.896981799999999</v>
      </c>
      <c r="C1110">
        <v>0</v>
      </c>
      <c r="D1110">
        <v>53.896981799999999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19.670300699999999</v>
      </c>
      <c r="L1110">
        <v>7.4605906299999996</v>
      </c>
      <c r="M1110">
        <v>0</v>
      </c>
      <c r="N1110">
        <v>0</v>
      </c>
      <c r="O1110">
        <v>26.766090500000001</v>
      </c>
      <c r="P1110">
        <v>0</v>
      </c>
    </row>
    <row r="1111" spans="1:16" x14ac:dyDescent="0.25">
      <c r="A1111" t="s">
        <v>3</v>
      </c>
      <c r="B1111">
        <v>430.15141399999999</v>
      </c>
      <c r="C1111">
        <v>0</v>
      </c>
      <c r="D1111">
        <v>430.15141399999999</v>
      </c>
      <c r="E1111">
        <v>257.964136</v>
      </c>
      <c r="F1111">
        <v>6.9290465899999996</v>
      </c>
      <c r="G1111">
        <v>74.731653100000003</v>
      </c>
      <c r="H1111">
        <v>1.1992720299999999</v>
      </c>
      <c r="I1111">
        <v>76.569074599999993</v>
      </c>
      <c r="J1111">
        <v>0</v>
      </c>
      <c r="K1111">
        <v>5.3162974800000002</v>
      </c>
      <c r="L1111">
        <v>2.0163758399999998</v>
      </c>
      <c r="M1111">
        <v>0</v>
      </c>
      <c r="N1111">
        <v>0</v>
      </c>
      <c r="O1111">
        <v>5.4255588899999996</v>
      </c>
      <c r="P1111">
        <v>0</v>
      </c>
    </row>
    <row r="1112" spans="1:16" x14ac:dyDescent="0.25">
      <c r="A1112" t="s">
        <v>4</v>
      </c>
      <c r="B1112">
        <v>243.77359799999999</v>
      </c>
      <c r="C1112">
        <v>0</v>
      </c>
      <c r="D1112">
        <v>243.77359799999999</v>
      </c>
      <c r="E1112">
        <v>78.702042800000001</v>
      </c>
      <c r="F1112">
        <v>12.7215091</v>
      </c>
      <c r="G1112">
        <v>122.208213</v>
      </c>
      <c r="H1112">
        <v>3.9047748000000002</v>
      </c>
      <c r="I1112">
        <v>24.932872199999998</v>
      </c>
      <c r="J1112">
        <v>0</v>
      </c>
      <c r="K1112">
        <v>0</v>
      </c>
      <c r="L1112">
        <v>0</v>
      </c>
      <c r="M1112">
        <v>7.9957086500000001</v>
      </c>
      <c r="N1112">
        <v>0</v>
      </c>
      <c r="O1112">
        <v>-6.6915226299999997</v>
      </c>
      <c r="P1112">
        <v>0</v>
      </c>
    </row>
    <row r="1113" spans="1:16" x14ac:dyDescent="0.25">
      <c r="A1113" t="s">
        <v>5</v>
      </c>
      <c r="B1113">
        <v>19.670300699999999</v>
      </c>
      <c r="C1113">
        <v>24.986598099999998</v>
      </c>
      <c r="D1113">
        <v>-5.3162974800000002</v>
      </c>
      <c r="E1113">
        <v>8.7760408600000002</v>
      </c>
      <c r="F1113">
        <v>1.34518403</v>
      </c>
      <c r="G1113">
        <v>4.1040422699999999</v>
      </c>
      <c r="H1113">
        <v>6.0014731199999997E-2</v>
      </c>
      <c r="I1113">
        <v>5.3850187700000003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</row>
    <row r="1114" spans="1:16" x14ac:dyDescent="0.25">
      <c r="A1114" t="s">
        <v>6</v>
      </c>
      <c r="B1114">
        <v>7.4605906299999996</v>
      </c>
      <c r="C1114">
        <v>9.4769664700000007</v>
      </c>
      <c r="D1114">
        <v>-2.0163758399999998</v>
      </c>
      <c r="E1114">
        <v>1.25118419</v>
      </c>
      <c r="F1114">
        <v>2.8792293E-2</v>
      </c>
      <c r="G1114">
        <v>6.1436409400000001</v>
      </c>
      <c r="H1114">
        <v>9.9015112800000006E-3</v>
      </c>
      <c r="I1114">
        <v>2.70716929E-2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</row>
    <row r="1115" spans="1:16" x14ac:dyDescent="0.25">
      <c r="A1115" t="s">
        <v>7</v>
      </c>
      <c r="B1115">
        <v>21.6929555</v>
      </c>
      <c r="C1115">
        <v>7.9957086500000001</v>
      </c>
      <c r="D1115">
        <v>13.6972468</v>
      </c>
      <c r="E1115">
        <v>0</v>
      </c>
      <c r="F1115">
        <v>16.720800300000001</v>
      </c>
      <c r="G1115">
        <v>4.9721551499999999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</row>
    <row r="1116" spans="1:16" x14ac:dyDescent="0.25">
      <c r="A1116" t="s">
        <v>8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</row>
    <row r="1117" spans="1:16" x14ac:dyDescent="0.25">
      <c r="A1117" t="s">
        <v>9</v>
      </c>
      <c r="B1117">
        <v>20.074567900000002</v>
      </c>
      <c r="C1117">
        <v>25.5001268</v>
      </c>
      <c r="D1117">
        <v>-5.4255588899999996</v>
      </c>
      <c r="E1117">
        <v>3.0807791400000002</v>
      </c>
      <c r="F1117">
        <v>8.32277867E-2</v>
      </c>
      <c r="G1117">
        <v>16.7978269</v>
      </c>
      <c r="H1117">
        <v>6.5551633400000003E-2</v>
      </c>
      <c r="I1117">
        <v>4.7182450500000001E-2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</row>
    <row r="1118" spans="1:16" x14ac:dyDescent="0.25">
      <c r="A1118" t="s">
        <v>10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</row>
    <row r="1119" spans="1:16" x14ac:dyDescent="0.25">
      <c r="A1119" t="s">
        <v>11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</row>
    <row r="1120" spans="1:16" x14ac:dyDescent="0.25">
      <c r="A1120" t="s">
        <v>12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25">
      <c r="A1121" t="s">
        <v>13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</row>
    <row r="1122" spans="1:16" x14ac:dyDescent="0.25">
      <c r="A1122" t="s">
        <v>14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</row>
    <row r="1123" spans="1:16" x14ac:dyDescent="0.25">
      <c r="A1123" t="s">
        <v>351</v>
      </c>
    </row>
    <row r="1124" spans="1:16" x14ac:dyDescent="0.25">
      <c r="A1124" t="s">
        <v>360</v>
      </c>
      <c r="B1124" t="s">
        <v>18</v>
      </c>
      <c r="C1124" t="s">
        <v>19</v>
      </c>
      <c r="D1124" t="s">
        <v>20</v>
      </c>
      <c r="E1124" t="s">
        <v>21</v>
      </c>
      <c r="F1124" t="s">
        <v>22</v>
      </c>
      <c r="G1124" t="s">
        <v>23</v>
      </c>
      <c r="H1124" t="s">
        <v>361</v>
      </c>
      <c r="I1124" t="s">
        <v>25</v>
      </c>
      <c r="J1124" t="s">
        <v>362</v>
      </c>
      <c r="K1124" t="s">
        <v>5</v>
      </c>
      <c r="L1124" t="s">
        <v>6</v>
      </c>
      <c r="M1124" t="s">
        <v>7</v>
      </c>
      <c r="N1124" t="s">
        <v>8</v>
      </c>
      <c r="O1124" t="s">
        <v>9</v>
      </c>
      <c r="P1124" t="s">
        <v>363</v>
      </c>
    </row>
    <row r="1125" spans="1:16" x14ac:dyDescent="0.25">
      <c r="A1125" t="s">
        <v>364</v>
      </c>
      <c r="B1125" t="s">
        <v>365</v>
      </c>
      <c r="C1125" t="s">
        <v>365</v>
      </c>
      <c r="D1125" t="s">
        <v>365</v>
      </c>
      <c r="E1125" t="s">
        <v>365</v>
      </c>
      <c r="F1125" t="s">
        <v>365</v>
      </c>
      <c r="G1125" t="s">
        <v>365</v>
      </c>
      <c r="H1125" t="s">
        <v>365</v>
      </c>
      <c r="I1125" t="s">
        <v>365</v>
      </c>
      <c r="J1125" t="s">
        <v>365</v>
      </c>
      <c r="K1125" t="s">
        <v>365</v>
      </c>
      <c r="L1125" t="s">
        <v>365</v>
      </c>
      <c r="M1125" t="s">
        <v>365</v>
      </c>
      <c r="N1125" t="s">
        <v>365</v>
      </c>
      <c r="O1125" t="s">
        <v>365</v>
      </c>
      <c r="P1125" t="s">
        <v>365</v>
      </c>
    </row>
    <row r="1126" spans="1:16" x14ac:dyDescent="0.25">
      <c r="A1126" t="s">
        <v>1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</row>
    <row r="1127" spans="1:16" x14ac:dyDescent="0.25">
      <c r="A1127" t="s">
        <v>2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</row>
    <row r="1128" spans="1:16" x14ac:dyDescent="0.25">
      <c r="A1128" t="s">
        <v>3</v>
      </c>
      <c r="B1128">
        <v>20176.1623</v>
      </c>
      <c r="C1128">
        <v>0</v>
      </c>
      <c r="D1128">
        <v>20176.1623</v>
      </c>
      <c r="E1128">
        <v>12199.720499999999</v>
      </c>
      <c r="F1128">
        <v>521.46636100000001</v>
      </c>
      <c r="G1128">
        <v>2899.3120800000002</v>
      </c>
      <c r="H1128">
        <v>210.74806899999999</v>
      </c>
      <c r="I1128">
        <v>3731.2454600000001</v>
      </c>
      <c r="J1128">
        <v>0</v>
      </c>
      <c r="K1128">
        <v>260.63026600000001</v>
      </c>
      <c r="L1128">
        <v>108.571904</v>
      </c>
      <c r="M1128">
        <v>0</v>
      </c>
      <c r="N1128">
        <v>0</v>
      </c>
      <c r="O1128">
        <v>244.46772200000001</v>
      </c>
      <c r="P1128">
        <v>0</v>
      </c>
    </row>
    <row r="1129" spans="1:16" x14ac:dyDescent="0.25">
      <c r="A1129" t="s">
        <v>4</v>
      </c>
      <c r="B1129">
        <v>4538.1571599999997</v>
      </c>
      <c r="C1129">
        <v>0</v>
      </c>
      <c r="D1129">
        <v>4538.1571599999997</v>
      </c>
      <c r="E1129">
        <v>1284.31737</v>
      </c>
      <c r="F1129">
        <v>428.70210300000002</v>
      </c>
      <c r="G1129">
        <v>2065.5825199999999</v>
      </c>
      <c r="H1129">
        <v>220.460981</v>
      </c>
      <c r="I1129">
        <v>420.74221799999998</v>
      </c>
      <c r="J1129">
        <v>0</v>
      </c>
      <c r="K1129">
        <v>0</v>
      </c>
      <c r="L1129">
        <v>0</v>
      </c>
      <c r="M1129">
        <v>218.87301099999999</v>
      </c>
      <c r="N1129">
        <v>0</v>
      </c>
      <c r="O1129">
        <v>-100.521041</v>
      </c>
      <c r="P1129">
        <v>0</v>
      </c>
    </row>
    <row r="1130" spans="1:16" x14ac:dyDescent="0.25">
      <c r="A1130" t="s">
        <v>5</v>
      </c>
      <c r="B1130">
        <v>260.63026600000001</v>
      </c>
      <c r="C1130">
        <v>260.63026600000001</v>
      </c>
      <c r="D1130">
        <v>0</v>
      </c>
      <c r="E1130">
        <v>115.41448099999999</v>
      </c>
      <c r="F1130">
        <v>23.6653628</v>
      </c>
      <c r="G1130">
        <v>48.383308900000003</v>
      </c>
      <c r="H1130">
        <v>1.6108779200000001</v>
      </c>
      <c r="I1130">
        <v>71.556234900000007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</row>
    <row r="1131" spans="1:16" x14ac:dyDescent="0.25">
      <c r="A1131" t="s">
        <v>6</v>
      </c>
      <c r="B1131">
        <v>108.571904</v>
      </c>
      <c r="C1131">
        <v>108.571904</v>
      </c>
      <c r="D1131">
        <v>0</v>
      </c>
      <c r="E1131">
        <v>18.863227200000001</v>
      </c>
      <c r="F1131">
        <v>1.1574677099999999</v>
      </c>
      <c r="G1131">
        <v>78.065414500000003</v>
      </c>
      <c r="H1131">
        <v>0.62841992999999996</v>
      </c>
      <c r="I1131">
        <v>9.8573748600000002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</row>
    <row r="1132" spans="1:16" x14ac:dyDescent="0.25">
      <c r="A1132" t="s">
        <v>7</v>
      </c>
      <c r="B1132">
        <v>218.87301099999999</v>
      </c>
      <c r="C1132">
        <v>218.87301099999999</v>
      </c>
      <c r="D1132">
        <v>0</v>
      </c>
      <c r="E1132">
        <v>0.25933524099999999</v>
      </c>
      <c r="F1132">
        <v>183.63293899999999</v>
      </c>
      <c r="G1132">
        <v>34.976558699999998</v>
      </c>
      <c r="H1132">
        <v>4.1784139700000002E-3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</row>
    <row r="1133" spans="1:16" x14ac:dyDescent="0.25">
      <c r="A1133" t="s">
        <v>8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</row>
    <row r="1134" spans="1:16" x14ac:dyDescent="0.25">
      <c r="A1134" t="s">
        <v>9</v>
      </c>
      <c r="B1134">
        <v>143.94668100000001</v>
      </c>
      <c r="C1134">
        <v>143.94668100000001</v>
      </c>
      <c r="D1134">
        <v>0</v>
      </c>
      <c r="E1134">
        <v>23.166876999999999</v>
      </c>
      <c r="F1134">
        <v>2.5196539699999998</v>
      </c>
      <c r="G1134">
        <v>116.399061</v>
      </c>
      <c r="H1134">
        <v>1.4917604499999999</v>
      </c>
      <c r="I1134">
        <v>0.369328663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</row>
    <row r="1135" spans="1:16" x14ac:dyDescent="0.25">
      <c r="A1135" t="s">
        <v>10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</row>
    <row r="1136" spans="1:16" x14ac:dyDescent="0.25">
      <c r="A1136" t="s">
        <v>11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</row>
    <row r="1137" spans="1:16" x14ac:dyDescent="0.25">
      <c r="A1137" t="s">
        <v>12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</row>
    <row r="1138" spans="1:16" x14ac:dyDescent="0.25">
      <c r="A1138" t="s">
        <v>13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</row>
    <row r="1139" spans="1:16" x14ac:dyDescent="0.25">
      <c r="A1139" t="s">
        <v>14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</row>
    <row r="1140" spans="1:16" x14ac:dyDescent="0.25">
      <c r="A1140" t="s">
        <v>352</v>
      </c>
    </row>
    <row r="1141" spans="1:16" x14ac:dyDescent="0.25">
      <c r="A1141" t="s">
        <v>360</v>
      </c>
      <c r="B1141" t="s">
        <v>366</v>
      </c>
      <c r="C1141" t="s">
        <v>367</v>
      </c>
      <c r="D1141" t="s">
        <v>368</v>
      </c>
      <c r="E1141" t="s">
        <v>21</v>
      </c>
      <c r="F1141" t="s">
        <v>22</v>
      </c>
      <c r="G1141" t="s">
        <v>23</v>
      </c>
      <c r="H1141" t="s">
        <v>361</v>
      </c>
      <c r="I1141" t="s">
        <v>25</v>
      </c>
      <c r="J1141" t="s">
        <v>362</v>
      </c>
      <c r="K1141" t="s">
        <v>5</v>
      </c>
      <c r="L1141" t="s">
        <v>6</v>
      </c>
      <c r="M1141" t="s">
        <v>7</v>
      </c>
      <c r="N1141" t="s">
        <v>8</v>
      </c>
      <c r="O1141" t="s">
        <v>9</v>
      </c>
      <c r="P1141" t="s">
        <v>363</v>
      </c>
    </row>
    <row r="1142" spans="1:16" x14ac:dyDescent="0.25">
      <c r="A1142" t="s">
        <v>364</v>
      </c>
      <c r="B1142" t="s">
        <v>369</v>
      </c>
      <c r="C1142" t="s">
        <v>369</v>
      </c>
      <c r="D1142" t="s">
        <v>369</v>
      </c>
      <c r="E1142" t="s">
        <v>369</v>
      </c>
      <c r="F1142" t="s">
        <v>369</v>
      </c>
      <c r="G1142" t="s">
        <v>369</v>
      </c>
      <c r="H1142" t="s">
        <v>369</v>
      </c>
      <c r="I1142" t="s">
        <v>369</v>
      </c>
      <c r="J1142" t="s">
        <v>369</v>
      </c>
      <c r="K1142" t="s">
        <v>369</v>
      </c>
      <c r="L1142" t="s">
        <v>369</v>
      </c>
      <c r="M1142" t="s">
        <v>369</v>
      </c>
      <c r="N1142" t="s">
        <v>369</v>
      </c>
      <c r="O1142" t="s">
        <v>369</v>
      </c>
      <c r="P1142" t="s">
        <v>369</v>
      </c>
    </row>
    <row r="1143" spans="1:16" x14ac:dyDescent="0.25">
      <c r="A1143" t="s">
        <v>1</v>
      </c>
      <c r="B1143">
        <v>1704.7509700000001</v>
      </c>
      <c r="C1143">
        <v>0</v>
      </c>
      <c r="D1143">
        <v>1704.7509700000001</v>
      </c>
      <c r="E1143">
        <v>619.23201800000004</v>
      </c>
      <c r="F1143">
        <v>0</v>
      </c>
      <c r="G1143">
        <v>214.91549499999999</v>
      </c>
      <c r="H1143">
        <v>0</v>
      </c>
      <c r="I1143">
        <v>0</v>
      </c>
      <c r="J1143">
        <v>0</v>
      </c>
      <c r="K1143">
        <v>0</v>
      </c>
      <c r="L1143">
        <v>101.583292</v>
      </c>
      <c r="M1143">
        <v>576.46270200000004</v>
      </c>
      <c r="N1143">
        <v>0</v>
      </c>
      <c r="O1143">
        <v>192.55746400000001</v>
      </c>
      <c r="P1143">
        <v>0</v>
      </c>
    </row>
    <row r="1144" spans="1:16" x14ac:dyDescent="0.25">
      <c r="A1144" t="s">
        <v>2</v>
      </c>
      <c r="B1144">
        <v>303.38532500000002</v>
      </c>
      <c r="C1144">
        <v>0</v>
      </c>
      <c r="D1144">
        <v>303.38532500000002</v>
      </c>
      <c r="E1144">
        <v>0</v>
      </c>
      <c r="F1144">
        <v>50.018698700000002</v>
      </c>
      <c r="G1144">
        <v>54.301934500000002</v>
      </c>
      <c r="H1144">
        <v>0</v>
      </c>
      <c r="I1144">
        <v>0</v>
      </c>
      <c r="J1144">
        <v>0</v>
      </c>
      <c r="K1144">
        <v>171.09976800000001</v>
      </c>
      <c r="L1144">
        <v>1.0455502E-3</v>
      </c>
      <c r="M1144">
        <v>0</v>
      </c>
      <c r="N1144">
        <v>0</v>
      </c>
      <c r="O1144">
        <v>27.9638782</v>
      </c>
      <c r="P1144">
        <v>0</v>
      </c>
    </row>
    <row r="1145" spans="1:16" x14ac:dyDescent="0.25">
      <c r="A1145" t="s">
        <v>3</v>
      </c>
      <c r="B1145">
        <v>6185.1558500000001</v>
      </c>
      <c r="C1145">
        <v>0</v>
      </c>
      <c r="D1145">
        <v>6185.1558500000001</v>
      </c>
      <c r="E1145">
        <v>3325.1596800000002</v>
      </c>
      <c r="F1145">
        <v>180.58619400000001</v>
      </c>
      <c r="G1145">
        <v>818.37491899999998</v>
      </c>
      <c r="H1145">
        <v>100.098322</v>
      </c>
      <c r="I1145">
        <v>574.21464200000003</v>
      </c>
      <c r="J1145">
        <v>0</v>
      </c>
      <c r="K1145">
        <v>43.559253599999998</v>
      </c>
      <c r="L1145">
        <v>18.145671199999999</v>
      </c>
      <c r="M1145">
        <v>0</v>
      </c>
      <c r="N1145">
        <v>0</v>
      </c>
      <c r="O1145">
        <v>40.858000400000002</v>
      </c>
      <c r="P1145">
        <v>1084.1591599999999</v>
      </c>
    </row>
    <row r="1146" spans="1:16" x14ac:dyDescent="0.25">
      <c r="A1146" t="s">
        <v>4</v>
      </c>
      <c r="B1146">
        <v>10710.6803</v>
      </c>
      <c r="C1146">
        <v>0</v>
      </c>
      <c r="D1146">
        <v>10710.6803</v>
      </c>
      <c r="E1146">
        <v>3768.0463399999999</v>
      </c>
      <c r="F1146">
        <v>1126.8103100000001</v>
      </c>
      <c r="G1146">
        <v>4013.6777200000001</v>
      </c>
      <c r="H1146">
        <v>440.34630399999998</v>
      </c>
      <c r="I1146">
        <v>574.84122000000002</v>
      </c>
      <c r="J1146">
        <v>0</v>
      </c>
      <c r="K1146">
        <v>0</v>
      </c>
      <c r="L1146">
        <v>0</v>
      </c>
      <c r="M1146">
        <v>386.78707500000002</v>
      </c>
      <c r="N1146">
        <v>0</v>
      </c>
      <c r="O1146">
        <v>-137.33739</v>
      </c>
      <c r="P1146">
        <v>537.50874799999997</v>
      </c>
    </row>
    <row r="1147" spans="1:16" x14ac:dyDescent="0.25">
      <c r="A1147" t="s">
        <v>5</v>
      </c>
      <c r="B1147">
        <v>568.51387599999998</v>
      </c>
      <c r="C1147">
        <v>537.08138099999996</v>
      </c>
      <c r="D1147">
        <v>31.432495500000002</v>
      </c>
      <c r="E1147">
        <v>274.07881600000002</v>
      </c>
      <c r="F1147">
        <v>58.802693599999998</v>
      </c>
      <c r="G1147">
        <v>137.06677199999999</v>
      </c>
      <c r="H1147">
        <v>7.67473896</v>
      </c>
      <c r="I1147">
        <v>90.890855900000005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</row>
    <row r="1148" spans="1:16" x14ac:dyDescent="0.25">
      <c r="A1148" t="s">
        <v>6</v>
      </c>
      <c r="B1148">
        <v>270.70322700000003</v>
      </c>
      <c r="C1148">
        <v>240.88754700000001</v>
      </c>
      <c r="D1148">
        <v>29.815679899999999</v>
      </c>
      <c r="E1148">
        <v>47.264614999999999</v>
      </c>
      <c r="F1148">
        <v>3.7172994199999998</v>
      </c>
      <c r="G1148">
        <v>204.22706500000001</v>
      </c>
      <c r="H1148">
        <v>2.9733923500000001</v>
      </c>
      <c r="I1148">
        <v>12.520854999999999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</row>
    <row r="1149" spans="1:16" x14ac:dyDescent="0.25">
      <c r="A1149" t="s">
        <v>7</v>
      </c>
      <c r="B1149">
        <v>1897.7875300000001</v>
      </c>
      <c r="C1149">
        <v>1365.9239399999999</v>
      </c>
      <c r="D1149">
        <v>531.86359700000003</v>
      </c>
      <c r="E1149">
        <v>2.3925246100000002</v>
      </c>
      <c r="F1149">
        <v>1602.77747</v>
      </c>
      <c r="G1149">
        <v>292.577854</v>
      </c>
      <c r="H1149">
        <v>3.9690826800000002E-2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</row>
    <row r="1150" spans="1:16" x14ac:dyDescent="0.25">
      <c r="A1150" t="s">
        <v>8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</row>
    <row r="1151" spans="1:16" x14ac:dyDescent="0.25">
      <c r="A1151" t="s">
        <v>9</v>
      </c>
      <c r="B1151">
        <v>684.76821800000005</v>
      </c>
      <c r="C1151">
        <v>554.55195000000003</v>
      </c>
      <c r="D1151">
        <v>130.21626800000001</v>
      </c>
      <c r="E1151">
        <v>97.004576999999998</v>
      </c>
      <c r="F1151">
        <v>13.731696599999999</v>
      </c>
      <c r="G1151">
        <v>560.41098699999998</v>
      </c>
      <c r="H1151">
        <v>12.824237200000001</v>
      </c>
      <c r="I1151">
        <v>0.79671977500000002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</row>
    <row r="1152" spans="1:16" x14ac:dyDescent="0.25">
      <c r="A1152" t="s">
        <v>10</v>
      </c>
      <c r="B1152">
        <v>288.95010600000001</v>
      </c>
      <c r="C1152">
        <v>0</v>
      </c>
      <c r="D1152">
        <v>288.95010600000001</v>
      </c>
      <c r="E1152">
        <v>-0.72375</v>
      </c>
      <c r="F1152">
        <v>-284.34173800000002</v>
      </c>
      <c r="G1152">
        <v>30.1874973</v>
      </c>
      <c r="H1152">
        <v>0</v>
      </c>
      <c r="I1152">
        <v>0</v>
      </c>
      <c r="J1152">
        <v>0</v>
      </c>
      <c r="K1152">
        <v>204.041257</v>
      </c>
      <c r="L1152">
        <v>52.587766799999997</v>
      </c>
      <c r="M1152">
        <v>5.6185905399999996</v>
      </c>
      <c r="N1152">
        <v>0</v>
      </c>
      <c r="O1152">
        <v>281.58048300000002</v>
      </c>
      <c r="P1152">
        <v>0</v>
      </c>
    </row>
    <row r="1153" spans="1:16" x14ac:dyDescent="0.25">
      <c r="A1153" t="s">
        <v>11</v>
      </c>
      <c r="B1153">
        <v>171.69175100000001</v>
      </c>
      <c r="C1153">
        <v>0</v>
      </c>
      <c r="D1153">
        <v>171.69175100000001</v>
      </c>
      <c r="E1153">
        <v>47.536537000000003</v>
      </c>
      <c r="F1153">
        <v>15.867583700000001</v>
      </c>
      <c r="G1153">
        <v>76.453563500000001</v>
      </c>
      <c r="H1153">
        <v>8.1599391200000007</v>
      </c>
      <c r="I1153">
        <v>15.5729639</v>
      </c>
      <c r="J1153">
        <v>0</v>
      </c>
      <c r="K1153">
        <v>0</v>
      </c>
      <c r="L1153">
        <v>0</v>
      </c>
      <c r="M1153">
        <v>8.1011634800000003</v>
      </c>
      <c r="N1153">
        <v>0</v>
      </c>
      <c r="O1153">
        <v>0</v>
      </c>
      <c r="P1153">
        <v>0</v>
      </c>
    </row>
    <row r="1154" spans="1:16" x14ac:dyDescent="0.25">
      <c r="A1154" t="s">
        <v>12</v>
      </c>
      <c r="B1154">
        <v>13496.207</v>
      </c>
      <c r="C1154">
        <v>1621.6679099999999</v>
      </c>
      <c r="D1154">
        <v>11874.5391</v>
      </c>
      <c r="E1154">
        <v>6182.6990500000002</v>
      </c>
      <c r="F1154">
        <v>1031.85673</v>
      </c>
      <c r="G1154">
        <v>3790.2551100000001</v>
      </c>
      <c r="H1154">
        <v>439.635221</v>
      </c>
      <c r="I1154">
        <v>1640.32582</v>
      </c>
      <c r="J1154">
        <v>0</v>
      </c>
      <c r="K1154">
        <v>82.555729900000003</v>
      </c>
      <c r="L1154">
        <v>34.390606099999999</v>
      </c>
      <c r="M1154">
        <v>217.05254099999999</v>
      </c>
      <c r="N1154">
        <v>0</v>
      </c>
      <c r="O1154">
        <v>77.436176399999994</v>
      </c>
      <c r="P1154">
        <v>0</v>
      </c>
    </row>
    <row r="1155" spans="1:16" x14ac:dyDescent="0.25">
      <c r="A1155" t="s">
        <v>13</v>
      </c>
      <c r="B1155">
        <v>3981.76073</v>
      </c>
      <c r="C1155">
        <v>0</v>
      </c>
      <c r="D1155">
        <v>3981.76073</v>
      </c>
      <c r="E1155">
        <v>2969.8745699999999</v>
      </c>
      <c r="F1155">
        <v>863.51475600000003</v>
      </c>
      <c r="G1155">
        <v>0</v>
      </c>
      <c r="H1155">
        <v>0</v>
      </c>
      <c r="I1155">
        <v>0</v>
      </c>
      <c r="J1155">
        <v>0</v>
      </c>
      <c r="K1155">
        <v>35.825372000000002</v>
      </c>
      <c r="L1155">
        <v>7.1015856499999996</v>
      </c>
      <c r="M1155">
        <v>82.726457999999994</v>
      </c>
      <c r="N1155">
        <v>0</v>
      </c>
      <c r="O1155">
        <v>22.717991699999999</v>
      </c>
      <c r="P1155">
        <v>0</v>
      </c>
    </row>
    <row r="1156" spans="1:16" x14ac:dyDescent="0.25">
      <c r="A1156" t="s">
        <v>14</v>
      </c>
      <c r="B1156">
        <v>562.94331499999998</v>
      </c>
      <c r="C1156">
        <v>0</v>
      </c>
      <c r="D1156">
        <v>562.94331499999998</v>
      </c>
      <c r="E1156">
        <v>134.544793</v>
      </c>
      <c r="F1156">
        <v>95.894671900000006</v>
      </c>
      <c r="G1156">
        <v>153.06153699999999</v>
      </c>
      <c r="H1156">
        <v>14.4139813</v>
      </c>
      <c r="I1156" s="74">
        <v>1.1920929000000001E-12</v>
      </c>
      <c r="J1156">
        <v>0</v>
      </c>
      <c r="K1156">
        <v>0</v>
      </c>
      <c r="L1156">
        <v>27.077579700000001</v>
      </c>
      <c r="M1156">
        <v>89.175405499999997</v>
      </c>
      <c r="N1156">
        <v>0</v>
      </c>
      <c r="O1156">
        <v>48.775345999999999</v>
      </c>
      <c r="P1156">
        <v>0</v>
      </c>
    </row>
    <row r="1157" spans="1:16" x14ac:dyDescent="0.25">
      <c r="A1157" t="s">
        <v>353</v>
      </c>
    </row>
    <row r="1158" spans="1:16" x14ac:dyDescent="0.25">
      <c r="A1158" t="s">
        <v>360</v>
      </c>
      <c r="B1158" t="s">
        <v>18</v>
      </c>
      <c r="C1158" t="s">
        <v>19</v>
      </c>
      <c r="D1158" t="s">
        <v>20</v>
      </c>
      <c r="E1158" t="s">
        <v>21</v>
      </c>
      <c r="F1158" t="s">
        <v>22</v>
      </c>
      <c r="G1158" t="s">
        <v>23</v>
      </c>
      <c r="H1158" t="s">
        <v>361</v>
      </c>
      <c r="I1158" t="s">
        <v>25</v>
      </c>
      <c r="J1158" t="s">
        <v>362</v>
      </c>
      <c r="K1158" t="s">
        <v>5</v>
      </c>
      <c r="L1158" t="s">
        <v>6</v>
      </c>
      <c r="M1158" t="s">
        <v>7</v>
      </c>
      <c r="N1158" t="s">
        <v>8</v>
      </c>
      <c r="O1158" t="s">
        <v>9</v>
      </c>
      <c r="P1158" t="s">
        <v>363</v>
      </c>
    </row>
    <row r="1159" spans="1:16" x14ac:dyDescent="0.25">
      <c r="A1159" t="s">
        <v>364</v>
      </c>
      <c r="B1159" t="s">
        <v>370</v>
      </c>
      <c r="C1159" t="s">
        <v>370</v>
      </c>
      <c r="D1159" t="s">
        <v>370</v>
      </c>
      <c r="E1159" t="s">
        <v>370</v>
      </c>
      <c r="F1159" t="s">
        <v>370</v>
      </c>
      <c r="G1159" t="s">
        <v>370</v>
      </c>
      <c r="H1159" t="s">
        <v>370</v>
      </c>
      <c r="I1159" t="s">
        <v>370</v>
      </c>
      <c r="J1159" t="s">
        <v>370</v>
      </c>
      <c r="K1159" t="s">
        <v>370</v>
      </c>
      <c r="L1159" t="s">
        <v>370</v>
      </c>
      <c r="M1159" t="s">
        <v>370</v>
      </c>
      <c r="N1159" t="s">
        <v>370</v>
      </c>
      <c r="O1159" t="s">
        <v>370</v>
      </c>
      <c r="P1159" t="s">
        <v>370</v>
      </c>
    </row>
    <row r="1160" spans="1:16" x14ac:dyDescent="0.25">
      <c r="A1160" t="s">
        <v>1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</row>
    <row r="1161" spans="1:16" x14ac:dyDescent="0.25">
      <c r="A1161" t="s">
        <v>2</v>
      </c>
      <c r="B1161">
        <v>50.8156119</v>
      </c>
      <c r="C1161">
        <v>0</v>
      </c>
      <c r="D1161">
        <v>50.8156119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19.0518772</v>
      </c>
      <c r="L1161">
        <v>7.9365248700000004</v>
      </c>
      <c r="M1161">
        <v>0</v>
      </c>
      <c r="N1161">
        <v>0</v>
      </c>
      <c r="O1161">
        <v>23.827209799999999</v>
      </c>
      <c r="P1161">
        <v>0</v>
      </c>
    </row>
    <row r="1162" spans="1:16" x14ac:dyDescent="0.25">
      <c r="A1162" t="s">
        <v>3</v>
      </c>
      <c r="B1162">
        <v>398.611447</v>
      </c>
      <c r="C1162">
        <v>0</v>
      </c>
      <c r="D1162">
        <v>398.611447</v>
      </c>
      <c r="E1162">
        <v>241.02444</v>
      </c>
      <c r="F1162">
        <v>10.3023785</v>
      </c>
      <c r="G1162">
        <v>57.280416700000004</v>
      </c>
      <c r="H1162">
        <v>4.1636556599999999</v>
      </c>
      <c r="I1162">
        <v>73.716553599999997</v>
      </c>
      <c r="J1162">
        <v>0</v>
      </c>
      <c r="K1162">
        <v>5.1491559999999996</v>
      </c>
      <c r="L1162">
        <v>2.14500672</v>
      </c>
      <c r="M1162">
        <v>0</v>
      </c>
      <c r="N1162">
        <v>0</v>
      </c>
      <c r="O1162">
        <v>4.8298398300000001</v>
      </c>
      <c r="P1162">
        <v>0</v>
      </c>
    </row>
    <row r="1163" spans="1:16" x14ac:dyDescent="0.25">
      <c r="A1163" t="s">
        <v>4</v>
      </c>
      <c r="B1163">
        <v>268.92783200000002</v>
      </c>
      <c r="C1163">
        <v>0</v>
      </c>
      <c r="D1163">
        <v>268.92783200000002</v>
      </c>
      <c r="E1163">
        <v>76.107696099999998</v>
      </c>
      <c r="F1163">
        <v>25.4045691</v>
      </c>
      <c r="G1163">
        <v>122.40488999999999</v>
      </c>
      <c r="H1163">
        <v>13.064354399999999</v>
      </c>
      <c r="I1163">
        <v>24.932872199999998</v>
      </c>
      <c r="J1163">
        <v>0</v>
      </c>
      <c r="K1163">
        <v>0</v>
      </c>
      <c r="L1163">
        <v>0</v>
      </c>
      <c r="M1163">
        <v>12.970252500000001</v>
      </c>
      <c r="N1163">
        <v>0</v>
      </c>
      <c r="O1163">
        <v>-5.9568024599999996</v>
      </c>
      <c r="P1163">
        <v>0</v>
      </c>
    </row>
    <row r="1164" spans="1:16" x14ac:dyDescent="0.25">
      <c r="A1164" t="s">
        <v>5</v>
      </c>
      <c r="B1164">
        <v>19.0518772</v>
      </c>
      <c r="C1164">
        <v>24.201033200000001</v>
      </c>
      <c r="D1164">
        <v>-5.1491559999999996</v>
      </c>
      <c r="E1164">
        <v>8.4367121399999991</v>
      </c>
      <c r="F1164">
        <v>1.7299202899999999</v>
      </c>
      <c r="G1164">
        <v>3.5367836399999999</v>
      </c>
      <c r="H1164">
        <v>0.11775397</v>
      </c>
      <c r="I1164">
        <v>5.2307071699999996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25">
      <c r="A1165" t="s">
        <v>6</v>
      </c>
      <c r="B1165">
        <v>7.9365248700000004</v>
      </c>
      <c r="C1165">
        <v>10.0815316</v>
      </c>
      <c r="D1165">
        <v>-2.14500672</v>
      </c>
      <c r="E1165">
        <v>1.3788877799999999</v>
      </c>
      <c r="F1165">
        <v>8.4610022500000007E-2</v>
      </c>
      <c r="G1165">
        <v>5.7065233199999996</v>
      </c>
      <c r="H1165">
        <v>4.5937026200000002E-2</v>
      </c>
      <c r="I1165">
        <v>0.72056671800000005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</row>
    <row r="1166" spans="1:16" x14ac:dyDescent="0.25">
      <c r="A1166" t="s">
        <v>7</v>
      </c>
      <c r="B1166">
        <v>34.673233699999997</v>
      </c>
      <c r="C1166">
        <v>12.970252500000001</v>
      </c>
      <c r="D1166">
        <v>21.7029812</v>
      </c>
      <c r="E1166">
        <v>4.1083143900000001E-2</v>
      </c>
      <c r="F1166">
        <v>29.090602700000002</v>
      </c>
      <c r="G1166">
        <v>5.5408859499999998</v>
      </c>
      <c r="H1166">
        <v>6.6193233800000001E-4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</row>
    <row r="1167" spans="1:16" x14ac:dyDescent="0.25">
      <c r="A1167" t="s">
        <v>8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</row>
    <row r="1168" spans="1:16" x14ac:dyDescent="0.25">
      <c r="A1168" t="s">
        <v>9</v>
      </c>
      <c r="B1168">
        <v>17.870407400000001</v>
      </c>
      <c r="C1168">
        <v>22.7002472</v>
      </c>
      <c r="D1168">
        <v>-4.8298398300000001</v>
      </c>
      <c r="E1168">
        <v>2.8760755499999999</v>
      </c>
      <c r="F1168">
        <v>0.31280500999999999</v>
      </c>
      <c r="G1168">
        <v>14.450480000000001</v>
      </c>
      <c r="H1168">
        <v>0.18519612199999999</v>
      </c>
      <c r="I1168">
        <v>4.5850683199999999E-2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</row>
    <row r="1169" spans="1:16" x14ac:dyDescent="0.25">
      <c r="A1169" t="s">
        <v>10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</row>
    <row r="1170" spans="1:16" x14ac:dyDescent="0.25">
      <c r="A1170" t="s">
        <v>11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</row>
    <row r="1171" spans="1:16" x14ac:dyDescent="0.25">
      <c r="A1171" t="s">
        <v>12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25">
      <c r="A1172" t="s">
        <v>13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</row>
    <row r="1173" spans="1:16" x14ac:dyDescent="0.25">
      <c r="A1173" t="s">
        <v>14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</row>
    <row r="1174" spans="1:16" x14ac:dyDescent="0.25">
      <c r="A1174" t="s">
        <v>354</v>
      </c>
    </row>
    <row r="1175" spans="1:16" x14ac:dyDescent="0.25">
      <c r="A1175" t="s">
        <v>360</v>
      </c>
      <c r="B1175" t="s">
        <v>18</v>
      </c>
      <c r="C1175" t="s">
        <v>19</v>
      </c>
      <c r="D1175" t="s">
        <v>20</v>
      </c>
      <c r="E1175" t="s">
        <v>21</v>
      </c>
      <c r="F1175" t="s">
        <v>22</v>
      </c>
      <c r="G1175" t="s">
        <v>23</v>
      </c>
      <c r="H1175" t="s">
        <v>361</v>
      </c>
      <c r="I1175" t="s">
        <v>25</v>
      </c>
      <c r="J1175" t="s">
        <v>362</v>
      </c>
      <c r="K1175" t="s">
        <v>5</v>
      </c>
      <c r="L1175" t="s">
        <v>6</v>
      </c>
      <c r="M1175" t="s">
        <v>7</v>
      </c>
      <c r="N1175" t="s">
        <v>8</v>
      </c>
      <c r="O1175" t="s">
        <v>9</v>
      </c>
      <c r="P1175" t="s">
        <v>363</v>
      </c>
    </row>
    <row r="1176" spans="1:16" x14ac:dyDescent="0.25">
      <c r="A1176" t="s">
        <v>364</v>
      </c>
      <c r="B1176" t="s">
        <v>365</v>
      </c>
      <c r="C1176" t="s">
        <v>365</v>
      </c>
      <c r="D1176" t="s">
        <v>365</v>
      </c>
      <c r="E1176" t="s">
        <v>365</v>
      </c>
      <c r="F1176" t="s">
        <v>365</v>
      </c>
      <c r="G1176" t="s">
        <v>365</v>
      </c>
      <c r="H1176" t="s">
        <v>365</v>
      </c>
      <c r="I1176" t="s">
        <v>365</v>
      </c>
      <c r="J1176" t="s">
        <v>365</v>
      </c>
      <c r="K1176" t="s">
        <v>365</v>
      </c>
      <c r="L1176" t="s">
        <v>365</v>
      </c>
      <c r="M1176" t="s">
        <v>365</v>
      </c>
      <c r="N1176" t="s">
        <v>365</v>
      </c>
      <c r="O1176" t="s">
        <v>365</v>
      </c>
      <c r="P1176" t="s">
        <v>365</v>
      </c>
    </row>
    <row r="1177" spans="1:16" x14ac:dyDescent="0.25">
      <c r="A1177" t="s">
        <v>1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</row>
    <row r="1178" spans="1:16" x14ac:dyDescent="0.25">
      <c r="A1178" t="s">
        <v>2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</row>
    <row r="1179" spans="1:16" x14ac:dyDescent="0.25">
      <c r="A1179" t="s">
        <v>3</v>
      </c>
      <c r="B1179">
        <v>15816.963100000001</v>
      </c>
      <c r="C1179">
        <v>0</v>
      </c>
      <c r="D1179">
        <v>15816.963100000001</v>
      </c>
      <c r="E1179">
        <v>10575.552799999999</v>
      </c>
      <c r="F1179">
        <v>232.29504700000001</v>
      </c>
      <c r="G1179">
        <v>1991.3233299999999</v>
      </c>
      <c r="H1179">
        <v>234.73283499999999</v>
      </c>
      <c r="I1179">
        <v>1621.20436</v>
      </c>
      <c r="J1179">
        <v>0</v>
      </c>
      <c r="K1179">
        <v>245.51231000000001</v>
      </c>
      <c r="L1179">
        <v>703.31656899999996</v>
      </c>
      <c r="M1179">
        <v>0</v>
      </c>
      <c r="N1179">
        <v>0</v>
      </c>
      <c r="O1179">
        <v>213.02587199999999</v>
      </c>
      <c r="P1179">
        <v>0</v>
      </c>
    </row>
    <row r="1180" spans="1:16" x14ac:dyDescent="0.25">
      <c r="A1180" t="s">
        <v>4</v>
      </c>
      <c r="B1180">
        <v>3771.7800999999999</v>
      </c>
      <c r="C1180">
        <v>0</v>
      </c>
      <c r="D1180">
        <v>3771.7800999999999</v>
      </c>
      <c r="E1180">
        <v>969.99666999999999</v>
      </c>
      <c r="F1180">
        <v>492.27439600000002</v>
      </c>
      <c r="G1180">
        <v>1610.0250000000001</v>
      </c>
      <c r="H1180">
        <v>234.03259299999999</v>
      </c>
      <c r="I1180">
        <v>329.321687</v>
      </c>
      <c r="J1180">
        <v>0</v>
      </c>
      <c r="K1180">
        <v>0</v>
      </c>
      <c r="L1180">
        <v>0</v>
      </c>
      <c r="M1180">
        <v>204.689953</v>
      </c>
      <c r="N1180">
        <v>0</v>
      </c>
      <c r="O1180">
        <v>-68.560195100000001</v>
      </c>
      <c r="P1180">
        <v>0</v>
      </c>
    </row>
    <row r="1181" spans="1:16" x14ac:dyDescent="0.25">
      <c r="A1181" t="s">
        <v>5</v>
      </c>
      <c r="B1181">
        <v>245.51231000000001</v>
      </c>
      <c r="C1181">
        <v>245.51231000000001</v>
      </c>
      <c r="D1181" s="74">
        <v>-2.8421709399999999E-14</v>
      </c>
      <c r="E1181">
        <v>107.52229699999999</v>
      </c>
      <c r="F1181">
        <v>26.159126000000001</v>
      </c>
      <c r="G1181">
        <v>40.485858</v>
      </c>
      <c r="H1181">
        <v>1.89830152</v>
      </c>
      <c r="I1181">
        <v>69.446727800000005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</row>
    <row r="1182" spans="1:16" x14ac:dyDescent="0.25">
      <c r="A1182" t="s">
        <v>6</v>
      </c>
      <c r="B1182">
        <v>703.31656899999996</v>
      </c>
      <c r="C1182">
        <v>703.31656899999996</v>
      </c>
      <c r="D1182">
        <v>0</v>
      </c>
      <c r="E1182">
        <v>44.059102600000003</v>
      </c>
      <c r="F1182">
        <v>5.7963099099999997</v>
      </c>
      <c r="G1182">
        <v>85.154646099999994</v>
      </c>
      <c r="H1182">
        <v>7.4246142400000004</v>
      </c>
      <c r="I1182">
        <v>560.88189599999998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</row>
    <row r="1183" spans="1:16" x14ac:dyDescent="0.25">
      <c r="A1183" t="s">
        <v>7</v>
      </c>
      <c r="B1183">
        <v>204.689953</v>
      </c>
      <c r="C1183">
        <v>204.689953</v>
      </c>
      <c r="D1183">
        <v>0</v>
      </c>
      <c r="E1183">
        <v>22.241523699999998</v>
      </c>
      <c r="F1183">
        <v>150.88180800000001</v>
      </c>
      <c r="G1183">
        <v>30.8078574</v>
      </c>
      <c r="H1183">
        <v>0.75876358799999999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</row>
    <row r="1184" spans="1:16" x14ac:dyDescent="0.25">
      <c r="A1184" t="s">
        <v>8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</row>
    <row r="1185" spans="1:16" x14ac:dyDescent="0.25">
      <c r="A1185" t="s">
        <v>9</v>
      </c>
      <c r="B1185">
        <v>144.465677</v>
      </c>
      <c r="C1185">
        <v>144.465677</v>
      </c>
      <c r="D1185">
        <v>0</v>
      </c>
      <c r="E1185">
        <v>23.416311499999999</v>
      </c>
      <c r="F1185">
        <v>4.0961246899999999</v>
      </c>
      <c r="G1185">
        <v>113.23476700000001</v>
      </c>
      <c r="H1185">
        <v>3.3052957300000001</v>
      </c>
      <c r="I1185">
        <v>0.41317824199999997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</row>
    <row r="1186" spans="1:16" x14ac:dyDescent="0.25">
      <c r="A1186" t="s">
        <v>10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</row>
    <row r="1187" spans="1:16" x14ac:dyDescent="0.25">
      <c r="A1187" t="s">
        <v>11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</row>
    <row r="1188" spans="1:16" x14ac:dyDescent="0.25">
      <c r="A1188" t="s">
        <v>12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</row>
    <row r="1189" spans="1:16" x14ac:dyDescent="0.25">
      <c r="A1189" t="s">
        <v>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</row>
    <row r="1190" spans="1:16" x14ac:dyDescent="0.25">
      <c r="A1190" t="s">
        <v>14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</row>
    <row r="1191" spans="1:16" x14ac:dyDescent="0.25">
      <c r="A1191" t="s">
        <v>355</v>
      </c>
    </row>
    <row r="1192" spans="1:16" x14ac:dyDescent="0.25">
      <c r="A1192" t="s">
        <v>360</v>
      </c>
      <c r="B1192" t="s">
        <v>366</v>
      </c>
      <c r="C1192" t="s">
        <v>367</v>
      </c>
      <c r="D1192" t="s">
        <v>368</v>
      </c>
      <c r="E1192" t="s">
        <v>21</v>
      </c>
      <c r="F1192" t="s">
        <v>22</v>
      </c>
      <c r="G1192" t="s">
        <v>23</v>
      </c>
      <c r="H1192" t="s">
        <v>361</v>
      </c>
      <c r="I1192" t="s">
        <v>25</v>
      </c>
      <c r="J1192" t="s">
        <v>362</v>
      </c>
      <c r="K1192" t="s">
        <v>5</v>
      </c>
      <c r="L1192" t="s">
        <v>6</v>
      </c>
      <c r="M1192" t="s">
        <v>7</v>
      </c>
      <c r="N1192" t="s">
        <v>8</v>
      </c>
      <c r="O1192" t="s">
        <v>9</v>
      </c>
      <c r="P1192" t="s">
        <v>363</v>
      </c>
    </row>
    <row r="1193" spans="1:16" x14ac:dyDescent="0.25">
      <c r="A1193" t="s">
        <v>364</v>
      </c>
      <c r="B1193" t="s">
        <v>369</v>
      </c>
      <c r="C1193" t="s">
        <v>369</v>
      </c>
      <c r="D1193" t="s">
        <v>369</v>
      </c>
      <c r="E1193" t="s">
        <v>369</v>
      </c>
      <c r="F1193" t="s">
        <v>369</v>
      </c>
      <c r="G1193" t="s">
        <v>369</v>
      </c>
      <c r="H1193" t="s">
        <v>369</v>
      </c>
      <c r="I1193" t="s">
        <v>369</v>
      </c>
      <c r="J1193" t="s">
        <v>369</v>
      </c>
      <c r="K1193" t="s">
        <v>369</v>
      </c>
      <c r="L1193" t="s">
        <v>369</v>
      </c>
      <c r="M1193" t="s">
        <v>369</v>
      </c>
      <c r="N1193" t="s">
        <v>369</v>
      </c>
      <c r="O1193" t="s">
        <v>369</v>
      </c>
      <c r="P1193" t="s">
        <v>369</v>
      </c>
    </row>
    <row r="1194" spans="1:16" x14ac:dyDescent="0.25">
      <c r="A1194" t="s">
        <v>1</v>
      </c>
      <c r="B1194">
        <v>2717.8123700000001</v>
      </c>
      <c r="C1194">
        <v>0</v>
      </c>
      <c r="D1194">
        <v>2717.8123700000001</v>
      </c>
      <c r="E1194">
        <v>978.92459899999994</v>
      </c>
      <c r="F1194">
        <v>0</v>
      </c>
      <c r="G1194">
        <v>392.63424700000002</v>
      </c>
      <c r="H1194">
        <v>0</v>
      </c>
      <c r="I1194">
        <v>0</v>
      </c>
      <c r="J1194">
        <v>0</v>
      </c>
      <c r="K1194">
        <v>0</v>
      </c>
      <c r="L1194">
        <v>457.851384</v>
      </c>
      <c r="M1194">
        <v>695.84467900000004</v>
      </c>
      <c r="N1194">
        <v>0</v>
      </c>
      <c r="O1194">
        <v>192.55746400000001</v>
      </c>
      <c r="P1194">
        <v>0</v>
      </c>
    </row>
    <row r="1195" spans="1:16" x14ac:dyDescent="0.25">
      <c r="A1195" t="s">
        <v>2</v>
      </c>
      <c r="B1195">
        <v>743.92311700000005</v>
      </c>
      <c r="C1195">
        <v>0</v>
      </c>
      <c r="D1195">
        <v>743.92311700000005</v>
      </c>
      <c r="E1195">
        <v>0</v>
      </c>
      <c r="F1195">
        <v>229.71944099999999</v>
      </c>
      <c r="G1195">
        <v>107.170652</v>
      </c>
      <c r="H1195">
        <v>0</v>
      </c>
      <c r="I1195">
        <v>0</v>
      </c>
      <c r="J1195">
        <v>0</v>
      </c>
      <c r="K1195">
        <v>232.071335</v>
      </c>
      <c r="L1195">
        <v>7.0282803599999999E-3</v>
      </c>
      <c r="M1195">
        <v>0</v>
      </c>
      <c r="N1195">
        <v>0</v>
      </c>
      <c r="O1195">
        <v>174.95465999999999</v>
      </c>
      <c r="P1195">
        <v>0</v>
      </c>
    </row>
    <row r="1196" spans="1:16" x14ac:dyDescent="0.25">
      <c r="A1196" t="s">
        <v>3</v>
      </c>
      <c r="B1196">
        <v>5798.3770100000002</v>
      </c>
      <c r="C1196">
        <v>0</v>
      </c>
      <c r="D1196">
        <v>5798.3770100000002</v>
      </c>
      <c r="E1196">
        <v>2992.5098899999998</v>
      </c>
      <c r="F1196">
        <v>93.763615599999994</v>
      </c>
      <c r="G1196">
        <v>615.45295799999997</v>
      </c>
      <c r="H1196">
        <v>115.229117</v>
      </c>
      <c r="I1196">
        <v>258.368922</v>
      </c>
      <c r="J1196">
        <v>0</v>
      </c>
      <c r="K1196">
        <v>42.376750700000002</v>
      </c>
      <c r="L1196">
        <v>121.396238</v>
      </c>
      <c r="M1196">
        <v>0</v>
      </c>
      <c r="N1196">
        <v>0</v>
      </c>
      <c r="O1196">
        <v>36.769416100000001</v>
      </c>
      <c r="P1196">
        <v>1522.5101</v>
      </c>
    </row>
    <row r="1197" spans="1:16" x14ac:dyDescent="0.25">
      <c r="A1197" t="s">
        <v>4</v>
      </c>
      <c r="B1197">
        <v>11703.938899999999</v>
      </c>
      <c r="C1197">
        <v>0</v>
      </c>
      <c r="D1197">
        <v>11703.938899999999</v>
      </c>
      <c r="E1197">
        <v>3666.5281500000001</v>
      </c>
      <c r="F1197">
        <v>1615.23137</v>
      </c>
      <c r="G1197">
        <v>4087.64023</v>
      </c>
      <c r="H1197">
        <v>609.40810899999997</v>
      </c>
      <c r="I1197">
        <v>609.47020899999995</v>
      </c>
      <c r="J1197">
        <v>0</v>
      </c>
      <c r="K1197">
        <v>0</v>
      </c>
      <c r="L1197">
        <v>0</v>
      </c>
      <c r="M1197">
        <v>470.56419199999999</v>
      </c>
      <c r="N1197">
        <v>0</v>
      </c>
      <c r="O1197">
        <v>-126.88322100000001</v>
      </c>
      <c r="P1197">
        <v>771.97990100000004</v>
      </c>
    </row>
    <row r="1198" spans="1:16" x14ac:dyDescent="0.25">
      <c r="A1198" t="s">
        <v>5</v>
      </c>
      <c r="B1198">
        <v>664.71148000000005</v>
      </c>
      <c r="C1198">
        <v>616.771163</v>
      </c>
      <c r="D1198">
        <v>47.940317899999997</v>
      </c>
      <c r="E1198">
        <v>313.00869599999999</v>
      </c>
      <c r="F1198">
        <v>78.502778800000002</v>
      </c>
      <c r="G1198">
        <v>142.034841</v>
      </c>
      <c r="H1198">
        <v>10.0938941</v>
      </c>
      <c r="I1198">
        <v>121.07127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</row>
    <row r="1199" spans="1:16" x14ac:dyDescent="0.25">
      <c r="A1199" t="s">
        <v>6</v>
      </c>
      <c r="B1199">
        <v>1459.79519</v>
      </c>
      <c r="C1199">
        <v>1252.5658100000001</v>
      </c>
      <c r="D1199">
        <v>207.229378</v>
      </c>
      <c r="E1199">
        <v>131.117425</v>
      </c>
      <c r="F1199">
        <v>23.1765908</v>
      </c>
      <c r="G1199">
        <v>288.70468299999999</v>
      </c>
      <c r="H1199">
        <v>38.972392999999997</v>
      </c>
      <c r="I1199">
        <v>977.82409399999995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</row>
    <row r="1200" spans="1:16" x14ac:dyDescent="0.25">
      <c r="A1200" t="s">
        <v>7</v>
      </c>
      <c r="B1200">
        <v>2522.2852600000001</v>
      </c>
      <c r="C1200">
        <v>1720.4578100000001</v>
      </c>
      <c r="D1200">
        <v>801.82745399999999</v>
      </c>
      <c r="E1200">
        <v>280.69094799999999</v>
      </c>
      <c r="F1200">
        <v>1859.3343199999999</v>
      </c>
      <c r="G1200">
        <v>371.33924999999999</v>
      </c>
      <c r="H1200">
        <v>10.920738399999999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</row>
    <row r="1201" spans="1:16" x14ac:dyDescent="0.25">
      <c r="A1201" t="s">
        <v>8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</row>
    <row r="1202" spans="1:16" x14ac:dyDescent="0.25">
      <c r="A1202" t="s">
        <v>9</v>
      </c>
      <c r="B1202">
        <v>735.18894299999999</v>
      </c>
      <c r="C1202">
        <v>707.73006499999997</v>
      </c>
      <c r="D1202">
        <v>27.4588781</v>
      </c>
      <c r="E1202">
        <v>104.365469</v>
      </c>
      <c r="F1202">
        <v>22.3024263</v>
      </c>
      <c r="G1202">
        <v>582.0847</v>
      </c>
      <c r="H1202">
        <v>25.374177</v>
      </c>
      <c r="I1202">
        <v>1.0621709800000001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</row>
    <row r="1203" spans="1:16" x14ac:dyDescent="0.25">
      <c r="A1203" t="s">
        <v>10</v>
      </c>
      <c r="B1203">
        <v>459.63719500000002</v>
      </c>
      <c r="C1203">
        <v>0</v>
      </c>
      <c r="D1203">
        <v>459.63719500000002</v>
      </c>
      <c r="E1203">
        <v>-75.40925</v>
      </c>
      <c r="F1203">
        <v>-205.243844</v>
      </c>
      <c r="G1203">
        <v>59.578241599999998</v>
      </c>
      <c r="H1203">
        <v>0</v>
      </c>
      <c r="I1203">
        <v>0</v>
      </c>
      <c r="J1203">
        <v>0</v>
      </c>
      <c r="K1203">
        <v>197.42875900000001</v>
      </c>
      <c r="L1203">
        <v>213.04177899999999</v>
      </c>
      <c r="M1203">
        <v>6.3089680499999998</v>
      </c>
      <c r="N1203">
        <v>0</v>
      </c>
      <c r="O1203">
        <v>263.93254100000001</v>
      </c>
      <c r="P1203">
        <v>0</v>
      </c>
    </row>
    <row r="1204" spans="1:16" x14ac:dyDescent="0.25">
      <c r="A1204" t="s">
        <v>11</v>
      </c>
      <c r="B1204">
        <v>355.35702199999997</v>
      </c>
      <c r="C1204">
        <v>0</v>
      </c>
      <c r="D1204">
        <v>355.35702199999997</v>
      </c>
      <c r="E1204">
        <v>89.756402100000003</v>
      </c>
      <c r="F1204">
        <v>45.551474599999999</v>
      </c>
      <c r="G1204">
        <v>148.97994600000001</v>
      </c>
      <c r="H1204">
        <v>21.655665599999999</v>
      </c>
      <c r="I1204">
        <v>30.473021899999999</v>
      </c>
      <c r="J1204">
        <v>0</v>
      </c>
      <c r="K1204">
        <v>0</v>
      </c>
      <c r="L1204">
        <v>0</v>
      </c>
      <c r="M1204">
        <v>18.940512099999999</v>
      </c>
      <c r="N1204">
        <v>0</v>
      </c>
      <c r="O1204">
        <v>0</v>
      </c>
      <c r="P1204">
        <v>0</v>
      </c>
    </row>
    <row r="1205" spans="1:16" x14ac:dyDescent="0.25">
      <c r="A1205" t="s">
        <v>12</v>
      </c>
      <c r="B1205">
        <v>15406.404500000001</v>
      </c>
      <c r="C1205">
        <v>2294.4899999999998</v>
      </c>
      <c r="D1205">
        <v>13111.914500000001</v>
      </c>
      <c r="E1205">
        <v>7045.6581999999999</v>
      </c>
      <c r="F1205">
        <v>1442.5395900000001</v>
      </c>
      <c r="G1205">
        <v>4046.2142699999999</v>
      </c>
      <c r="H1205">
        <v>630.83067800000003</v>
      </c>
      <c r="I1205">
        <v>1429.27511</v>
      </c>
      <c r="J1205">
        <v>0</v>
      </c>
      <c r="K1205">
        <v>108.417779</v>
      </c>
      <c r="L1205">
        <v>310.58328799999998</v>
      </c>
      <c r="M1205">
        <v>298.81372800000003</v>
      </c>
      <c r="N1205">
        <v>0</v>
      </c>
      <c r="O1205">
        <v>94.0718289</v>
      </c>
      <c r="P1205">
        <v>0</v>
      </c>
    </row>
    <row r="1206" spans="1:16" x14ac:dyDescent="0.25">
      <c r="A1206" t="s">
        <v>13</v>
      </c>
      <c r="B1206">
        <v>4555.3680100000001</v>
      </c>
      <c r="C1206">
        <v>0</v>
      </c>
      <c r="D1206">
        <v>4555.3680100000001</v>
      </c>
      <c r="E1206">
        <v>3203.1182100000001</v>
      </c>
      <c r="F1206">
        <v>1162.9436900000001</v>
      </c>
      <c r="G1206">
        <v>0</v>
      </c>
      <c r="H1206">
        <v>0</v>
      </c>
      <c r="I1206">
        <v>0</v>
      </c>
      <c r="J1206">
        <v>0</v>
      </c>
      <c r="K1206">
        <v>36.476538099999999</v>
      </c>
      <c r="L1206">
        <v>21.591346699999999</v>
      </c>
      <c r="M1206">
        <v>107.789933</v>
      </c>
      <c r="N1206">
        <v>0</v>
      </c>
      <c r="O1206">
        <v>23.448294000000001</v>
      </c>
      <c r="P1206">
        <v>0</v>
      </c>
    </row>
    <row r="1207" spans="1:16" x14ac:dyDescent="0.25">
      <c r="A1207" t="s">
        <v>14</v>
      </c>
      <c r="B1207">
        <v>921.495813</v>
      </c>
      <c r="C1207">
        <v>0</v>
      </c>
      <c r="D1207">
        <v>921.495813</v>
      </c>
      <c r="E1207">
        <v>214.43752900000001</v>
      </c>
      <c r="F1207">
        <v>123.51267</v>
      </c>
      <c r="G1207">
        <v>265.32290499999999</v>
      </c>
      <c r="H1207">
        <v>19.0530878</v>
      </c>
      <c r="I1207" s="74">
        <v>4.1723251299999997E-12</v>
      </c>
      <c r="J1207">
        <v>0</v>
      </c>
      <c r="K1207">
        <v>0</v>
      </c>
      <c r="L1207">
        <v>128.09474399999999</v>
      </c>
      <c r="M1207">
        <v>122.195795</v>
      </c>
      <c r="N1207">
        <v>0</v>
      </c>
      <c r="O1207">
        <v>48.879082799999999</v>
      </c>
      <c r="P1207">
        <v>0</v>
      </c>
    </row>
    <row r="1208" spans="1:16" x14ac:dyDescent="0.25">
      <c r="A1208" t="s">
        <v>356</v>
      </c>
    </row>
    <row r="1209" spans="1:16" x14ac:dyDescent="0.25">
      <c r="A1209" t="s">
        <v>360</v>
      </c>
      <c r="B1209" t="s">
        <v>18</v>
      </c>
      <c r="C1209" t="s">
        <v>19</v>
      </c>
      <c r="D1209" t="s">
        <v>20</v>
      </c>
      <c r="E1209" t="s">
        <v>21</v>
      </c>
      <c r="F1209" t="s">
        <v>22</v>
      </c>
      <c r="G1209" t="s">
        <v>23</v>
      </c>
      <c r="H1209" t="s">
        <v>361</v>
      </c>
      <c r="I1209" t="s">
        <v>25</v>
      </c>
      <c r="J1209" t="s">
        <v>362</v>
      </c>
      <c r="K1209" t="s">
        <v>5</v>
      </c>
      <c r="L1209" t="s">
        <v>6</v>
      </c>
      <c r="M1209" t="s">
        <v>7</v>
      </c>
      <c r="N1209" t="s">
        <v>8</v>
      </c>
      <c r="O1209" t="s">
        <v>9</v>
      </c>
      <c r="P1209" t="s">
        <v>363</v>
      </c>
    </row>
    <row r="1210" spans="1:16" x14ac:dyDescent="0.25">
      <c r="A1210" t="s">
        <v>364</v>
      </c>
      <c r="B1210" t="s">
        <v>370</v>
      </c>
      <c r="C1210" t="s">
        <v>370</v>
      </c>
      <c r="D1210" t="s">
        <v>370</v>
      </c>
      <c r="E1210" t="s">
        <v>370</v>
      </c>
      <c r="F1210" t="s">
        <v>370</v>
      </c>
      <c r="G1210" t="s">
        <v>370</v>
      </c>
      <c r="H1210" t="s">
        <v>370</v>
      </c>
      <c r="I1210" t="s">
        <v>370</v>
      </c>
      <c r="J1210" t="s">
        <v>370</v>
      </c>
      <c r="K1210" t="s">
        <v>370</v>
      </c>
      <c r="L1210" t="s">
        <v>370</v>
      </c>
      <c r="M1210" t="s">
        <v>370</v>
      </c>
      <c r="N1210" t="s">
        <v>370</v>
      </c>
      <c r="O1210" t="s">
        <v>370</v>
      </c>
      <c r="P1210" t="s">
        <v>370</v>
      </c>
    </row>
    <row r="1211" spans="1:16" x14ac:dyDescent="0.25">
      <c r="A1211" t="s">
        <v>1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</row>
    <row r="1212" spans="1:16" x14ac:dyDescent="0.25">
      <c r="A1212" t="s">
        <v>2</v>
      </c>
      <c r="B1212">
        <v>90.121389199999996</v>
      </c>
      <c r="C1212">
        <v>0</v>
      </c>
      <c r="D1212">
        <v>90.121389199999996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17.946766</v>
      </c>
      <c r="L1212">
        <v>51.411914299999999</v>
      </c>
      <c r="M1212">
        <v>0</v>
      </c>
      <c r="N1212">
        <v>0</v>
      </c>
      <c r="O1212">
        <v>20.7627089</v>
      </c>
      <c r="P1212">
        <v>0</v>
      </c>
    </row>
    <row r="1213" spans="1:16" x14ac:dyDescent="0.25">
      <c r="A1213" t="s">
        <v>3</v>
      </c>
      <c r="B1213">
        <v>312.48869000000002</v>
      </c>
      <c r="C1213">
        <v>0</v>
      </c>
      <c r="D1213">
        <v>312.48869000000002</v>
      </c>
      <c r="E1213">
        <v>208.93648300000001</v>
      </c>
      <c r="F1213">
        <v>4.5893497099999996</v>
      </c>
      <c r="G1213">
        <v>39.341687499999999</v>
      </c>
      <c r="H1213">
        <v>4.63751201</v>
      </c>
      <c r="I1213">
        <v>32.029412000000001</v>
      </c>
      <c r="J1213">
        <v>0</v>
      </c>
      <c r="K1213">
        <v>4.8504772899999997</v>
      </c>
      <c r="L1213">
        <v>13.895111999999999</v>
      </c>
      <c r="M1213">
        <v>0</v>
      </c>
      <c r="N1213">
        <v>0</v>
      </c>
      <c r="O1213">
        <v>4.2086572200000001</v>
      </c>
      <c r="P1213">
        <v>0</v>
      </c>
    </row>
    <row r="1214" spans="1:16" x14ac:dyDescent="0.25">
      <c r="A1214" t="s">
        <v>4</v>
      </c>
      <c r="B1214">
        <v>285.56063899999998</v>
      </c>
      <c r="C1214">
        <v>0</v>
      </c>
      <c r="D1214">
        <v>285.56063899999998</v>
      </c>
      <c r="E1214">
        <v>73.438233699999998</v>
      </c>
      <c r="F1214">
        <v>37.269985800000001</v>
      </c>
      <c r="G1214">
        <v>121.894637</v>
      </c>
      <c r="H1214">
        <v>17.718555899999998</v>
      </c>
      <c r="I1214">
        <v>24.932872199999998</v>
      </c>
      <c r="J1214">
        <v>0</v>
      </c>
      <c r="K1214">
        <v>0</v>
      </c>
      <c r="L1214">
        <v>0</v>
      </c>
      <c r="M1214">
        <v>15.497031099999999</v>
      </c>
      <c r="N1214">
        <v>0</v>
      </c>
      <c r="O1214">
        <v>-5.1906772300000004</v>
      </c>
      <c r="P1214">
        <v>0</v>
      </c>
    </row>
    <row r="1215" spans="1:16" x14ac:dyDescent="0.25">
      <c r="A1215" t="s">
        <v>5</v>
      </c>
      <c r="B1215">
        <v>17.946766</v>
      </c>
      <c r="C1215">
        <v>22.797243300000002</v>
      </c>
      <c r="D1215">
        <v>-4.8504772899999997</v>
      </c>
      <c r="E1215">
        <v>7.8597993600000002</v>
      </c>
      <c r="F1215">
        <v>1.91221252</v>
      </c>
      <c r="G1215">
        <v>2.9594858899999998</v>
      </c>
      <c r="H1215">
        <v>0.138764419</v>
      </c>
      <c r="I1215">
        <v>5.0765037800000004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</row>
    <row r="1216" spans="1:16" x14ac:dyDescent="0.25">
      <c r="A1216" t="s">
        <v>6</v>
      </c>
      <c r="B1216">
        <v>51.411914299999999</v>
      </c>
      <c r="C1216">
        <v>65.307026300000004</v>
      </c>
      <c r="D1216">
        <v>-13.895111999999999</v>
      </c>
      <c r="E1216">
        <v>3.2206873900000001</v>
      </c>
      <c r="F1216">
        <v>0.42370591299999999</v>
      </c>
      <c r="G1216">
        <v>6.2247408499999999</v>
      </c>
      <c r="H1216">
        <v>0.54273373999999996</v>
      </c>
      <c r="I1216">
        <v>41.000046400000002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</row>
    <row r="1217" spans="1:16" x14ac:dyDescent="0.25">
      <c r="A1217" t="s">
        <v>7</v>
      </c>
      <c r="B1217">
        <v>40.3936578</v>
      </c>
      <c r="C1217">
        <v>15.497031099999999</v>
      </c>
      <c r="D1217">
        <v>24.896626699999999</v>
      </c>
      <c r="E1217">
        <v>4.3891577899999996</v>
      </c>
      <c r="F1217">
        <v>29.7751211</v>
      </c>
      <c r="G1217">
        <v>6.0796440299999999</v>
      </c>
      <c r="H1217">
        <v>0.14973493500000001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</row>
    <row r="1218" spans="1:16" x14ac:dyDescent="0.25">
      <c r="A1218" t="s">
        <v>8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25">
      <c r="A1219" t="s">
        <v>9</v>
      </c>
      <c r="B1219">
        <v>15.5720317</v>
      </c>
      <c r="C1219">
        <v>19.780688900000001</v>
      </c>
      <c r="D1219">
        <v>-4.2086572200000001</v>
      </c>
      <c r="E1219">
        <v>2.5240565899999998</v>
      </c>
      <c r="F1219">
        <v>0.44152344500000001</v>
      </c>
      <c r="G1219">
        <v>12.2056354</v>
      </c>
      <c r="H1219">
        <v>0.35627957399999999</v>
      </c>
      <c r="I1219">
        <v>4.4536701099999999E-2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25">
      <c r="A1220" t="s">
        <v>10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</row>
    <row r="1221" spans="1:16" x14ac:dyDescent="0.25">
      <c r="A1221" t="s">
        <v>11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</row>
    <row r="1222" spans="1:16" x14ac:dyDescent="0.25">
      <c r="A1222" t="s">
        <v>12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</row>
    <row r="1223" spans="1:16" x14ac:dyDescent="0.25">
      <c r="A1223" t="s">
        <v>13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</row>
    <row r="1224" spans="1:16" x14ac:dyDescent="0.25">
      <c r="A1224" t="s">
        <v>14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</row>
    <row r="1225" spans="1:16" x14ac:dyDescent="0.25">
      <c r="A1225" t="s">
        <v>357</v>
      </c>
    </row>
    <row r="1226" spans="1:16" x14ac:dyDescent="0.25">
      <c r="A1226" t="s">
        <v>360</v>
      </c>
      <c r="B1226" t="s">
        <v>18</v>
      </c>
      <c r="C1226" t="s">
        <v>19</v>
      </c>
      <c r="D1226" t="s">
        <v>20</v>
      </c>
      <c r="E1226" t="s">
        <v>21</v>
      </c>
      <c r="F1226" t="s">
        <v>22</v>
      </c>
      <c r="G1226" t="s">
        <v>23</v>
      </c>
      <c r="H1226" t="s">
        <v>361</v>
      </c>
      <c r="I1226" t="s">
        <v>25</v>
      </c>
      <c r="J1226" t="s">
        <v>362</v>
      </c>
      <c r="K1226" t="s">
        <v>5</v>
      </c>
      <c r="L1226" t="s">
        <v>6</v>
      </c>
      <c r="M1226" t="s">
        <v>7</v>
      </c>
      <c r="N1226" t="s">
        <v>8</v>
      </c>
      <c r="O1226" t="s">
        <v>9</v>
      </c>
      <c r="P1226" t="s">
        <v>363</v>
      </c>
    </row>
    <row r="1227" spans="1:16" x14ac:dyDescent="0.25">
      <c r="A1227" t="s">
        <v>364</v>
      </c>
      <c r="B1227" t="s">
        <v>365</v>
      </c>
      <c r="C1227" t="s">
        <v>365</v>
      </c>
      <c r="D1227" t="s">
        <v>365</v>
      </c>
      <c r="E1227" t="s">
        <v>365</v>
      </c>
      <c r="F1227" t="s">
        <v>365</v>
      </c>
      <c r="G1227" t="s">
        <v>365</v>
      </c>
      <c r="H1227" t="s">
        <v>365</v>
      </c>
      <c r="I1227" t="s">
        <v>365</v>
      </c>
      <c r="J1227" t="s">
        <v>365</v>
      </c>
      <c r="K1227" t="s">
        <v>365</v>
      </c>
      <c r="L1227" t="s">
        <v>365</v>
      </c>
      <c r="M1227" t="s">
        <v>365</v>
      </c>
      <c r="N1227" t="s">
        <v>365</v>
      </c>
      <c r="O1227" t="s">
        <v>365</v>
      </c>
      <c r="P1227" t="s">
        <v>365</v>
      </c>
    </row>
    <row r="1228" spans="1:16" x14ac:dyDescent="0.25">
      <c r="A1228" t="s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25">
      <c r="A1229" t="s">
        <v>2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</row>
    <row r="1230" spans="1:16" x14ac:dyDescent="0.25">
      <c r="A1230" t="s">
        <v>3</v>
      </c>
      <c r="B1230">
        <v>12610.2978</v>
      </c>
      <c r="C1230">
        <v>0</v>
      </c>
      <c r="D1230">
        <v>12610.2978</v>
      </c>
      <c r="E1230">
        <v>8184.3411400000005</v>
      </c>
      <c r="F1230">
        <v>28.835715199999999</v>
      </c>
      <c r="G1230">
        <v>1429.7988700000001</v>
      </c>
      <c r="H1230">
        <v>289.57212399999997</v>
      </c>
      <c r="I1230">
        <v>1484.22993</v>
      </c>
      <c r="J1230">
        <v>0</v>
      </c>
      <c r="K1230">
        <v>235.02937399999999</v>
      </c>
      <c r="L1230">
        <v>761.68495099999996</v>
      </c>
      <c r="M1230">
        <v>0</v>
      </c>
      <c r="N1230">
        <v>0</v>
      </c>
      <c r="O1230">
        <v>196.80571599999999</v>
      </c>
      <c r="P1230">
        <v>0</v>
      </c>
    </row>
    <row r="1231" spans="1:16" x14ac:dyDescent="0.25">
      <c r="A1231" t="s">
        <v>4</v>
      </c>
      <c r="B1231">
        <v>3137.0211399999998</v>
      </c>
      <c r="C1231">
        <v>0</v>
      </c>
      <c r="D1231">
        <v>3137.0211399999998</v>
      </c>
      <c r="E1231">
        <v>718.74911099999997</v>
      </c>
      <c r="F1231">
        <v>491.29688599999997</v>
      </c>
      <c r="G1231">
        <v>1238.2197000000001</v>
      </c>
      <c r="H1231">
        <v>266.56286499999999</v>
      </c>
      <c r="I1231">
        <v>252.722363</v>
      </c>
      <c r="J1231">
        <v>0</v>
      </c>
      <c r="K1231">
        <v>0</v>
      </c>
      <c r="L1231">
        <v>0</v>
      </c>
      <c r="M1231">
        <v>218.077427</v>
      </c>
      <c r="N1231">
        <v>0</v>
      </c>
      <c r="O1231">
        <v>-48.607215400000001</v>
      </c>
      <c r="P1231">
        <v>0</v>
      </c>
    </row>
    <row r="1232" spans="1:16" x14ac:dyDescent="0.25">
      <c r="A1232" t="s">
        <v>5</v>
      </c>
      <c r="B1232">
        <v>235.02937399999999</v>
      </c>
      <c r="C1232">
        <v>235.02937399999999</v>
      </c>
      <c r="D1232">
        <v>0</v>
      </c>
      <c r="E1232">
        <v>99.894591899999995</v>
      </c>
      <c r="F1232">
        <v>28.100518399999999</v>
      </c>
      <c r="G1232">
        <v>37.283754100000003</v>
      </c>
      <c r="H1232">
        <v>2.4148569900000001</v>
      </c>
      <c r="I1232">
        <v>67.335652400000001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</row>
    <row r="1233" spans="1:16" x14ac:dyDescent="0.25">
      <c r="A1233" t="s">
        <v>6</v>
      </c>
      <c r="B1233">
        <v>761.68495099999996</v>
      </c>
      <c r="C1233">
        <v>761.68495099999996</v>
      </c>
      <c r="D1233">
        <v>0</v>
      </c>
      <c r="E1233">
        <v>74.923193999999995</v>
      </c>
      <c r="F1233">
        <v>12.9738934</v>
      </c>
      <c r="G1233">
        <v>89.079716300000001</v>
      </c>
      <c r="H1233">
        <v>16.451175599999999</v>
      </c>
      <c r="I1233">
        <v>568.25697100000002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</row>
    <row r="1234" spans="1:16" x14ac:dyDescent="0.25">
      <c r="A1234" t="s">
        <v>7</v>
      </c>
      <c r="B1234">
        <v>218.077427</v>
      </c>
      <c r="C1234">
        <v>218.077427</v>
      </c>
      <c r="D1234">
        <v>0</v>
      </c>
      <c r="E1234">
        <v>75.779809599999993</v>
      </c>
      <c r="F1234">
        <v>115.742007</v>
      </c>
      <c r="G1234">
        <v>24.079493599999999</v>
      </c>
      <c r="H1234">
        <v>2.4761169199999999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</row>
    <row r="1235" spans="1:16" x14ac:dyDescent="0.25">
      <c r="A1235" t="s">
        <v>8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</row>
    <row r="1236" spans="1:16" x14ac:dyDescent="0.25">
      <c r="A1236" t="s">
        <v>9</v>
      </c>
      <c r="B1236">
        <v>148.1985</v>
      </c>
      <c r="C1236">
        <v>148.1985</v>
      </c>
      <c r="D1236">
        <v>0</v>
      </c>
      <c r="E1236">
        <v>22.082987899999999</v>
      </c>
      <c r="F1236">
        <v>6.2101702799999998</v>
      </c>
      <c r="G1236">
        <v>112.941551</v>
      </c>
      <c r="H1236">
        <v>6.5187641599999999</v>
      </c>
      <c r="I1236">
        <v>0.44502681100000002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</row>
    <row r="1237" spans="1:16" x14ac:dyDescent="0.25">
      <c r="A1237" t="s">
        <v>10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</row>
    <row r="1238" spans="1:16" x14ac:dyDescent="0.25">
      <c r="A1238" t="s">
        <v>11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</row>
    <row r="1239" spans="1:16" x14ac:dyDescent="0.25">
      <c r="A1239" t="s">
        <v>12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</row>
    <row r="1240" spans="1:16" x14ac:dyDescent="0.25">
      <c r="A1240" t="s">
        <v>13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</row>
    <row r="1241" spans="1:16" x14ac:dyDescent="0.25">
      <c r="A1241" t="s">
        <v>14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</row>
    <row r="1242" spans="1:16" x14ac:dyDescent="0.25">
      <c r="A1242" t="s">
        <v>358</v>
      </c>
    </row>
    <row r="1243" spans="1:16" x14ac:dyDescent="0.25">
      <c r="A1243" t="s">
        <v>360</v>
      </c>
      <c r="B1243" t="s">
        <v>366</v>
      </c>
      <c r="C1243" t="s">
        <v>367</v>
      </c>
      <c r="D1243" t="s">
        <v>368</v>
      </c>
      <c r="E1243" t="s">
        <v>21</v>
      </c>
      <c r="F1243" t="s">
        <v>22</v>
      </c>
      <c r="G1243" t="s">
        <v>23</v>
      </c>
      <c r="H1243" t="s">
        <v>361</v>
      </c>
      <c r="I1243" t="s">
        <v>25</v>
      </c>
      <c r="J1243" t="s">
        <v>362</v>
      </c>
      <c r="K1243" t="s">
        <v>5</v>
      </c>
      <c r="L1243" t="s">
        <v>6</v>
      </c>
      <c r="M1243" t="s">
        <v>7</v>
      </c>
      <c r="N1243" t="s">
        <v>8</v>
      </c>
      <c r="O1243" t="s">
        <v>9</v>
      </c>
      <c r="P1243" t="s">
        <v>363</v>
      </c>
    </row>
    <row r="1244" spans="1:16" x14ac:dyDescent="0.25">
      <c r="A1244" t="s">
        <v>364</v>
      </c>
      <c r="B1244" t="s">
        <v>369</v>
      </c>
      <c r="C1244" t="s">
        <v>369</v>
      </c>
      <c r="D1244" t="s">
        <v>369</v>
      </c>
      <c r="E1244" t="s">
        <v>369</v>
      </c>
      <c r="F1244" t="s">
        <v>369</v>
      </c>
      <c r="G1244" t="s">
        <v>369</v>
      </c>
      <c r="H1244" t="s">
        <v>369</v>
      </c>
      <c r="I1244" t="s">
        <v>369</v>
      </c>
      <c r="J1244" t="s">
        <v>369</v>
      </c>
      <c r="K1244" t="s">
        <v>369</v>
      </c>
      <c r="L1244" t="s">
        <v>369</v>
      </c>
      <c r="M1244" t="s">
        <v>369</v>
      </c>
      <c r="N1244" t="s">
        <v>369</v>
      </c>
      <c r="O1244" t="s">
        <v>369</v>
      </c>
      <c r="P1244" t="s">
        <v>369</v>
      </c>
    </row>
    <row r="1245" spans="1:16" x14ac:dyDescent="0.25">
      <c r="A1245" t="s">
        <v>1</v>
      </c>
      <c r="B1245">
        <v>3712.7683299999999</v>
      </c>
      <c r="C1245">
        <v>0</v>
      </c>
      <c r="D1245">
        <v>3712.7683299999999</v>
      </c>
      <c r="E1245">
        <v>1396.1074799999999</v>
      </c>
      <c r="F1245">
        <v>0</v>
      </c>
      <c r="G1245">
        <v>542.99892299999999</v>
      </c>
      <c r="H1245">
        <v>0</v>
      </c>
      <c r="I1245">
        <v>0</v>
      </c>
      <c r="J1245">
        <v>0</v>
      </c>
      <c r="K1245">
        <v>0</v>
      </c>
      <c r="L1245">
        <v>548.78305699999999</v>
      </c>
      <c r="M1245">
        <v>1032.32141</v>
      </c>
      <c r="N1245">
        <v>0</v>
      </c>
      <c r="O1245">
        <v>192.55746400000001</v>
      </c>
      <c r="P1245">
        <v>0</v>
      </c>
    </row>
    <row r="1246" spans="1:16" x14ac:dyDescent="0.25">
      <c r="A1246" t="s">
        <v>2</v>
      </c>
      <c r="B1246">
        <v>1150.5793900000001</v>
      </c>
      <c r="C1246">
        <v>0</v>
      </c>
      <c r="D1246">
        <v>1150.5793900000001</v>
      </c>
      <c r="E1246">
        <v>0</v>
      </c>
      <c r="F1246">
        <v>394.54405000000003</v>
      </c>
      <c r="G1246">
        <v>151.78706199999999</v>
      </c>
      <c r="H1246">
        <v>0</v>
      </c>
      <c r="I1246">
        <v>0</v>
      </c>
      <c r="J1246">
        <v>0</v>
      </c>
      <c r="K1246">
        <v>259.607417</v>
      </c>
      <c r="L1246">
        <v>7.8436495400000007E-3</v>
      </c>
      <c r="M1246">
        <v>0</v>
      </c>
      <c r="N1246">
        <v>0</v>
      </c>
      <c r="O1246">
        <v>344.633016</v>
      </c>
      <c r="P1246">
        <v>0</v>
      </c>
    </row>
    <row r="1247" spans="1:16" x14ac:dyDescent="0.25">
      <c r="A1247" t="s">
        <v>3</v>
      </c>
      <c r="B1247">
        <v>5410.99262</v>
      </c>
      <c r="C1247">
        <v>0</v>
      </c>
      <c r="D1247">
        <v>5410.99262</v>
      </c>
      <c r="E1247">
        <v>2399.6457500000001</v>
      </c>
      <c r="F1247">
        <v>12.36679</v>
      </c>
      <c r="G1247">
        <v>474.12181500000003</v>
      </c>
      <c r="H1247">
        <v>147.06500500000001</v>
      </c>
      <c r="I1247">
        <v>244.66559799999999</v>
      </c>
      <c r="J1247">
        <v>0</v>
      </c>
      <c r="K1247">
        <v>41.854113499999997</v>
      </c>
      <c r="L1247">
        <v>135.64112399999999</v>
      </c>
      <c r="M1247">
        <v>0</v>
      </c>
      <c r="N1247">
        <v>0</v>
      </c>
      <c r="O1247">
        <v>35.047231099999998</v>
      </c>
      <c r="P1247">
        <v>1920.58519</v>
      </c>
    </row>
    <row r="1248" spans="1:16" x14ac:dyDescent="0.25">
      <c r="A1248" t="s">
        <v>4</v>
      </c>
      <c r="B1248">
        <v>12966.814</v>
      </c>
      <c r="C1248">
        <v>0</v>
      </c>
      <c r="D1248">
        <v>12966.814</v>
      </c>
      <c r="E1248">
        <v>3591.4866499999998</v>
      </c>
      <c r="F1248">
        <v>2118.30827</v>
      </c>
      <c r="G1248">
        <v>4200.0782799999997</v>
      </c>
      <c r="H1248">
        <v>934.04051300000003</v>
      </c>
      <c r="I1248">
        <v>644.099199</v>
      </c>
      <c r="J1248">
        <v>0</v>
      </c>
      <c r="K1248">
        <v>0</v>
      </c>
      <c r="L1248">
        <v>0</v>
      </c>
      <c r="M1248">
        <v>647.38960999999995</v>
      </c>
      <c r="N1248">
        <v>0</v>
      </c>
      <c r="O1248">
        <v>-123.882462</v>
      </c>
      <c r="P1248">
        <v>955.293947</v>
      </c>
    </row>
    <row r="1249" spans="1:16" x14ac:dyDescent="0.25">
      <c r="A1249" t="s">
        <v>5</v>
      </c>
      <c r="B1249">
        <v>705.14885100000004</v>
      </c>
      <c r="C1249">
        <v>650.05158900000004</v>
      </c>
      <c r="D1249">
        <v>55.097261600000003</v>
      </c>
      <c r="E1249">
        <v>321.377815</v>
      </c>
      <c r="F1249">
        <v>92.342541100000005</v>
      </c>
      <c r="G1249">
        <v>143.956344</v>
      </c>
      <c r="H1249">
        <v>13.481480599999999</v>
      </c>
      <c r="I1249">
        <v>133.99066999999999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</row>
    <row r="1250" spans="1:16" x14ac:dyDescent="0.25">
      <c r="A1250" t="s">
        <v>6</v>
      </c>
      <c r="B1250">
        <v>1858.4031199999999</v>
      </c>
      <c r="C1250">
        <v>1523.36672</v>
      </c>
      <c r="D1250">
        <v>335.036406</v>
      </c>
      <c r="E1250">
        <v>244.05291399999999</v>
      </c>
      <c r="F1250">
        <v>53.121009100000002</v>
      </c>
      <c r="G1250">
        <v>337.76538499999998</v>
      </c>
      <c r="H1250">
        <v>92.693863899999997</v>
      </c>
      <c r="I1250">
        <v>1130.7699500000001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</row>
    <row r="1251" spans="1:16" x14ac:dyDescent="0.25">
      <c r="A1251" t="s">
        <v>7</v>
      </c>
      <c r="B1251">
        <v>3606.2067699999998</v>
      </c>
      <c r="C1251">
        <v>2620.1404900000002</v>
      </c>
      <c r="D1251">
        <v>986.06627700000001</v>
      </c>
      <c r="E1251">
        <v>1230.9127900000001</v>
      </c>
      <c r="F1251">
        <v>1929.2244000000001</v>
      </c>
      <c r="G1251">
        <v>399.76094599999999</v>
      </c>
      <c r="H1251">
        <v>46.308625800000002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</row>
    <row r="1252" spans="1:16" x14ac:dyDescent="0.25">
      <c r="A1252" t="s">
        <v>8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</row>
    <row r="1253" spans="1:16" x14ac:dyDescent="0.25">
      <c r="A1253" t="s">
        <v>9</v>
      </c>
      <c r="B1253">
        <v>757.42255399999999</v>
      </c>
      <c r="C1253">
        <v>879.08150799999999</v>
      </c>
      <c r="D1253">
        <v>-121.65895399999999</v>
      </c>
      <c r="E1253">
        <v>98.731357900000006</v>
      </c>
      <c r="F1253">
        <v>32.741496599999998</v>
      </c>
      <c r="G1253">
        <v>579.33714999999995</v>
      </c>
      <c r="H1253">
        <v>45.436542799999998</v>
      </c>
      <c r="I1253">
        <v>1.1760060699999999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</row>
    <row r="1254" spans="1:16" x14ac:dyDescent="0.25">
      <c r="A1254" t="s">
        <v>10</v>
      </c>
      <c r="B1254">
        <v>400.46559600000001</v>
      </c>
      <c r="C1254">
        <v>0</v>
      </c>
      <c r="D1254">
        <v>400.46559600000001</v>
      </c>
      <c r="E1254">
        <v>-295.67250000000001</v>
      </c>
      <c r="F1254">
        <v>-113.615557</v>
      </c>
      <c r="G1254">
        <v>84.381368399999999</v>
      </c>
      <c r="H1254">
        <v>0</v>
      </c>
      <c r="I1254">
        <v>0</v>
      </c>
      <c r="J1254">
        <v>0</v>
      </c>
      <c r="K1254">
        <v>193.04139599999999</v>
      </c>
      <c r="L1254">
        <v>265.781361</v>
      </c>
      <c r="M1254">
        <v>8.1764423500000003</v>
      </c>
      <c r="N1254">
        <v>0</v>
      </c>
      <c r="O1254">
        <v>258.373085</v>
      </c>
      <c r="P1254">
        <v>0</v>
      </c>
    </row>
    <row r="1255" spans="1:16" x14ac:dyDescent="0.25">
      <c r="A1255" t="s">
        <v>11</v>
      </c>
      <c r="B1255">
        <v>471.63962299999997</v>
      </c>
      <c r="C1255">
        <v>0</v>
      </c>
      <c r="D1255">
        <v>471.63962299999997</v>
      </c>
      <c r="E1255">
        <v>106.412463</v>
      </c>
      <c r="F1255">
        <v>72.737636699999996</v>
      </c>
      <c r="G1255">
        <v>183.321282</v>
      </c>
      <c r="H1255">
        <v>39.465246800000003</v>
      </c>
      <c r="I1255">
        <v>37.416128499999999</v>
      </c>
      <c r="J1255">
        <v>0</v>
      </c>
      <c r="K1255">
        <v>0</v>
      </c>
      <c r="L1255">
        <v>0</v>
      </c>
      <c r="M1255">
        <v>32.286865800000001</v>
      </c>
      <c r="N1255">
        <v>0</v>
      </c>
      <c r="O1255">
        <v>0</v>
      </c>
      <c r="P1255">
        <v>0</v>
      </c>
    </row>
    <row r="1256" spans="1:16" x14ac:dyDescent="0.25">
      <c r="A1256" t="s">
        <v>12</v>
      </c>
      <c r="B1256">
        <v>15956.443799999999</v>
      </c>
      <c r="C1256">
        <v>2875.87914</v>
      </c>
      <c r="D1256">
        <v>13080.5646</v>
      </c>
      <c r="E1256">
        <v>6510.9599699999999</v>
      </c>
      <c r="F1256">
        <v>1779.5036500000001</v>
      </c>
      <c r="G1256">
        <v>4113.3625499999998</v>
      </c>
      <c r="H1256">
        <v>954.399225</v>
      </c>
      <c r="I1256">
        <v>1477.98404</v>
      </c>
      <c r="J1256">
        <v>0</v>
      </c>
      <c r="K1256">
        <v>118.459531</v>
      </c>
      <c r="L1256">
        <v>383.90453400000001</v>
      </c>
      <c r="M1256">
        <v>518.67621699999995</v>
      </c>
      <c r="N1256">
        <v>0</v>
      </c>
      <c r="O1256">
        <v>99.194039000000004</v>
      </c>
      <c r="P1256">
        <v>0</v>
      </c>
    </row>
    <row r="1257" spans="1:16" x14ac:dyDescent="0.25">
      <c r="A1257" t="s">
        <v>13</v>
      </c>
      <c r="B1257">
        <v>4905.90679</v>
      </c>
      <c r="C1257">
        <v>0</v>
      </c>
      <c r="D1257">
        <v>4905.90679</v>
      </c>
      <c r="E1257">
        <v>3234.2262500000002</v>
      </c>
      <c r="F1257">
        <v>1407.88715</v>
      </c>
      <c r="G1257">
        <v>0</v>
      </c>
      <c r="H1257">
        <v>0</v>
      </c>
      <c r="I1257">
        <v>0</v>
      </c>
      <c r="J1257">
        <v>0</v>
      </c>
      <c r="K1257">
        <v>37.089131899999998</v>
      </c>
      <c r="L1257">
        <v>37.356693300000003</v>
      </c>
      <c r="M1257">
        <v>164.86962500000001</v>
      </c>
      <c r="N1257">
        <v>0</v>
      </c>
      <c r="O1257">
        <v>24.477940499999999</v>
      </c>
      <c r="P1257">
        <v>0</v>
      </c>
    </row>
    <row r="1258" spans="1:16" x14ac:dyDescent="0.25">
      <c r="A1258" t="s">
        <v>14</v>
      </c>
      <c r="B1258">
        <v>1260.2693099999999</v>
      </c>
      <c r="C1258">
        <v>0</v>
      </c>
      <c r="D1258">
        <v>1260.2693099999999</v>
      </c>
      <c r="E1258">
        <v>310.45068800000001</v>
      </c>
      <c r="F1258">
        <v>145.63541699999999</v>
      </c>
      <c r="G1258">
        <v>359.33167900000001</v>
      </c>
      <c r="H1258">
        <v>27.857902500000002</v>
      </c>
      <c r="I1258" s="74">
        <v>-2.7418136600000002E-12</v>
      </c>
      <c r="J1258">
        <v>0</v>
      </c>
      <c r="K1258">
        <v>0</v>
      </c>
      <c r="L1258">
        <v>151.89210600000001</v>
      </c>
      <c r="M1258">
        <v>216.42032599999999</v>
      </c>
      <c r="N1258">
        <v>0</v>
      </c>
      <c r="O1258">
        <v>48.681193299999997</v>
      </c>
      <c r="P1258">
        <v>0</v>
      </c>
    </row>
    <row r="1259" spans="1:16" x14ac:dyDescent="0.25">
      <c r="A1259" t="s">
        <v>359</v>
      </c>
    </row>
    <row r="1260" spans="1:16" x14ac:dyDescent="0.25">
      <c r="A1260" t="s">
        <v>360</v>
      </c>
      <c r="B1260" t="s">
        <v>18</v>
      </c>
      <c r="C1260" t="s">
        <v>19</v>
      </c>
      <c r="D1260" t="s">
        <v>20</v>
      </c>
      <c r="E1260" t="s">
        <v>21</v>
      </c>
      <c r="F1260" t="s">
        <v>22</v>
      </c>
      <c r="G1260" t="s">
        <v>23</v>
      </c>
      <c r="H1260" t="s">
        <v>361</v>
      </c>
      <c r="I1260" t="s">
        <v>25</v>
      </c>
      <c r="J1260" t="s">
        <v>362</v>
      </c>
      <c r="K1260" t="s">
        <v>5</v>
      </c>
      <c r="L1260" t="s">
        <v>6</v>
      </c>
      <c r="M1260" t="s">
        <v>7</v>
      </c>
      <c r="N1260" t="s">
        <v>8</v>
      </c>
      <c r="O1260" t="s">
        <v>9</v>
      </c>
      <c r="P1260" t="s">
        <v>363</v>
      </c>
    </row>
    <row r="1261" spans="1:16" x14ac:dyDescent="0.25">
      <c r="A1261" t="s">
        <v>364</v>
      </c>
      <c r="B1261" t="s">
        <v>370</v>
      </c>
      <c r="C1261" t="s">
        <v>370</v>
      </c>
      <c r="D1261" t="s">
        <v>370</v>
      </c>
      <c r="E1261" t="s">
        <v>370</v>
      </c>
      <c r="F1261" t="s">
        <v>370</v>
      </c>
      <c r="G1261" t="s">
        <v>370</v>
      </c>
      <c r="H1261" t="s">
        <v>370</v>
      </c>
      <c r="I1261" t="s">
        <v>370</v>
      </c>
      <c r="J1261" t="s">
        <v>370</v>
      </c>
      <c r="K1261" t="s">
        <v>370</v>
      </c>
      <c r="L1261" t="s">
        <v>370</v>
      </c>
      <c r="M1261" t="s">
        <v>370</v>
      </c>
      <c r="N1261" t="s">
        <v>370</v>
      </c>
      <c r="O1261" t="s">
        <v>370</v>
      </c>
      <c r="P1261" t="s">
        <v>370</v>
      </c>
    </row>
    <row r="1262" spans="1:16" x14ac:dyDescent="0.25">
      <c r="A1262" t="s">
        <v>1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</row>
    <row r="1263" spans="1:16" x14ac:dyDescent="0.25">
      <c r="A1263" t="s">
        <v>2</v>
      </c>
      <c r="B1263">
        <v>92.040871100000004</v>
      </c>
      <c r="C1263">
        <v>0</v>
      </c>
      <c r="D1263">
        <v>92.040871100000004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17.180471199999999</v>
      </c>
      <c r="L1263">
        <v>55.678599300000002</v>
      </c>
      <c r="M1263">
        <v>0</v>
      </c>
      <c r="N1263">
        <v>0</v>
      </c>
      <c r="O1263">
        <v>19.181800500000001</v>
      </c>
      <c r="P1263">
        <v>0</v>
      </c>
    </row>
    <row r="1264" spans="1:16" x14ac:dyDescent="0.25">
      <c r="A1264" t="s">
        <v>3</v>
      </c>
      <c r="B1264">
        <v>249.136034</v>
      </c>
      <c r="C1264">
        <v>0</v>
      </c>
      <c r="D1264">
        <v>249.136034</v>
      </c>
      <c r="E1264">
        <v>161.69438</v>
      </c>
      <c r="F1264">
        <v>0.569694374</v>
      </c>
      <c r="G1264">
        <v>28.247899100000001</v>
      </c>
      <c r="H1264">
        <v>5.7209473900000001</v>
      </c>
      <c r="I1264">
        <v>29.3232693</v>
      </c>
      <c r="J1264">
        <v>0</v>
      </c>
      <c r="K1264">
        <v>4.64337059</v>
      </c>
      <c r="L1264">
        <v>15.0482701</v>
      </c>
      <c r="M1264">
        <v>0</v>
      </c>
      <c r="N1264">
        <v>0</v>
      </c>
      <c r="O1264">
        <v>3.8882028100000001</v>
      </c>
      <c r="P1264">
        <v>0</v>
      </c>
    </row>
    <row r="1265" spans="1:16" x14ac:dyDescent="0.25">
      <c r="A1265" t="s">
        <v>4</v>
      </c>
      <c r="B1265">
        <v>309.48961600000001</v>
      </c>
      <c r="C1265">
        <v>0</v>
      </c>
      <c r="D1265">
        <v>309.48961600000001</v>
      </c>
      <c r="E1265">
        <v>70.909750599999995</v>
      </c>
      <c r="F1265">
        <v>48.469958599999998</v>
      </c>
      <c r="G1265">
        <v>122.15924699999999</v>
      </c>
      <c r="H1265">
        <v>26.298337</v>
      </c>
      <c r="I1265">
        <v>24.932872199999998</v>
      </c>
      <c r="J1265">
        <v>0</v>
      </c>
      <c r="K1265">
        <v>0</v>
      </c>
      <c r="L1265">
        <v>0</v>
      </c>
      <c r="M1265">
        <v>21.514900999999998</v>
      </c>
      <c r="N1265">
        <v>0</v>
      </c>
      <c r="O1265">
        <v>-4.7954501399999998</v>
      </c>
      <c r="P1265">
        <v>0</v>
      </c>
    </row>
    <row r="1266" spans="1:16" x14ac:dyDescent="0.25">
      <c r="A1266" t="s">
        <v>5</v>
      </c>
      <c r="B1266">
        <v>17.180471199999999</v>
      </c>
      <c r="C1266">
        <v>21.8238418</v>
      </c>
      <c r="D1266">
        <v>-4.64337059</v>
      </c>
      <c r="E1266">
        <v>7.3022198400000002</v>
      </c>
      <c r="F1266">
        <v>2.0541268499999998</v>
      </c>
      <c r="G1266">
        <v>2.7254144999999999</v>
      </c>
      <c r="H1266">
        <v>0.176524237</v>
      </c>
      <c r="I1266">
        <v>4.9221857499999997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</row>
    <row r="1267" spans="1:16" x14ac:dyDescent="0.25">
      <c r="A1267" t="s">
        <v>6</v>
      </c>
      <c r="B1267">
        <v>55.678599300000002</v>
      </c>
      <c r="C1267">
        <v>70.726869399999998</v>
      </c>
      <c r="D1267">
        <v>-15.0482701</v>
      </c>
      <c r="E1267">
        <v>5.47682936</v>
      </c>
      <c r="F1267">
        <v>0.94838188599999995</v>
      </c>
      <c r="G1267">
        <v>6.5116605300000003</v>
      </c>
      <c r="H1267">
        <v>1.2025686099999999</v>
      </c>
      <c r="I1267">
        <v>41.539158899999997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</row>
    <row r="1268" spans="1:16" x14ac:dyDescent="0.25">
      <c r="A1268" t="s">
        <v>7</v>
      </c>
      <c r="B1268">
        <v>54.8023563</v>
      </c>
      <c r="C1268">
        <v>21.514900999999998</v>
      </c>
      <c r="D1268">
        <v>33.287455299999998</v>
      </c>
      <c r="E1268">
        <v>19.043292000000001</v>
      </c>
      <c r="F1268">
        <v>29.0857004</v>
      </c>
      <c r="G1268">
        <v>6.0511214100000004</v>
      </c>
      <c r="H1268">
        <v>0.62224249300000001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</row>
    <row r="1269" spans="1:16" x14ac:dyDescent="0.25">
      <c r="A1269" t="s">
        <v>8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</row>
    <row r="1270" spans="1:16" x14ac:dyDescent="0.25">
      <c r="A1270" t="s">
        <v>9</v>
      </c>
      <c r="B1270">
        <v>14.3863504</v>
      </c>
      <c r="C1270">
        <v>18.2745532</v>
      </c>
      <c r="D1270">
        <v>-3.8882028100000001</v>
      </c>
      <c r="E1270">
        <v>2.1437032199999999</v>
      </c>
      <c r="F1270">
        <v>0.60285148300000002</v>
      </c>
      <c r="G1270">
        <v>10.963786600000001</v>
      </c>
      <c r="H1270">
        <v>0.63280819399999999</v>
      </c>
      <c r="I1270">
        <v>4.3200920599999998E-2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</row>
    <row r="1271" spans="1:16" x14ac:dyDescent="0.25">
      <c r="A1271" t="s">
        <v>10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</row>
    <row r="1272" spans="1:16" x14ac:dyDescent="0.25">
      <c r="A1272" t="s">
        <v>11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</row>
    <row r="1273" spans="1:16" x14ac:dyDescent="0.25">
      <c r="A1273" t="s">
        <v>12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</row>
    <row r="1274" spans="1:16" x14ac:dyDescent="0.25">
      <c r="A1274" t="s">
        <v>13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</row>
    <row r="1275" spans="1:16" x14ac:dyDescent="0.25">
      <c r="A1275" t="s">
        <v>14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</row>
    <row r="1276" spans="1:16" x14ac:dyDescent="0.25">
      <c r="A1276" t="s">
        <v>42</v>
      </c>
    </row>
  </sheetData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15</vt:i4>
      </vt:variant>
    </vt:vector>
  </HeadingPairs>
  <TitlesOfParts>
    <vt:vector size="23" baseType="lpstr">
      <vt:lpstr>ReadMe</vt:lpstr>
      <vt:lpstr>Modeloutput</vt:lpstr>
      <vt:lpstr>Cost_Flow</vt:lpstr>
      <vt:lpstr>Energy_Flow</vt:lpstr>
      <vt:lpstr>CO2_Flow</vt:lpstr>
      <vt:lpstr>Vergelijking per zichtjaar</vt:lpstr>
      <vt:lpstr>Vergelijking per scenario</vt:lpstr>
      <vt:lpstr>Sheet1</vt:lpstr>
      <vt:lpstr>Nationale Kosten</vt:lpstr>
      <vt:lpstr>Uitgaven</vt:lpstr>
      <vt:lpstr>W&amp;E vraag</vt:lpstr>
      <vt:lpstr>CO2-emissie</vt:lpstr>
      <vt:lpstr>Uitgaven2050</vt:lpstr>
      <vt:lpstr>Energie2050</vt:lpstr>
      <vt:lpstr>CO2 2050</vt:lpstr>
      <vt:lpstr>WarmteWoning</vt:lpstr>
      <vt:lpstr>WarmteBestaandWoning</vt:lpstr>
      <vt:lpstr>GasWoning</vt:lpstr>
      <vt:lpstr>WarmtenetWoning</vt:lpstr>
      <vt:lpstr>WarmteWoning Variant</vt:lpstr>
      <vt:lpstr>WarmtenetOptieWoning Variant</vt:lpstr>
      <vt:lpstr>WarmteAanbodWoning Var 1</vt:lpstr>
      <vt:lpstr>WarmteAanbodWoning Var 2</vt:lpstr>
    </vt:vector>
  </TitlesOfParts>
  <Company>PBL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Polen, van Steven</dc:creator>
  <cp:lastModifiedBy>Polen, van Steven</cp:lastModifiedBy>
  <dcterms:created xsi:type="dcterms:W3CDTF">2016-03-25T08:12:55Z</dcterms:created>
  <dcterms:modified xsi:type="dcterms:W3CDTF">2017-05-17T08:17:50Z</dcterms:modified>
</cp:coreProperties>
</file>